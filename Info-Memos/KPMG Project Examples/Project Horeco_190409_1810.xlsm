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8.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9.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harts/chart1.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12.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3.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14.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15.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16.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7.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18.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fcroitoru\Documents\Proiecte\Horeco\WP\"/>
    </mc:Choice>
  </mc:AlternateContent>
  <bookViews>
    <workbookView xWindow="0" yWindow="0" windowWidth="15120" windowHeight="7608" tabRatio="845" firstSheet="7" activeTab="9"/>
  </bookViews>
  <sheets>
    <sheet name="0.0.Disclaimer" sheetId="27" r:id="rId1"/>
    <sheet name="0.1.Model Map" sheetId="47" r:id="rId2"/>
    <sheet name="0.2.Parameters" sheetId="56" r:id="rId3"/>
    <sheet name="1.0.Model timing" sheetId="3" r:id="rId4"/>
    <sheet name="De clarificat" sheetId="336" r:id="rId5"/>
    <sheet name="1.1.Macroeconomic" sheetId="1" r:id="rId6"/>
    <sheet name="1.2.Historical IS" sheetId="200" r:id="rId7"/>
    <sheet name="1.3.Historical BS" sheetId="199" r:id="rId8"/>
    <sheet name="1.4. CAPEX" sheetId="310" r:id="rId9"/>
    <sheet name="1.5 Assumptions book" sheetId="304" r:id="rId10"/>
    <sheet name="Money market" sheetId="338" r:id="rId11"/>
    <sheet name="HRC1216" sheetId="333" r:id="rId12"/>
    <sheet name="HRC1217" sheetId="334" r:id="rId13"/>
    <sheet name="HRC1218" sheetId="335" r:id="rId14"/>
    <sheet name="Imob necorp" sheetId="340" r:id="rId15"/>
    <sheet name="RMF_1218HRC" sheetId="339" r:id="rId16"/>
    <sheet name="0_RMF_1218HRC" sheetId="337" r:id="rId17"/>
    <sheet name="2.1. Working LT assets" sheetId="311" r:id="rId18"/>
    <sheet name="2.2. OPEX" sheetId="305" r:id="rId19"/>
    <sheet name="2.3. Working Capital" sheetId="312" r:id="rId20"/>
    <sheet name="3.1. Income Statement" sheetId="308" r:id="rId21"/>
    <sheet name="3.2. Cash Flow" sheetId="313" r:id="rId22"/>
    <sheet name="3.3. Balance sheet" sheetId="314" r:id="rId23"/>
    <sheet name="_TM_4.1.Summary" sheetId="341" state="veryHidden" r:id="rId24"/>
    <sheet name="4.1.Summary" sheetId="315" r:id="rId25"/>
    <sheet name="4.2. Summary" sheetId="327" r:id="rId26"/>
  </sheets>
  <externalReferences>
    <externalReference r:id="rId27"/>
    <externalReference r:id="rId28"/>
    <externalReference r:id="rId29"/>
    <externalReference r:id="rId30"/>
    <externalReference r:id="rId31"/>
    <externalReference r:id="rId32"/>
  </externalReferences>
  <definedNames>
    <definedName name="___thinkcellINRAAAAAAAAAAAAAAAABDOVI7OTGCPKCUWOU6UYMFUJGG" localSheetId="25" hidden="1">'4.2. Summary'!$B$86:$F$90</definedName>
    <definedName name="___thinkcellINRAAAAAAAAAAAAAAAADOWPLGMVV63CJUXNNCKGVZFLRQ" localSheetId="25" hidden="1">'4.2. Summary'!$B$63:$E$65</definedName>
    <definedName name="___thinkcellINRAAAAAAAAAAAAAAAAJTGJ3GDJLZTKHRW6JBMBJHJH4M" localSheetId="25" hidden="1">'4.2. Summary'!$L$259:$P$264</definedName>
    <definedName name="___thinkcellINRAAAAAAAAAAAAAAAAJVA33TUMUAPCHTB5NTL7Y2AFI4" localSheetId="25" hidden="1">'4.2. Summary'!$B$81:$F$84</definedName>
    <definedName name="___thinkcellINRAAAAAAAAAAAAAAAAK77M4IIOBEKSLW3ODAGU2NVNUC" localSheetId="25" hidden="1">'4.2. Summary'!$L$81:$P$84</definedName>
    <definedName name="___thinkcellINRAAAAAAAAAAAAAAAALS465LYN5L5CKQBCLJDE5HS32O" localSheetId="25" hidden="1">'4.2. Summary'!$B$259:$F$264</definedName>
    <definedName name="___thinkcellINRAAAAAAAAAAAAAAAAOYZ4EPBLRXYCAQJDBMWXVQIYWG" localSheetId="25" hidden="1">'4.2. Summary'!$L$86:$P$90</definedName>
    <definedName name="___thinkcellINRAAAAAAAAAAAAAAAAPOGTAG2WFW32NUUQ5JSMYODN64" localSheetId="25" hidden="1">'4.2. Summary'!$L$63:$O$65</definedName>
    <definedName name="___thinkcellINRAAAAAAAAAAAIAAAAAC4UJJAZJMDSDVNCACKZNUIJMC" localSheetId="25" hidden="1">'4.2. Summary'!$L$268:$P$273</definedName>
    <definedName name="___thinkcellINRAAAAAAAAAAAIAAAAAKLQBGBED7DKMRDYJ32Z4QUNZ4" localSheetId="25" hidden="1">'4.2. Summary'!$L$31:$O$34</definedName>
    <definedName name="___thinkcellINRAAAAAAAAAAAIAAAACNFVW4JFQIDSGRACIUPXRKOJEO" localSheetId="25" hidden="1">'4.2. Summary'!$L$37:$Q$40</definedName>
    <definedName name="___thinkcellINRAAAAAAAAAAAIAAAAD5AER62PQWVKAQSY3COZDVQC7U" localSheetId="25" hidden="1">'4.2. Summary'!$L$205:$S$208</definedName>
    <definedName name="___thinkcellINRAAAAAAAAAAAIAAAAD7HGMWKDMLTKPQSSP6SIXIU42I" localSheetId="25" hidden="1">'4.2. Summary'!$L$43:$P$46</definedName>
    <definedName name="___thinkcellINRAAAAAAAAAAAIAAAAEUOOXGD2EHH2IVY242IVLQ7UBI" localSheetId="25" hidden="1">'4.2. Summary'!$L$48:$N$51</definedName>
    <definedName name="___thinkcellINRAAAAAAAAAAAIAAAAFCGCWGRLKR22GVRVMLPCLWGARQ" localSheetId="25" hidden="1">'4.2. Summary'!$B$205:$I$208</definedName>
    <definedName name="___thinkcellINRAAAAAAAAAAAIAAAAH6DJ3OLUWQD2OVFNBG6EM6QATE" localSheetId="25" hidden="1">'4.2. Summary'!$B$10:$I$14</definedName>
    <definedName name="___thinkcellINRAAAAAAAAAAAIAAAAHANIVPXUB7HSGUM7GSWLIO44XY" localSheetId="25" hidden="1">'4.2. Summary'!$B$74:$F$78</definedName>
    <definedName name="___thinkcellINRAAAAAAAAAAAIAAAAI63YYZHPYK3SNS7I7C7REJPGWK" localSheetId="25" hidden="1">'4.2. Summary'!$B$268:$F$273</definedName>
    <definedName name="___thinkcellINRAAAAAAAAAAAIAAAAKUHXC6TVS35CHVFERUGZTCDGE4" localSheetId="25" hidden="1">'4.2. Summary'!$C$31:$F$34</definedName>
    <definedName name="___thinkcellINRAAAAAAAAAAAIAAAALORABZIN7FN2DUQ5DRHGVB4QT6" localSheetId="25" hidden="1">'4.2. Summary'!$B$37:$G$40</definedName>
    <definedName name="___thinkcellINRAAAAAAAAAAAIAAAALR4F47BFB4AKASCJPCXB666GMQ" localSheetId="25" hidden="1">'4.2. Summary'!$B$48:$D$51</definedName>
    <definedName name="___thinkcellINRAAAAAAAAAAAIAAAAMKXKWHSQMQRKASMK4LM2YXDOFI" localSheetId="25" hidden="1">'4.2. Summary'!$L$10:$S$14</definedName>
    <definedName name="___thinkcellINRAAAAAAAAAAAIAAAANGMMTFNRSGO2NSDLFXUHRDC5SW" localSheetId="25" hidden="1">'4.2. Summary'!$B$43:$F$46</definedName>
    <definedName name="___thinkcellINRAAAAAAAAAAAIAAAANHLSRGDK4BQKJSGDLU5VHDQ254" localSheetId="25" hidden="1">'4.2. Summary'!$L$74:$P$78</definedName>
    <definedName name="___thinkcellINRAAAAAAAAAABAAAAAANTBKGYMWQBCAQPHIIA4UALH6C" localSheetId="25" hidden="1">'4.2. Summary'!$L$16:$S$18</definedName>
    <definedName name="___thinkcellINRAAAAAAAAAABAAAAAPCSBN4U2FHRSPRC3TQLZ5RJG34" localSheetId="25" hidden="1">'4.2. Summary'!$B$16:$I$18</definedName>
    <definedName name="___thinkcellINRAAAABAAAAAAIAAAAFXVYQ2DNVUX2JQX2UK6PAHZETW" localSheetId="25" hidden="1">'4.2. Summary'!$B$53:$D$60</definedName>
    <definedName name="___thinkcellINRAAAABAAAAAAIAAAAPNF2OWAVR4S2OUU24OYNCOWL46" localSheetId="25" hidden="1">'4.2. Summary'!$L$53:$N$60</definedName>
    <definedName name="__123Graph_A" hidden="1">#REF!</definedName>
    <definedName name="__123Graph_X" hidden="1">#REF!</definedName>
    <definedName name="_xlnm._FilterDatabase" localSheetId="11" hidden="1">'HRC1216'!$A$8:$L$8</definedName>
    <definedName name="_xlnm._FilterDatabase" localSheetId="12" hidden="1">'HRC1217'!$A$8:$L$8</definedName>
    <definedName name="_xlnm._FilterDatabase" localSheetId="13" hidden="1">'HRC1218'!$A$8:$L$8</definedName>
    <definedName name="_xlnm._FilterDatabase" localSheetId="10">'Money market'!$B$5:$E$5</definedName>
    <definedName name="_Key1" hidden="1">[1]Sum!#REF!</definedName>
    <definedName name="_Key2" hidden="1">[1]Sum!#REF!</definedName>
    <definedName name="_Order1" hidden="1">255</definedName>
    <definedName name="_Order2" hidden="1">255</definedName>
    <definedName name="_Regression_X" hidden="1">[1]Sum!#REF!</definedName>
    <definedName name="_Regression_Y" hidden="1">[1]Sum!#REF!</definedName>
    <definedName name="_Sort" hidden="1">[1]Sum!#REF!</definedName>
    <definedName name="_sw32" localSheetId="25" hidden="1">{"v1",#N/A,FALSE,"financial information";"v2",#N/A,FALSE,"financial information";"v3",#N/A,FALSE,"financial information";"v4",#N/A,FALSE,"financial information";"v5",#N/A,FALSE,"financial information"}</definedName>
    <definedName name="_sw32" hidden="1">{"v1",#N/A,FALSE,"financial information";"v2",#N/A,FALSE,"financial information";"v3",#N/A,FALSE,"financial information";"v4",#N/A,FALSE,"financial information";"v5",#N/A,FALSE,"financial information"}</definedName>
    <definedName name="_Table1_In1" hidden="1">#REF!</definedName>
    <definedName name="_Table1_Out" hidden="1">#REF!</definedName>
    <definedName name="_Table2_In1" hidden="1">#REF!</definedName>
    <definedName name="_Table2_In2" hidden="1">#REF!</definedName>
    <definedName name="_Table2_Out" hidden="1">#REF!</definedName>
    <definedName name="_wrn2" localSheetId="25" hidden="1">{"glc1",#N/A,FALSE,"GLC";"glc2",#N/A,FALSE,"GLC";"glc3",#N/A,FALSE,"GLC";"glc4",#N/A,FALSE,"GLC";"glc5",#N/A,FALSE,"GLC"}</definedName>
    <definedName name="_wrn2" hidden="1">{"glc1",#N/A,FALSE,"GLC";"glc2",#N/A,FALSE,"GLC";"glc3",#N/A,FALSE,"GLC";"glc4",#N/A,FALSE,"GLC";"glc5",#N/A,FALSE,"GLC"}</definedName>
    <definedName name="aa" localSheetId="25" hidden="1">{#N/A,#N/A,FALSE,"Cover";#N/A,#N/A,FALSE,"Sensit";#N/A,#N/A,FALSE,"HEW";#N/A,#N/A,FALSE,"Bilanz";#N/A,#N/A,FALSE,"Aufbringung";#N/A,#N/A,FALSE,"Absatz";#N/A,#N/A,FALSE,"Durchleitung";#N/A,#N/A,FALSE,"Konzession";#N/A,#N/A,FALSE,"Personal";#N/A,#N/A,FALSE,"WC ";#N/A,#N/A,FALSE,"Capex Deprec ";#N/A,#N/A,FALSE,"Steuern";#N/A,#N/A,FALSE," Rente";#N/A,#N/A,FALSE," EBITDA"}</definedName>
    <definedName name="aa" hidden="1">{#N/A,#N/A,FALSE,"Cover";#N/A,#N/A,FALSE,"Sensit";#N/A,#N/A,FALSE,"HEW";#N/A,#N/A,FALSE,"Bilanz";#N/A,#N/A,FALSE,"Aufbringung";#N/A,#N/A,FALSE,"Absatz";#N/A,#N/A,FALSE,"Durchleitung";#N/A,#N/A,FALSE,"Konzession";#N/A,#N/A,FALSE,"Personal";#N/A,#N/A,FALSE,"WC ";#N/A,#N/A,FALSE,"Capex Deprec ";#N/A,#N/A,FALSE,"Steuern";#N/A,#N/A,FALSE," Rente";#N/A,#N/A,FALSE," EBITDA"}</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c" localSheetId="2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GIND700" localSheetId="25" hidden="1">{#N/A,#N/A,FALSE,"Aging Summary";#N/A,#N/A,FALSE,"Ratio Analysis";#N/A,#N/A,FALSE,"Test 120 Day Accts";#N/A,#N/A,FALSE,"Tickmarks"}</definedName>
    <definedName name="AGIND700" hidden="1">{#N/A,#N/A,FALSE,"Aging Summary";#N/A,#N/A,FALSE,"Ratio Analysis";#N/A,#N/A,FALSE,"Test 120 Day Accts";#N/A,#N/A,FALSE,"Tickmarks"}</definedName>
    <definedName name="AGIND701" localSheetId="25" hidden="1">{#N/A,#N/A,FALSE,"Aging Summary";#N/A,#N/A,FALSE,"Ratio Analysis";#N/A,#N/A,FALSE,"Test 120 Day Accts";#N/A,#N/A,FALSE,"Tickmarks"}</definedName>
    <definedName name="AGIND701" hidden="1">{#N/A,#N/A,FALSE,"Aging Summary";#N/A,#N/A,FALSE,"Ratio Analysis";#N/A,#N/A,FALSE,"Test 120 Day Accts";#N/A,#N/A,FALSE,"Tickmarks"}</definedName>
    <definedName name="Aging2" localSheetId="25" hidden="1">{#N/A,#N/A,FALSE,"Aging Summary";#N/A,#N/A,FALSE,"Ratio Analysis";#N/A,#N/A,FALSE,"Test 120 Day Accts";#N/A,#N/A,FALSE,"Tickmarks"}</definedName>
    <definedName name="Aging2" hidden="1">{#N/A,#N/A,FALSE,"Aging Summary";#N/A,#N/A,FALSE,"Ratio Analysis";#N/A,#N/A,FALSE,"Test 120 Day Accts";#N/A,#N/A,FALSE,"Tickmarks"}</definedName>
    <definedName name="aging3" localSheetId="25" hidden="1">{#N/A,#N/A,FALSE,"Aging Summary";#N/A,#N/A,FALSE,"Ratio Analysis";#N/A,#N/A,FALSE,"Test 120 Day Accts";#N/A,#N/A,FALSE,"Tickmarks"}</definedName>
    <definedName name="aging3" hidden="1">{#N/A,#N/A,FALSE,"Aging Summary";#N/A,#N/A,FALSE,"Ratio Analysis";#N/A,#N/A,FALSE,"Test 120 Day Accts";#N/A,#N/A,FALSE,"Tickmarks"}</definedName>
    <definedName name="aging30" localSheetId="25" hidden="1">{#N/A,#N/A,FALSE,"Aging Summary";#N/A,#N/A,FALSE,"Ratio Analysis";#N/A,#N/A,FALSE,"Test 120 Day Accts";#N/A,#N/A,FALSE,"Tickmarks"}</definedName>
    <definedName name="aging30" hidden="1">{#N/A,#N/A,FALSE,"Aging Summary";#N/A,#N/A,FALSE,"Ratio Analysis";#N/A,#N/A,FALSE,"Test 120 Day Accts";#N/A,#N/A,FALSE,"Tickmarks"}</definedName>
    <definedName name="aging5" localSheetId="25" hidden="1">{#N/A,#N/A,FALSE,"Aging Summary";#N/A,#N/A,FALSE,"Ratio Analysis";#N/A,#N/A,FALSE,"Test 120 Day Accts";#N/A,#N/A,FALSE,"Tickmarks"}</definedName>
    <definedName name="aging5" hidden="1">{#N/A,#N/A,FALSE,"Aging Summary";#N/A,#N/A,FALSE,"Ratio Analysis";#N/A,#N/A,FALSE,"Test 120 Day Accts";#N/A,#N/A,FALSE,"Tickmarks"}</definedName>
    <definedName name="aging6" localSheetId="25" hidden="1">{#N/A,#N/A,FALSE,"Aging Summary";#N/A,#N/A,FALSE,"Ratio Analysis";#N/A,#N/A,FALSE,"Test 120 Day Accts";#N/A,#N/A,FALSE,"Tickmarks"}</definedName>
    <definedName name="aging6" hidden="1">{#N/A,#N/A,FALSE,"Aging Summary";#N/A,#N/A,FALSE,"Ratio Analysis";#N/A,#N/A,FALSE,"Test 120 Day Accts";#N/A,#N/A,FALSE,"Tickmarks"}</definedName>
    <definedName name="aging7" localSheetId="25" hidden="1">{#N/A,#N/A,FALSE,"Aging Summary";#N/A,#N/A,FALSE,"Ratio Analysis";#N/A,#N/A,FALSE,"Test 120 Day Accts";#N/A,#N/A,FALSE,"Tickmarks"}</definedName>
    <definedName name="aging7" hidden="1">{#N/A,#N/A,FALSE,"Aging Summary";#N/A,#N/A,FALSE,"Ratio Analysis";#N/A,#N/A,FALSE,"Test 120 Day Accts";#N/A,#N/A,FALSE,"Tickmarks"}</definedName>
    <definedName name="anscount">2</definedName>
    <definedName name="AS2DocOpenMode" hidden="1">"AS2DocumentEdit"</definedName>
    <definedName name="bb" localSheetId="25" hidden="1">{#N/A,#N/A,FALSE,"Cover";#N/A,#N/A,FALSE,"Sensit";#N/A,#N/A,FALSE,"HEW";#N/A,#N/A,FALSE,"Bilanz";#N/A,#N/A,FALSE,"Aufbringung";#N/A,#N/A,FALSE,"Absatz";#N/A,#N/A,FALSE,"Durchleitung";#N/A,#N/A,FALSE,"Konzession";#N/A,#N/A,FALSE,"Personal";#N/A,#N/A,FALSE,"WC ";#N/A,#N/A,FALSE,"Capex Deprec ";#N/A,#N/A,FALSE,"Steuern";#N/A,#N/A,FALSE," Rente";#N/A,#N/A,FALSE," EBITDA"}</definedName>
    <definedName name="bb" hidden="1">{#N/A,#N/A,FALSE,"Cover";#N/A,#N/A,FALSE,"Sensit";#N/A,#N/A,FALSE,"HEW";#N/A,#N/A,FALSE,"Bilanz";#N/A,#N/A,FALSE,"Aufbringung";#N/A,#N/A,FALSE,"Absatz";#N/A,#N/A,FALSE,"Durchleitung";#N/A,#N/A,FALSE,"Konzession";#N/A,#N/A,FALSE,"Personal";#N/A,#N/A,FALSE,"WC ";#N/A,#N/A,FALSE,"Capex Deprec ";#N/A,#N/A,FALSE,"Steuern";#N/A,#N/A,FALSE," Rente";#N/A,#N/A,FALSE," EBITDA"}</definedName>
    <definedName name="BLANK" localSheetId="25"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BLANK"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blolox1" localSheetId="25" hidden="1">{#N/A,#N/A,FALSE,"Aging Summary";#N/A,#N/A,FALSE,"Ratio Analysis";#N/A,#N/A,FALSE,"Test 120 Day Accts";#N/A,#N/A,FALSE,"Tickmarks"}</definedName>
    <definedName name="blolox1" hidden="1">{#N/A,#N/A,FALSE,"Aging Summary";#N/A,#N/A,FALSE,"Ratio Analysis";#N/A,#N/A,FALSE,"Test 120 Day Accts";#N/A,#N/A,FALSE,"Tickmarks"}</definedName>
    <definedName name="BLPB113" hidden="1">#REF!</definedName>
    <definedName name="BLPB115" hidden="1">#REF!</definedName>
    <definedName name="BLPB13" hidden="1">#REF!</definedName>
    <definedName name="BLPB14" hidden="1">#REF!</definedName>
    <definedName name="BLPB15" hidden="1">#REF!</definedName>
    <definedName name="BLPB16" hidden="1">#REF!</definedName>
    <definedName name="BLPB163" hidden="1">#REF!</definedName>
    <definedName name="BLPB164" hidden="1">#REF!</definedName>
    <definedName name="BLPB17" hidden="1">#REF!</definedName>
    <definedName name="BLPB18" hidden="1">#REF!</definedName>
    <definedName name="BLPB19" hidden="1">#REF!</definedName>
    <definedName name="BLPB20" hidden="1">#REF!</definedName>
    <definedName name="BLPB21" hidden="1">#REF!</definedName>
    <definedName name="BLPB22" hidden="1">#REF!</definedName>
    <definedName name="BLPB23" hidden="1">#REF!</definedName>
    <definedName name="BLPB24" hidden="1">#REF!</definedName>
    <definedName name="BLPB25" hidden="1">#REF!</definedName>
    <definedName name="BLPB26" hidden="1">#REF!</definedName>
    <definedName name="BLPB27" hidden="1">#REF!</definedName>
    <definedName name="BLPB28" hidden="1">#REF!</definedName>
    <definedName name="BLPB29" hidden="1">#REF!</definedName>
    <definedName name="BLPB30" hidden="1">#REF!</definedName>
    <definedName name="BLPB31" hidden="1">#REF!</definedName>
    <definedName name="BLPB32" hidden="1">#REF!</definedName>
    <definedName name="BLPB33" hidden="1">#REF!</definedName>
    <definedName name="BLPB34" hidden="1">#REF!</definedName>
    <definedName name="BLPB35" hidden="1">#REF!</definedName>
    <definedName name="BLPB36" hidden="1">#REF!</definedName>
    <definedName name="BLPB37" hidden="1">#REF!</definedName>
    <definedName name="BLPB38" hidden="1">#REF!</definedName>
    <definedName name="BLPB39" hidden="1">#REF!</definedName>
    <definedName name="BLPB40" hidden="1">#REF!</definedName>
    <definedName name="BLPB41" hidden="1">#REF!</definedName>
    <definedName name="BLPB42" hidden="1">#REF!</definedName>
    <definedName name="BLPB43" hidden="1">#REF!</definedName>
    <definedName name="BLPB44" hidden="1">#REF!</definedName>
    <definedName name="BLPB45" hidden="1">#REF!</definedName>
    <definedName name="BLPB46" hidden="1">#REF!</definedName>
    <definedName name="BLPB47" hidden="1">#REF!</definedName>
    <definedName name="BLPB48" hidden="1">#REF!</definedName>
    <definedName name="BLPB49" hidden="1">#REF!</definedName>
    <definedName name="BLPB50" hidden="1">#REF!</definedName>
    <definedName name="BLPB51" hidden="1">#REF!</definedName>
    <definedName name="BLPB52" hidden="1">#REF!</definedName>
    <definedName name="BLPB53" hidden="1">#REF!</definedName>
    <definedName name="BLPB54" hidden="1">#REF!</definedName>
    <definedName name="BLPB55" hidden="1">#REF!</definedName>
    <definedName name="BLPB56" hidden="1">#REF!</definedName>
    <definedName name="BLPB57" hidden="1">#REF!</definedName>
    <definedName name="BLPB58" hidden="1">#REF!</definedName>
    <definedName name="BLPB59" hidden="1">#REF!</definedName>
    <definedName name="BLPB60" hidden="1">#REF!</definedName>
    <definedName name="BLPB61" hidden="1">#REF!</definedName>
    <definedName name="BLPB62" hidden="1">#REF!</definedName>
    <definedName name="BLPH1" hidden="1">#REF!</definedName>
    <definedName name="BLPH10" hidden="1">#REF!</definedName>
    <definedName name="BLPH11" hidden="1">#REF!</definedName>
    <definedName name="BLPH12" hidden="1">#REF!</definedName>
    <definedName name="BLPH13" hidden="1">#REF!</definedName>
    <definedName name="BLPH14" hidden="1">#REF!</definedName>
    <definedName name="BLPH3" hidden="1">'[2]Share Prices'!#REF!</definedName>
    <definedName name="BLPH4" hidden="1">'[2]Share Prices'!#REF!</definedName>
    <definedName name="BLPH5" hidden="1">'[2]Share Prices'!#REF!</definedName>
    <definedName name="BLPH6" hidden="1">'[2]Share Prices'!#REF!</definedName>
    <definedName name="BLPH7" hidden="1">#REF!</definedName>
    <definedName name="BLPH8" hidden="1">#REF!</definedName>
    <definedName name="BLPH9" hidden="1">#REF!</definedName>
    <definedName name="bolox" localSheetId="25" hidden="1">{#N/A,#N/A,FALSE,"Aging Summary";#N/A,#N/A,FALSE,"Ratio Analysis";#N/A,#N/A,FALSE,"Test 120 Day Accts";#N/A,#N/A,FALSE,"Tickmarks"}</definedName>
    <definedName name="bolox" hidden="1">{#N/A,#N/A,FALSE,"Aging Summary";#N/A,#N/A,FALSE,"Ratio Analysis";#N/A,#N/A,FALSE,"Test 120 Day Accts";#N/A,#N/A,FALSE,"Tickmarks"}</definedName>
    <definedName name="bolox2" localSheetId="25" hidden="1">{#N/A,#N/A,FALSE,"Aging Summary";#N/A,#N/A,FALSE,"Ratio Analysis";#N/A,#N/A,FALSE,"Test 120 Day Accts";#N/A,#N/A,FALSE,"Tickmarks"}</definedName>
    <definedName name="bolox2" hidden="1">{#N/A,#N/A,FALSE,"Aging Summary";#N/A,#N/A,FALSE,"Ratio Analysis";#N/A,#N/A,FALSE,"Test 120 Day Accts";#N/A,#N/A,FALSE,"Tickmarks"}</definedName>
    <definedName name="bolox3" localSheetId="25" hidden="1">{#N/A,#N/A,FALSE,"Aging Summary";#N/A,#N/A,FALSE,"Ratio Analysis";#N/A,#N/A,FALSE,"Test 120 Day Accts";#N/A,#N/A,FALSE,"Tickmarks"}</definedName>
    <definedName name="bolox3" hidden="1">{#N/A,#N/A,FALSE,"Aging Summary";#N/A,#N/A,FALSE,"Ratio Analysis";#N/A,#N/A,FALSE,"Test 120 Day Accts";#N/A,#N/A,FALSE,"Tickmarks"}</definedName>
    <definedName name="bolox4" localSheetId="25" hidden="1">{#N/A,#N/A,FALSE,"Aging Summary";#N/A,#N/A,FALSE,"Ratio Analysis";#N/A,#N/A,FALSE,"Test 120 Day Accts";#N/A,#N/A,FALSE,"Tickmarks"}</definedName>
    <definedName name="bolox4" hidden="1">{#N/A,#N/A,FALSE,"Aging Summary";#N/A,#N/A,FALSE,"Ratio Analysis";#N/A,#N/A,FALSE,"Test 120 Day Accts";#N/A,#N/A,FALSE,"Tickmarks"}</definedName>
    <definedName name="bolox5" localSheetId="25" hidden="1">{#N/A,#N/A,FALSE,"content";#N/A,#N/A,FALSE,"summary";#N/A,#N/A,FALSE,"historicBS";#N/A,#N/A,FALSE,"historicIS";#N/A,#N/A,FALSE,"historicCF";#N/A,#N/A,FALSE,"ratios";#N/A,#N/A,FALSE,"ForecastIS";#N/A,#N/A,FALSE,"DCF-WACC";#N/A,#N/A,FALSE,"DCF-CAPM";#N/A,#N/A,FALSE,"debt";#N/A,#N/A,FALSE,"depreciation";#N/A,#N/A,FALSE,"wacc";"view_a",#N/A,FALSE,"GLC";"view_b",#N/A,FALSE,"GLC";"view_c",#N/A,FALSE,"GLC";"view_d",#N/A,FALSE,"GLC";"view_e",#N/A,FALSE,"GLC";#N/A,#N/A,FALSE,"riskfree";#N/A,#N/A,FALSE,"glcapproach";#N/A,#N/A,FALSE,"control";#N/A,#N/A,FALSE,"marketibility";#N/A,#N/A,FALSE,"rev";#N/A,#N/A,FALSE,"customers";#N/A,#N/A,FALSE,"suppliers";#N/A,#N/A,FALSE,"own.str.";"view_a",#N/A,FALSE,"season";"view_b",#N/A,FALSE,"season"}</definedName>
    <definedName name="bolox5" hidden="1">{#N/A,#N/A,FALSE,"content";#N/A,#N/A,FALSE,"summary";#N/A,#N/A,FALSE,"historicBS";#N/A,#N/A,FALSE,"historicIS";#N/A,#N/A,FALSE,"historicCF";#N/A,#N/A,FALSE,"ratios";#N/A,#N/A,FALSE,"ForecastIS";#N/A,#N/A,FALSE,"DCF-WACC";#N/A,#N/A,FALSE,"DCF-CAPM";#N/A,#N/A,FALSE,"debt";#N/A,#N/A,FALSE,"depreciation";#N/A,#N/A,FALSE,"wacc";"view_a",#N/A,FALSE,"GLC";"view_b",#N/A,FALSE,"GLC";"view_c",#N/A,FALSE,"GLC";"view_d",#N/A,FALSE,"GLC";"view_e",#N/A,FALSE,"GLC";#N/A,#N/A,FALSE,"riskfree";#N/A,#N/A,FALSE,"glcapproach";#N/A,#N/A,FALSE,"control";#N/A,#N/A,FALSE,"marketibility";#N/A,#N/A,FALSE,"rev";#N/A,#N/A,FALSE,"customers";#N/A,#N/A,FALSE,"suppliers";#N/A,#N/A,FALSE,"own.str.";"view_a",#N/A,FALSE,"season";"view_b",#N/A,FALSE,"season"}</definedName>
    <definedName name="bolox6" localSheetId="25" hidden="1">{"glc1",#N/A,FALSE,"GLC";"glc2",#N/A,FALSE,"GLC";"glc3",#N/A,FALSE,"GLC";"glc4",#N/A,FALSE,"GLC";"glc5",#N/A,FALSE,"GLC"}</definedName>
    <definedName name="bolox6" hidden="1">{"glc1",#N/A,FALSE,"GLC";"glc2",#N/A,FALSE,"GLC";"glc3",#N/A,FALSE,"GLC";"glc4",#N/A,FALSE,"GLC";"glc5",#N/A,FALSE,"GLC"}</definedName>
    <definedName name="bolox7" localSheetId="25" hidden="1">{#N/A,#N/A,FALSE,"Aging Summary";#N/A,#N/A,FALSE,"Ratio Analysis";#N/A,#N/A,FALSE,"Test 120 Day Accts";#N/A,#N/A,FALSE,"Tickmarks"}</definedName>
    <definedName name="bolox7" hidden="1">{#N/A,#N/A,FALSE,"Aging Summary";#N/A,#N/A,FALSE,"Ratio Analysis";#N/A,#N/A,FALSE,"Test 120 Day Accts";#N/A,#N/A,FALSE,"Tickmarks"}</definedName>
    <definedName name="bolox8" localSheetId="25" hidden="1">{#N/A,#N/A,FALSE,"TOC";#N/A,#N/A,FALSE,"Summary";#N/A,#N/A,FALSE,"DCF";#N/A,#N/A,FALSE,"Stats";#N/A,#N/A,FALSE,"Trans";#N/A,#N/A,FALSE,"GLC Method";#N/A,#N/A,FALSE,"IndAnalysis";#N/A,#N/A,FALSE,"DCF_EVA";#N/A,#N/A,FALSE,"Sales";#N/A,#N/A,FALSE,"Costs";#N/A,#N/A,FALSE,"Labour";#N/A,#N/A,FALSE,"Capex";#N/A,#N/A,FALSE,"Amort";#N/A,#N/A,FALSE,"Other IncExp";#N/A,#N/A,FALSE,"WC";#N/A,#N/A,FALSE,"Finan";#N/A,#N/A,FALSE,"TaxPBT";#N/A,#N/A,FALSE,"TaxEBIT";#N/A,#N/A,FALSE,"WACC";#N/A,#N/A,FALSE,"R(f)";#N/A,#N/A,FALSE,"Beta";#N/A,#N/A,FALSE,"Size";#N/A,#N/A,FALSE,"Marketability";#N/A,#N/A,FALSE,"Ctrl";#N/A,#N/A,FALSE,"Redundant"}</definedName>
    <definedName name="bolox8" hidden="1">{#N/A,#N/A,FALSE,"TOC";#N/A,#N/A,FALSE,"Summary";#N/A,#N/A,FALSE,"DCF";#N/A,#N/A,FALSE,"Stats";#N/A,#N/A,FALSE,"Trans";#N/A,#N/A,FALSE,"GLC Method";#N/A,#N/A,FALSE,"IndAnalysis";#N/A,#N/A,FALSE,"DCF_EVA";#N/A,#N/A,FALSE,"Sales";#N/A,#N/A,FALSE,"Costs";#N/A,#N/A,FALSE,"Labour";#N/A,#N/A,FALSE,"Capex";#N/A,#N/A,FALSE,"Amort";#N/A,#N/A,FALSE,"Other IncExp";#N/A,#N/A,FALSE,"WC";#N/A,#N/A,FALSE,"Finan";#N/A,#N/A,FALSE,"TaxPBT";#N/A,#N/A,FALSE,"TaxEBIT";#N/A,#N/A,FALSE,"WACC";#N/A,#N/A,FALSE,"R(f)";#N/A,#N/A,FALSE,"Beta";#N/A,#N/A,FALSE,"Size";#N/A,#N/A,FALSE,"Marketability";#N/A,#N/A,FALSE,"Ctrl";#N/A,#N/A,FALSE,"Redundant"}</definedName>
    <definedName name="BROWN" localSheetId="25"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BROWN"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Calcs" localSheetId="2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Calcs"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Change" hidden="1">Change</definedName>
    <definedName name="Change2" hidden="1">Change2</definedName>
    <definedName name="Change3" hidden="1">Change3</definedName>
    <definedName name="Change4" hidden="1">Change4</definedName>
    <definedName name="ChangeRange" hidden="1">ChangeRange</definedName>
    <definedName name="ChangeRange2" hidden="1">ChangeRange2</definedName>
    <definedName name="CopyWord" localSheetId="25" hidden="1">#REF!</definedName>
    <definedName name="CopyWord" hidden="1">#REF!</definedName>
    <definedName name="DisclaimerPage">'0.0.Disclaimer'!$A$1:$T$45</definedName>
    <definedName name="e" localSheetId="25" hidden="1">{#N/A,#N/A,FALSE,"content";#N/A,#N/A,FALSE,"summary";#N/A,#N/A,FALSE,"historicBS";#N/A,#N/A,FALSE,"historicIS";#N/A,#N/A,FALSE,"historicCF";#N/A,#N/A,FALSE,"ratios";#N/A,#N/A,FALSE,"ForecastIS";#N/A,#N/A,FALSE,"DCF-WACC";#N/A,#N/A,FALSE,"DCF-CAPM";#N/A,#N/A,FALSE,"debt";#N/A,#N/A,FALSE,"depreciation";#N/A,#N/A,FALSE,"wacc";"view_a",#N/A,FALSE,"GLC";"view_b",#N/A,FALSE,"GLC";"view_c",#N/A,FALSE,"GLC";"view_d",#N/A,FALSE,"GLC";"view_e",#N/A,FALSE,"GLC";#N/A,#N/A,FALSE,"riskfree";#N/A,#N/A,FALSE,"glcapproach";#N/A,#N/A,FALSE,"control";#N/A,#N/A,FALSE,"marketibility";#N/A,#N/A,FALSE,"rev";#N/A,#N/A,FALSE,"customers";#N/A,#N/A,FALSE,"suppliers";#N/A,#N/A,FALSE,"own.str.";"view_a",#N/A,FALSE,"season";"view_b",#N/A,FALSE,"season"}</definedName>
    <definedName name="e" hidden="1">{#N/A,#N/A,FALSE,"content";#N/A,#N/A,FALSE,"summary";#N/A,#N/A,FALSE,"historicBS";#N/A,#N/A,FALSE,"historicIS";#N/A,#N/A,FALSE,"historicCF";#N/A,#N/A,FALSE,"ratios";#N/A,#N/A,FALSE,"ForecastIS";#N/A,#N/A,FALSE,"DCF-WACC";#N/A,#N/A,FALSE,"DCF-CAPM";#N/A,#N/A,FALSE,"debt";#N/A,#N/A,FALSE,"depreciation";#N/A,#N/A,FALSE,"wacc";"view_a",#N/A,FALSE,"GLC";"view_b",#N/A,FALSE,"GLC";"view_c",#N/A,FALSE,"GLC";"view_d",#N/A,FALSE,"GLC";"view_e",#N/A,FALSE,"GLC";#N/A,#N/A,FALSE,"riskfree";#N/A,#N/A,FALSE,"glcapproach";#N/A,#N/A,FALSE,"control";#N/A,#N/A,FALSE,"marketibility";#N/A,#N/A,FALSE,"rev";#N/A,#N/A,FALSE,"customers";#N/A,#N/A,FALSE,"suppliers";#N/A,#N/A,FALSE,"own.str.";"view_a",#N/A,FALSE,"season";"view_b",#N/A,FALSE,"season"}</definedName>
    <definedName name="Editable" localSheetId="25" hidden="1">#REF!,#REF!,#REF!,#REF!</definedName>
    <definedName name="Editable" hidden="1">#REF!,#REF!,#REF!,#REF!</definedName>
    <definedName name="FIS" localSheetId="25" hidden="1">{#N/A,#N/A,FALSE,"content";#N/A,#N/A,FALSE,"summary";#N/A,#N/A,FALSE,"historicBS";#N/A,#N/A,FALSE,"historicIS";#N/A,#N/A,FALSE,"historicCF";#N/A,#N/A,FALSE,"ratios";#N/A,#N/A,FALSE,"ForecastIS";#N/A,#N/A,FALSE,"DCF-WACC";#N/A,#N/A,FALSE,"DCF-CAPM";#N/A,#N/A,FALSE,"debt";#N/A,#N/A,FALSE,"depreciation";#N/A,#N/A,FALSE,"wacc";"view_a",#N/A,FALSE,"GLC";"view_b",#N/A,FALSE,"GLC";"view_c",#N/A,FALSE,"GLC";"view_d",#N/A,FALSE,"GLC";"view_e",#N/A,FALSE,"GLC";#N/A,#N/A,FALSE,"riskfree";#N/A,#N/A,FALSE,"glcapproach";#N/A,#N/A,FALSE,"control";#N/A,#N/A,FALSE,"marketibility";#N/A,#N/A,FALSE,"rev";#N/A,#N/A,FALSE,"customers";#N/A,#N/A,FALSE,"suppliers";#N/A,#N/A,FALSE,"own.str.";"view_a",#N/A,FALSE,"season";"view_b",#N/A,FALSE,"season"}</definedName>
    <definedName name="FIS" hidden="1">{#N/A,#N/A,FALSE,"content";#N/A,#N/A,FALSE,"summary";#N/A,#N/A,FALSE,"historicBS";#N/A,#N/A,FALSE,"historicIS";#N/A,#N/A,FALSE,"historicCF";#N/A,#N/A,FALSE,"ratios";#N/A,#N/A,FALSE,"ForecastIS";#N/A,#N/A,FALSE,"DCF-WACC";#N/A,#N/A,FALSE,"DCF-CAPM";#N/A,#N/A,FALSE,"debt";#N/A,#N/A,FALSE,"depreciation";#N/A,#N/A,FALSE,"wacc";"view_a",#N/A,FALSE,"GLC";"view_b",#N/A,FALSE,"GLC";"view_c",#N/A,FALSE,"GLC";"view_d",#N/A,FALSE,"GLC";"view_e",#N/A,FALSE,"GLC";#N/A,#N/A,FALSE,"riskfree";#N/A,#N/A,FALSE,"glcapproach";#N/A,#N/A,FALSE,"control";#N/A,#N/A,FALSE,"marketibility";#N/A,#N/A,FALSE,"rev";#N/A,#N/A,FALSE,"customers";#N/A,#N/A,FALSE,"suppliers";#N/A,#N/A,FALSE,"own.str.";"view_a",#N/A,FALSE,"season";"view_b",#N/A,FALSE,"season"}</definedName>
    <definedName name="graphB" hidden="1">#REF!</definedName>
    <definedName name="HTML_CodePage" hidden="1">1252</definedName>
    <definedName name="HTML_Control" localSheetId="25" hidden="1">{"'Sheet1'!$A$1:$H$145"}</definedName>
    <definedName name="HTML_Control" hidden="1">{"'Sheet1'!$A$1:$H$145"}</definedName>
    <definedName name="HTML_Description" hidden="1">""</definedName>
    <definedName name="HTML_Email" hidden="1">""</definedName>
    <definedName name="HTML_Header" hidden="1">"Country Risk Premiums"</definedName>
    <definedName name="HTML_LastUpdate" hidden="1">"2/19/99"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HD:HomePageStuff:New_Home_Page:datafile:ctryprem.html"</definedName>
    <definedName name="HTML_Title" hidden="1">"Country Risk Premiums"</definedName>
    <definedName name="jbhkj" localSheetId="25" hidden="1">{"glc1",#N/A,FALSE,"GLC";"glc2",#N/A,FALSE,"GLC";"glc3",#N/A,FALSE,"GLC";"glc4",#N/A,FALSE,"GLC";"glc5",#N/A,FALSE,"GLC"}</definedName>
    <definedName name="jbhkj" hidden="1">{"glc1",#N/A,FALSE,"GLC";"glc2",#N/A,FALSE,"GLC";"glc3",#N/A,FALSE,"GLC";"glc4",#N/A,FALSE,"GLC";"glc5",#N/A,FALSE,"GLC"}</definedName>
    <definedName name="kdsfohgioa" localSheetId="25" hidden="1">{"glc1",#N/A,FALSE,"GLC";"glc2",#N/A,FALSE,"GLC";"glc3",#N/A,FALSE,"GLC";"glc4",#N/A,FALSE,"GLC";"glc5",#N/A,FALSE,"GLC"}</definedName>
    <definedName name="kdsfohgioa" hidden="1">{"glc1",#N/A,FALSE,"GLC";"glc2",#N/A,FALSE,"GLC";"glc3",#N/A,FALSE,"GLC";"glc4",#N/A,FALSE,"GLC";"glc5",#N/A,FALSE,"GLC"}</definedName>
    <definedName name="ks" localSheetId="25" hidden="1">{#N/A,#N/A,FALSE,"Aging Summary";#N/A,#N/A,FALSE,"Ratio Analysis";#N/A,#N/A,FALSE,"Test 120 Day Accts";#N/A,#N/A,FALSE,"Tickmarks"}</definedName>
    <definedName name="ks" hidden="1">{#N/A,#N/A,FALSE,"Aging Summary";#N/A,#N/A,FALSE,"Ratio Analysis";#N/A,#N/A,FALSE,"Test 120 Day Accts";#N/A,#N/A,FALSE,"Tickmarks"}</definedName>
    <definedName name="limcount" hidden="1">1</definedName>
    <definedName name="ModelMap">'0.1.Model Map'!$A$1:$Y$41</definedName>
    <definedName name="Mult">'0.2.Parameters'!$H$14</definedName>
    <definedName name="Multiplier" localSheetId="25">'0.2.Parameters'!$H$15</definedName>
    <definedName name="Multiplier">'0.2.Parameters'!$H$15</definedName>
    <definedName name="pl" localSheetId="25" hidden="1">{#N/A,#N/A,FALSE,"Aging Summary";#N/A,#N/A,FALSE,"Ratio Analysis";#N/A,#N/A,FALSE,"Test 120 Day Accts";#N/A,#N/A,FALSE,"Tickmarks"}</definedName>
    <definedName name="pl" hidden="1">{#N/A,#N/A,FALSE,"Aging Summary";#N/A,#N/A,FALSE,"Ratio Analysis";#N/A,#N/A,FALSE,"Test 120 Day Accts";#N/A,#N/A,FALSE,"Tickmarks"}</definedName>
    <definedName name="Plan2004" localSheetId="25" hidden="1">{"glc1",#N/A,FALSE,"GLC";"glc2",#N/A,FALSE,"GLC";"glc3",#N/A,FALSE,"GLC";"glc4",#N/A,FALSE,"GLC";"glc5",#N/A,FALSE,"GLC"}</definedName>
    <definedName name="Plan2004" hidden="1">{"glc1",#N/A,FALSE,"GLC";"glc2",#N/A,FALSE,"GLC";"glc3",#N/A,FALSE,"GLC";"glc4",#N/A,FALSE,"GLC";"glc5",#N/A,FALSE,"GLC"}</definedName>
    <definedName name="prov" localSheetId="25" hidden="1">{"Ergebnisbericht_UBA",#N/A,FALSE,"MB"}</definedName>
    <definedName name="prov" hidden="1">{"Ergebnisbericht_UBA",#N/A,FALSE,"MB"}</definedName>
    <definedName name="Prova" localSheetId="25" hidden="1">{"Ergebnisbericht_UBA",#N/A,FALSE,"MB"}</definedName>
    <definedName name="Prova" hidden="1">{"Ergebnisbericht_UBA",#N/A,FALSE,"MB"}</definedName>
    <definedName name="Prt_Disclaimer">'0.0.Disclaimer'!$A$1:$E$45</definedName>
    <definedName name="q" localSheetId="25" hidden="1">{"Qtr Op Mgd Q2",#N/A,FALSE,"Qtr-Op (Mng)";"Qtr Op Rpt Q2",#N/A,FALSE,"Qtr-Op (Rpt)";"Operating Vs Reported",#N/A,FALSE,"Rpt-Op Inc"}</definedName>
    <definedName name="q" hidden="1">{"Qtr Op Mgd Q2",#N/A,FALSE,"Qtr-Op (Mng)";"Qtr Op Rpt Q2",#N/A,FALSE,"Qtr-Op (Rpt)";"Operating Vs Reported",#N/A,FALSE,"Rpt-Op Inc"}</definedName>
    <definedName name="RangeChange" hidden="1">RangeChange</definedName>
    <definedName name="REP" hidden="1">'[3]1.11 Related parties'!$C$6:$F$23</definedName>
    <definedName name="SAPBEXrevision" hidden="1">18</definedName>
    <definedName name="SAPBEXsysID" hidden="1">"PSB"</definedName>
    <definedName name="SAPBEXwbID" hidden="1">"96YT3I6AAABIEKCXHR5GVI29C"</definedName>
    <definedName name="SAPFuncF4Help" localSheetId="25" hidden="1">Main.SAPF4Help()</definedName>
    <definedName name="SAPFuncF4Help" hidden="1">Main.SAPF4Help()</definedName>
    <definedName name="Selection">'0.2.Parameters'!$H$2</definedName>
    <definedName name="SIG_ACFCOM_firstLine" hidden="1">#REF!</definedName>
    <definedName name="SIG_ACFCOM_IsControlOK" hidden="1">#REF!</definedName>
    <definedName name="SIG_ACFCOM_lastLine" hidden="1">#REF!</definedName>
    <definedName name="SIG_ACFCOM_TITLECOL" hidden="1">#REF!</definedName>
    <definedName name="SIG_ACFCOM_TITLELINE" hidden="1">#REF!</definedName>
    <definedName name="SIG_AISCOM_firstLine" hidden="1">#REF!</definedName>
    <definedName name="SIG_AISCOM_IsControlOK" hidden="1">#REF!</definedName>
    <definedName name="SIG_AISCOM_lastLine" hidden="1">#REF!</definedName>
    <definedName name="SIG_AISCOM_TITLECOL" hidden="1">#REF!</definedName>
    <definedName name="SIG_AISCOM_TITLELINE" hidden="1">#REF!</definedName>
    <definedName name="SIG_AISTOT_firstLine" hidden="1">'[4]FEB 04 AISTOT'!$AK$74</definedName>
    <definedName name="SIG_AISTOT_IsControlOK" hidden="1">'[4]FEB 04 AISTOT'!$AK$73</definedName>
    <definedName name="SIG_AISTOT_lastLine" hidden="1">'[4]FEB 04 AISTOT'!$AK$75</definedName>
    <definedName name="SIG_AISTOT_TITLECOL" hidden="1">'[4]FEB 04 AISTOT'!$F$1</definedName>
    <definedName name="SIG_AISTOT_TITLELINE" hidden="1">'[4]FEB 04 AISTOT'!$11:$11</definedName>
    <definedName name="SIG_ANACOM_firstLine" hidden="1">#REF!</definedName>
    <definedName name="SIG_ANACOM_IsControlOK" hidden="1">#REF!</definedName>
    <definedName name="SIG_ANACOM_lastLine" hidden="1">#REF!</definedName>
    <definedName name="SIG_ANACOM_TITLECOL" hidden="1">#REF!</definedName>
    <definedName name="SIG_ANACOM_TITLELINE" hidden="1">#REF!</definedName>
    <definedName name="SIG_ARATIOS_firstLine" hidden="1">#REF!</definedName>
    <definedName name="SIG_ARATIOS_IsControlOK" hidden="1">#REF!</definedName>
    <definedName name="SIG_ARATIOS_lastLine" hidden="1">#REF!</definedName>
    <definedName name="SIG_ARATIOS_TITLECOL" hidden="1">#REF!</definedName>
    <definedName name="SIG_ARATIOS_TITLELINE" hidden="1">#REF!</definedName>
    <definedName name="SIG_AZISTOT_firstLine" hidden="1">'[4]P&amp;L TABLE'!$AJ$74</definedName>
    <definedName name="SIG_AZISTOT_IsControlOK" hidden="1">'[4]P&amp;L TABLE'!$AJ$73</definedName>
    <definedName name="SIG_AZISTOT_lastLine" hidden="1">'[4]P&amp;L TABLE'!$AJ$75</definedName>
    <definedName name="SIG_AZISTOT_TITLECOL" hidden="1">'[4]P&amp;L TABLE'!$F$1</definedName>
    <definedName name="SIG_AZISTOT_TITLELINE" hidden="1">'[4]P&amp;L TABLE'!$11:$11</definedName>
    <definedName name="SIG_CONTROLE" hidden="1">#REF!</definedName>
    <definedName name="SIG_DERNIERECOLONNE" hidden="1">'[4]P&amp;L TABLE'!$AI:$AI</definedName>
    <definedName name="SIG_PTBD_ACFCOM" hidden="1">#REF!</definedName>
    <definedName name="SIG_PTBD_AISCOM" hidden="1">#REF!</definedName>
    <definedName name="SIG_PTBD_AISTOT" hidden="1">'[4]FEB 04 AISTOT'!$AE$72</definedName>
    <definedName name="SIG_PTBD_ANACOM" hidden="1">#REF!</definedName>
    <definedName name="SIG_PTBD_ARATIOS" hidden="1">#REF!</definedName>
    <definedName name="SIG_PTBD_AZISTOT" hidden="1">'[4]P&amp;L TABLE'!$AH$72</definedName>
    <definedName name="SIG_PTHG_ACFCOM" hidden="1">#REF!</definedName>
    <definedName name="SIG_PTHG_AISCOM" hidden="1">#REF!</definedName>
    <definedName name="SIG_PTHG_AISTOT" hidden="1">'[4]FEB 04 AISTOT'!$H$13</definedName>
    <definedName name="SIG_PTHG_ANACOM" hidden="1">#REF!</definedName>
    <definedName name="SIG_PTHG_ARATIOS" hidden="1">#REF!</definedName>
    <definedName name="SIG_PTHG_AZISTOT" hidden="1">'[4]P&amp;L TABLE'!$H$13</definedName>
    <definedName name="SLEVIN" localSheetId="25"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SLEVIN"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sor" localSheetId="25" hidden="1">{#N/A,#N/A,FALSE,"Aging Summary";#N/A,#N/A,FALSE,"Ratio Analysis";#N/A,#N/A,FALSE,"Test 120 Day Accts";#N/A,#N/A,FALSE,"Tickmarks"}</definedName>
    <definedName name="sor" hidden="1">{#N/A,#N/A,FALSE,"Aging Summary";#N/A,#N/A,FALSE,"Ratio Analysis";#N/A,#N/A,FALSE,"Test 120 Day Accts";#N/A,#N/A,FALSE,"Tickmarks"}</definedName>
    <definedName name="Time">'0.0.Disclaimer'!$K$43</definedName>
    <definedName name="Time_paste">'0.0.Disclaimer'!$K$44</definedName>
    <definedName name="uhewrfu" localSheetId="25" hidden="1">{"toc",#N/A,FALSE,"TOC";"summ",#N/A,FALSE,"summ";"histbs1",#N/A,FALSE,"histBS";"histbs2",#N/A,FALSE,"histBS";"histis",#N/A,FALSE,"histIS";"ratios",#N/A,FALSE,"ratios";"foris",#N/A,FALSE,"forIS";"forbs1",#N/A,FALSE,"forBS";"forbs2",#N/A,FALSE,"forBS";"cf",#N/A,FALSE,"CF";"wc",#N/A,FALSE,"wc";"own.str",#N/A,FALSE,"own.str";"fcf",#N/A,FALSE,"FCF";"wacc",#N/A,FALSE,"wacc";"r(f)",#N/A,FALSE,"r(f)";"glc",#N/A,FALSE,"GLC";"glcbs",#N/A,FALSE,"glcBS";"glccsbs",#N/A,FALSE,"glcCSBS";"glcis",#N/A,FALSE,"glcIS";"glccsis",#N/A,FALSE,"glcCSIS";"glcrat1",#N/A,FALSE,"glcrat1";"glcrat2",#N/A,FALSE,"glcrat2";"norm",#N/A,FALSE,"norm";"control",#N/A,FALSE,"control"}</definedName>
    <definedName name="uhewrfu" hidden="1">{"toc",#N/A,FALSE,"TOC";"summ",#N/A,FALSE,"summ";"histbs1",#N/A,FALSE,"histBS";"histbs2",#N/A,FALSE,"histBS";"histis",#N/A,FALSE,"histIS";"ratios",#N/A,FALSE,"ratios";"foris",#N/A,FALSE,"forIS";"forbs1",#N/A,FALSE,"forBS";"forbs2",#N/A,FALSE,"forBS";"cf",#N/A,FALSE,"CF";"wc",#N/A,FALSE,"wc";"own.str",#N/A,FALSE,"own.str";"fcf",#N/A,FALSE,"FCF";"wacc",#N/A,FALSE,"wacc";"r(f)",#N/A,FALSE,"r(f)";"glc",#N/A,FALSE,"GLC";"glcbs",#N/A,FALSE,"glcBS";"glccsbs",#N/A,FALSE,"glcCSBS";"glcis",#N/A,FALSE,"glcIS";"glccsis",#N/A,FALSE,"glcCSIS";"glcrat1",#N/A,FALSE,"glcrat1";"glcrat2",#N/A,FALSE,"glcrat2";"norm",#N/A,FALSE,"norm";"control",#N/A,FALSE,"control"}</definedName>
    <definedName name="w" localSheetId="25" hidden="1">{#N/A,#N/A,FALSE,"content";#N/A,#N/A,FALSE,"summary";#N/A,#N/A,FALSE,"historicBS";#N/A,#N/A,FALSE,"historicIS";#N/A,#N/A,FALSE,"historicCF";#N/A,#N/A,FALSE,"ratios";#N/A,#N/A,FALSE,"ForecastIS";#N/A,#N/A,FALSE,"DCF-WACC";#N/A,#N/A,FALSE,"DCF-CAPM";#N/A,#N/A,FALSE,"debt";#N/A,#N/A,FALSE,"depreciation";#N/A,#N/A,FALSE,"wacc";"view_a",#N/A,FALSE,"GLC";"view_b",#N/A,FALSE,"GLC";"view_c",#N/A,FALSE,"GLC";"view_d",#N/A,FALSE,"GLC";"view_e",#N/A,FALSE,"GLC";#N/A,#N/A,FALSE,"riskfree";#N/A,#N/A,FALSE,"glcapproach";#N/A,#N/A,FALSE,"control";#N/A,#N/A,FALSE,"marketibility";#N/A,#N/A,FALSE,"rev";#N/A,#N/A,FALSE,"customers";#N/A,#N/A,FALSE,"suppliers";#N/A,#N/A,FALSE,"own.str.";"view_a",#N/A,FALSE,"season";"view_b",#N/A,FALSE,"season"}</definedName>
    <definedName name="w" hidden="1">{#N/A,#N/A,FALSE,"content";#N/A,#N/A,FALSE,"summary";#N/A,#N/A,FALSE,"historicBS";#N/A,#N/A,FALSE,"historicIS";#N/A,#N/A,FALSE,"historicCF";#N/A,#N/A,FALSE,"ratios";#N/A,#N/A,FALSE,"ForecastIS";#N/A,#N/A,FALSE,"DCF-WACC";#N/A,#N/A,FALSE,"DCF-CAPM";#N/A,#N/A,FALSE,"debt";#N/A,#N/A,FALSE,"depreciation";#N/A,#N/A,FALSE,"wacc";"view_a",#N/A,FALSE,"GLC";"view_b",#N/A,FALSE,"GLC";"view_c",#N/A,FALSE,"GLC";"view_d",#N/A,FALSE,"GLC";"view_e",#N/A,FALSE,"GLC";#N/A,#N/A,FALSE,"riskfree";#N/A,#N/A,FALSE,"glcapproach";#N/A,#N/A,FALSE,"control";#N/A,#N/A,FALSE,"marketibility";#N/A,#N/A,FALSE,"rev";#N/A,#N/A,FALSE,"customers";#N/A,#N/A,FALSE,"suppliers";#N/A,#N/A,FALSE,"own.str.";"view_a",#N/A,FALSE,"season";"view_b",#N/A,FALSE,"season"}</definedName>
    <definedName name="wrn" localSheetId="25" hidden="1">{"glc1",#N/A,FALSE,"GLC";"glc2",#N/A,FALSE,"GLC";"glc3",#N/A,FALSE,"GLC";"glc4",#N/A,FALSE,"GLC";"glc5",#N/A,FALSE,"GLC"}</definedName>
    <definedName name="wrn" hidden="1">{"glc1",#N/A,FALSE,"GLC";"glc2",#N/A,FALSE,"GLC";"glc3",#N/A,FALSE,"GLC";"glc4",#N/A,FALSE,"GLC";"glc5",#N/A,FALSE,"GLC"}</definedName>
    <definedName name="wrn.2._.pagers." localSheetId="25" hidden="1">{"Cover",#N/A,FALSE,"Cover";"Summary",#N/A,FALSE,"Summarpage"}</definedName>
    <definedName name="wrn.2._.pagers." hidden="1">{"Cover",#N/A,FALSE,"Cover";"Summary",#N/A,FALSE,"Summarpage"}</definedName>
    <definedName name="wrn.Acquisition_matrix." localSheetId="25" hidden="1">{"Acq_matrix",#N/A,FALSE,"Acquisition Matrix"}</definedName>
    <definedName name="wrn.Acquisition_matrix." hidden="1">{"Acq_matrix",#N/A,FALSE,"Acquisition Matrix"}</definedName>
    <definedName name="wrn.Aging" localSheetId="25" hidden="1">{#N/A,#N/A,FALSE,"Aging Summary";#N/A,#N/A,FALSE,"Ratio Analysis";#N/A,#N/A,FALSE,"Test 120 Day Accts";#N/A,#N/A,FALSE,"Tickmarks"}</definedName>
    <definedName name="wrn.Aging" hidden="1">{#N/A,#N/A,FALSE,"Aging Summary";#N/A,#N/A,FALSE,"Ratio Analysis";#N/A,#N/A,FALSE,"Test 120 Day Accts";#N/A,#N/A,FALSE,"Tickmarks"}</definedName>
    <definedName name="wrn.Aging._.and._.Trend._.Analysis." localSheetId="25"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and._Trend._.Analysis.2" localSheetId="25" hidden="1">{#N/A,#N/A,FALSE,"Aging Summary";#N/A,#N/A,FALSE,"Ratio Analysis";#N/A,#N/A,FALSE,"Test 120 Day Accts";#N/A,#N/A,FALSE,"Tickmarks"}</definedName>
    <definedName name="wrn.Aging.and._Trend._.Analysis.2" hidden="1">{#N/A,#N/A,FALSE,"Aging Summary";#N/A,#N/A,FALSE,"Ratio Analysis";#N/A,#N/A,FALSE,"Test 120 Day Accts";#N/A,#N/A,FALSE,"Tickmarks"}</definedName>
    <definedName name="wrn.all._.input." localSheetId="25"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input."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Pages." localSheetId="25"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pages." localSheetId="25" hidden="1">{#N/A,#N/A,TRUE,"Historicals";#N/A,#N/A,TRUE,"Charts";#N/A,#N/A,TRUE,"Forecasts"}</definedName>
    <definedName name="wrn.allpages." hidden="1">{#N/A,#N/A,TRUE,"Historicals";#N/A,#N/A,TRUE,"Charts";#N/A,#N/A,TRUE,"Forecasts"}</definedName>
    <definedName name="wrn.Annual._.Operating._.Earnings." localSheetId="25" hidden="1">{"Annual 1996",#N/A,FALSE,"Ann-Op (Mng)";"Annual 1996",#N/A,FALSE,"Ann-Op (Rep)";"Operating Vs. Reported Earnings",#N/A,FALSE,"Rpt-Op Inc"}</definedName>
    <definedName name="wrn.Annual._.Operating._.Earnings." hidden="1">{"Annual 1996",#N/A,FALSE,"Ann-Op (Mng)";"Annual 1996",#N/A,FALSE,"Ann-Op (Rep)";"Operating Vs. Reported Earnings",#N/A,FALSE,"Rpt-Op Inc"}</definedName>
    <definedName name="wrn.Annual._.Operating._.Earnings1." localSheetId="25"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AQUIROR._.DCF." localSheetId="25" hidden="1">{"AQUIRORDCF",#N/A,FALSE,"Merger consequences";"Acquirorassns",#N/A,FALSE,"Merger consequences"}</definedName>
    <definedName name="wrn.AQUIROR._.DCF." hidden="1">{"AQUIRORDCF",#N/A,FALSE,"Merger consequences";"Acquirorassns",#N/A,FALSE,"Merger consequences"}</definedName>
    <definedName name="wrn.basicfin." localSheetId="25" hidden="1">{"assets",#N/A,FALSE,"historicBS";"liab",#N/A,FALSE,"historicBS";"is",#N/A,FALSE,"historicIS";"ratios",#N/A,FALSE,"ratios"}</definedName>
    <definedName name="wrn.basicfin." hidden="1">{"assets",#N/A,FALSE,"historicBS";"liab",#N/A,FALSE,"historicBS";"is",#N/A,FALSE,"historicIS";"ratios",#N/A,FALSE,"ratios"}</definedName>
    <definedName name="wrn.basicfin.2" localSheetId="25" hidden="1">{"assets",#N/A,FALSE,"historicBS";"liab",#N/A,FALSE,"historicBS";"is",#N/A,FALSE,"historicIS";"ratios",#N/A,FALSE,"ratios"}</definedName>
    <definedName name="wrn.basicfin.2" hidden="1">{"assets",#N/A,FALSE,"historicBS";"liab",#N/A,FALSE,"historicBS";"is",#N/A,FALSE,"historicIS";"ratios",#N/A,FALSE,"ratios"}</definedName>
    <definedName name="wrn.compco." localSheetId="25" hidden="1">{"page1",#N/A,FALSE,"BHCOMPC5";"page2",#N/A,FALSE,"BHCOMPC5";"page3",#N/A,FALSE,"BHCOMPC5";"page4",#N/A,FALSE,"BHCOMPC5"}</definedName>
    <definedName name="wrn.compco." hidden="1">{"page1",#N/A,FALSE,"BHCOMPC5";"page2",#N/A,FALSE,"BHCOMPC5";"page3",#N/A,FALSE,"BHCOMPC5";"page4",#N/A,FALSE,"BHCOMPC5"}</definedName>
    <definedName name="wrn.Complete." localSheetId="2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DATA._.SHEETS." localSheetId="25" hidden="1">{"page1",#N/A,FALSE,"DATA SHEET";"page2",#N/A,FALSE,"DATA SHEET";"page3",#N/A,FALSE,"DATA SHEET"}</definedName>
    <definedName name="wrn.DATA._.SHEETS." hidden="1">{"page1",#N/A,FALSE,"DATA SHEET";"page2",#N/A,FALSE,"DATA SHEET";"page3",#N/A,FALSE,"DATA SHEET"}</definedName>
    <definedName name="wrn.DCF_Terminal_Value_qchm." localSheetId="25" hidden="1">{"qchm_dcf",#N/A,FALSE,"QCHMDCF2";"qchm_terminal",#N/A,FALSE,"QCHMDCF2"}</definedName>
    <definedName name="wrn.DCF_Terminal_Value_qchm." hidden="1">{"qchm_dcf",#N/A,FALSE,"QCHMDCF2";"qchm_terminal",#N/A,FALSE,"QCHMDCF2"}</definedName>
    <definedName name="wrn.Eilbericht_UBA." localSheetId="25" hidden="1">{"Eilbericht_UBA",#N/A,FALSE,"EB"}</definedName>
    <definedName name="wrn.Eilbericht_UBA." hidden="1">{"Eilbericht_UBA",#N/A,FALSE,"EB"}</definedName>
    <definedName name="wrn.Entire._.Model." localSheetId="25" hidden="1">{#N/A,#N/A,FALSE,"TOC";#N/A,#N/A,FALSE,"ASS";#N/A,#N/A,FALSE,"CF";#N/A,#N/A,FALSE,"Tariff";#N/A,#N/A,FALSE,"Price";#N/A,#N/A,FALSE,"RESERVE";#N/A,#N/A,FALSE,"FUEL&amp;MTC";#N/A,#N/A,FALSE,"DRAW";#N/A,#N/A,FALSE,"IDC";#N/A,#N/A,FALSE,"FIN";#N/A,#N/A,FALSE,"TAXES";#N/A,#N/A,FALSE,"DEPR";#N/A,#N/A,FALSE,"BS";#N/A,#N/A,FALSE,"Perf";#N/A,#N/A,FALSE,"ELOANS";#N/A,#N/A,FALSE,"RETURNS";#N/A,#N/A,FALSE,"ENE";#N/A,#N/A,FALSE,"EINC";#N/A,#N/A,FALSE,"DSCR"}</definedName>
    <definedName name="wrn.Entire._.Model." hidden="1">{#N/A,#N/A,FALSE,"TOC";#N/A,#N/A,FALSE,"ASS";#N/A,#N/A,FALSE,"CF";#N/A,#N/A,FALSE,"Tariff";#N/A,#N/A,FALSE,"Price";#N/A,#N/A,FALSE,"RESERVE";#N/A,#N/A,FALSE,"FUEL&amp;MTC";#N/A,#N/A,FALSE,"DRAW";#N/A,#N/A,FALSE,"IDC";#N/A,#N/A,FALSE,"FIN";#N/A,#N/A,FALSE,"TAXES";#N/A,#N/A,FALSE,"DEPR";#N/A,#N/A,FALSE,"BS";#N/A,#N/A,FALSE,"Perf";#N/A,#N/A,FALSE,"ELOANS";#N/A,#N/A,FALSE,"RETURNS";#N/A,#N/A,FALSE,"ENE";#N/A,#N/A,FALSE,"EINC";#N/A,#N/A,FALSE,"DSCR"}</definedName>
    <definedName name="wrn.enyém." localSheetId="25" hidden="1">{#N/A,#N/A,FALSE,"content";#N/A,#N/A,FALSE,"summary";#N/A,#N/A,FALSE,"historicBS";#N/A,#N/A,FALSE,"historicIS";#N/A,#N/A,FALSE,"historicCF";#N/A,#N/A,FALSE,"ratios";#N/A,#N/A,FALSE,"ForecastIS";#N/A,#N/A,FALSE,"DCF-WACC";#N/A,#N/A,FALSE,"DCF-CAPM";#N/A,#N/A,FALSE,"debt";#N/A,#N/A,FALSE,"depreciation";#N/A,#N/A,FALSE,"wacc";"view_a",#N/A,FALSE,"GLC";"view_b",#N/A,FALSE,"GLC";"view_c",#N/A,FALSE,"GLC";"view_d",#N/A,FALSE,"GLC";"view_e",#N/A,FALSE,"GLC";#N/A,#N/A,FALSE,"riskfree";#N/A,#N/A,FALSE,"glcapproach";#N/A,#N/A,FALSE,"control";#N/A,#N/A,FALSE,"marketibility";#N/A,#N/A,FALSE,"rev";#N/A,#N/A,FALSE,"customers";#N/A,#N/A,FALSE,"suppliers";#N/A,#N/A,FALSE,"own.str.";"view_a",#N/A,FALSE,"season";"view_b",#N/A,FALSE,"season"}</definedName>
    <definedName name="wrn.enyém." hidden="1">{#N/A,#N/A,FALSE,"content";#N/A,#N/A,FALSE,"summary";#N/A,#N/A,FALSE,"historicBS";#N/A,#N/A,FALSE,"historicIS";#N/A,#N/A,FALSE,"historicCF";#N/A,#N/A,FALSE,"ratios";#N/A,#N/A,FALSE,"ForecastIS";#N/A,#N/A,FALSE,"DCF-WACC";#N/A,#N/A,FALSE,"DCF-CAPM";#N/A,#N/A,FALSE,"debt";#N/A,#N/A,FALSE,"depreciation";#N/A,#N/A,FALSE,"wacc";"view_a",#N/A,FALSE,"GLC";"view_b",#N/A,FALSE,"GLC";"view_c",#N/A,FALSE,"GLC";"view_d",#N/A,FALSE,"GLC";"view_e",#N/A,FALSE,"GLC";#N/A,#N/A,FALSE,"riskfree";#N/A,#N/A,FALSE,"glcapproach";#N/A,#N/A,FALSE,"control";#N/A,#N/A,FALSE,"marketibility";#N/A,#N/A,FALSE,"rev";#N/A,#N/A,FALSE,"customers";#N/A,#N/A,FALSE,"suppliers";#N/A,#N/A,FALSE,"own.str.";"view_a",#N/A,FALSE,"season";"view_b",#N/A,FALSE,"season"}</definedName>
    <definedName name="wrn.Ergebnisbericht_UBA." localSheetId="25" hidden="1">{"Ergebnisbericht_UBA",#N/A,FALSE,"MB"}</definedName>
    <definedName name="wrn.Ergebnisbericht_UBA." hidden="1">{"Ergebnisbericht_UBA",#N/A,FALSE,"MB"}</definedName>
    <definedName name="wrn.erstecpmrt." localSheetId="25" hidden="1">{#N/A,#N/A,FALSE,"TOC";#N/A,#N/A,FALSE,"CPM";#N/A,#N/A,FALSE,"Growth";#N/A,#N/A,FALSE,"TRANS_con";#N/A,#N/A,FALSE,"TRANS_min";#N/A,#N/A,FALSE,"control";#N/A,#N/A,FALSE,"ecRat1";#N/A,#N/A,FALSE,"ecBS";#N/A,#N/A,FALSE,"ecCBS";#N/A,#N/A,FALSE,"ecIS";#N/A,#N/A,FALSE,"ecCIS";#N/A,#N/A,FALSE,"WecRat1";#N/A,#N/A,FALSE,"WecBS";#N/A,#N/A,FALSE,"WecCBS";#N/A,#N/A,FALSE,"WecIS";#N/A,#N/A,FALSE,"WecCIS"}</definedName>
    <definedName name="wrn.erstecpmrt." hidden="1">{#N/A,#N/A,FALSE,"TOC";#N/A,#N/A,FALSE,"CPM";#N/A,#N/A,FALSE,"Growth";#N/A,#N/A,FALSE,"TRANS_con";#N/A,#N/A,FALSE,"TRANS_min";#N/A,#N/A,FALSE,"control";#N/A,#N/A,FALSE,"ecRat1";#N/A,#N/A,FALSE,"ecBS";#N/A,#N/A,FALSE,"ecCBS";#N/A,#N/A,FALSE,"ecIS";#N/A,#N/A,FALSE,"ecCIS";#N/A,#N/A,FALSE,"WecRat1";#N/A,#N/A,FALSE,"WecBS";#N/A,#N/A,FALSE,"WecCBS";#N/A,#N/A,FALSE,"WecIS";#N/A,#N/A,FALSE,"WecCIS"}</definedName>
    <definedName name="wrn.Forecast._.Q1." localSheetId="25" hidden="1">{"cover a","1q",FALSE,"Cover";"Op Earn Mgd Q1",#N/A,FALSE,"Op-Earn (Mng)";"Op Earn Rpt Q1",#N/A,FALSE,"Op-Earn (Rpt)";"Loans",#N/A,FALSE,"Loans";"Credit Costs",#N/A,FALSE,"CCosts";"Net Interest Margin",#N/A,FALSE,"Margin";"Nonint Income",#N/A,FALSE,"NonII";"Nonint Exp",#N/A,FALSE,"NonIE";"Valuation",#N/A,FALSE,"Valuation"}</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localSheetId="25" hidden="1">{"cover a","2q",FALSE,"Cover";"Op Earn Mgd Q2",#N/A,FALSE,"Op-Earn (Mng)";"Op Earn Rpt Q2",#N/A,FALSE,"Op-Earn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25"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localSheetId="25" hidden="1">{"cover a","3q",FALSE,"Cover";"Op Earn Mgd Q3",#N/A,FALSE,"Op-Earn (Mng)";"Op Earn Rpt Q3",#N/A,FALSE,"Op-Earn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localSheetId="25" hidden="1">{"cover a","4q",FALSE,"Cover";"Op Earn Mgd Q4",#N/A,FALSE,"Op-Earn (Mng)";"Op Earn Rpt Q4",#N/A,FALSE,"Op-Earn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25"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ull._.Report." localSheetId="25" hidden="1">{#N/A,#N/A,FALSE,"COVER";#N/A,#N/A,FALSE,"VALUATION";#N/A,#N/A,FALSE,"FORECAST";#N/A,#N/A,FALSE,"FY ANALYSIS ";#N/A,#N/A,FALSE," HY ANALYSIS"}</definedName>
    <definedName name="wrn.Full._.Report." hidden="1">{#N/A,#N/A,FALSE,"COVER";#N/A,#N/A,FALSE,"VALUATION";#N/A,#N/A,FALSE,"FORECAST";#N/A,#N/A,FALSE,"FY ANALYSIS ";#N/A,#N/A,FALSE," HY ANALYSIS"}</definedName>
    <definedName name="wrn.glc." localSheetId="25" hidden="1">{"glcbs",#N/A,FALSE,"GLCBS";"glccsbs",#N/A,FALSE,"GLCCSBS";"glcis",#N/A,FALSE,"GLCIS";"glccsis",#N/A,FALSE,"GLCCSIS";"glcrat1",#N/A,FALSE,"GLC-ratios1"}</definedName>
    <definedName name="wrn.glc." hidden="1">{"glcbs",#N/A,FALSE,"GLCBS";"glccsbs",#N/A,FALSE,"GLCCSBS";"glcis",#N/A,FALSE,"GLCIS";"glccsis",#N/A,FALSE,"GLCCSIS";"glcrat1",#N/A,FALSE,"GLC-ratios1"}</definedName>
    <definedName name="wrn.glcpromonte." localSheetId="25" hidden="1">{"glc1",#N/A,FALSE,"GLC";"glc2",#N/A,FALSE,"GLC";"glc3",#N/A,FALSE,"GLC";"glc4",#N/A,FALSE,"GLC";"glc5",#N/A,FALSE,"GLC"}</definedName>
    <definedName name="wrn.glcpromonte." hidden="1">{"glc1",#N/A,FALSE,"GLC";"glc2",#N/A,FALSE,"GLC";"glc3",#N/A,FALSE,"GLC";"glc4",#N/A,FALSE,"GLC";"glc5",#N/A,FALSE,"GLC"}</definedName>
    <definedName name="wrn.HEW." localSheetId="25" hidden="1">{#N/A,#N/A,FALSE,"Cover";#N/A,#N/A,FALSE,"Sensit";#N/A,#N/A,FALSE,"HEW";#N/A,#N/A,FALSE,"Bilanz";#N/A,#N/A,FALSE,"Aufbringung";#N/A,#N/A,FALSE,"Absatz";#N/A,#N/A,FALSE,"Durchleitung";#N/A,#N/A,FALSE,"Konzession";#N/A,#N/A,FALSE,"Personal";#N/A,#N/A,FALSE,"WC ";#N/A,#N/A,FALSE,"Capex Deprec ";#N/A,#N/A,FALSE,"Steuern";#N/A,#N/A,FALSE," Rente";#N/A,#N/A,FALSE," EBITDA"}</definedName>
    <definedName name="wrn.HEW." hidden="1">{#N/A,#N/A,FALSE,"Cover";#N/A,#N/A,FALSE,"Sensit";#N/A,#N/A,FALSE,"HEW";#N/A,#N/A,FALSE,"Bilanz";#N/A,#N/A,FALSE,"Aufbringung";#N/A,#N/A,FALSE,"Absatz";#N/A,#N/A,FALSE,"Durchleitung";#N/A,#N/A,FALSE,"Konzession";#N/A,#N/A,FALSE,"Personal";#N/A,#N/A,FALSE,"WC ";#N/A,#N/A,FALSE,"Capex Deprec ";#N/A,#N/A,FALSE,"Steuern";#N/A,#N/A,FALSE," Rente";#N/A,#N/A,FALSE," EBITDA"}</definedName>
    <definedName name="wrn.HGW." localSheetId="25" hidden="1">{#N/A,#N/A,FALSE,"Cover";#N/A,#N/A,FALSE,"Gas";#N/A,#N/A,FALSE,"Umsatz";#N/A,#N/A,FALSE,"Kosten";#N/A,#N/A,FALSE,"Capex Deprec";#N/A,#N/A,FALSE,"WC";#N/A,#N/A,FALSE,"Rückstellungen";#N/A,#N/A,FALSE,"Rente";#N/A,#N/A,FALSE,"EBITDA"}</definedName>
    <definedName name="wrn.HGW." hidden="1">{#N/A,#N/A,FALSE,"Cover";#N/A,#N/A,FALSE,"Gas";#N/A,#N/A,FALSE,"Umsatz";#N/A,#N/A,FALSE,"Kosten";#N/A,#N/A,FALSE,"Capex Deprec";#N/A,#N/A,FALSE,"WC";#N/A,#N/A,FALSE,"Rückstellungen";#N/A,#N/A,FALSE,"Rente";#N/A,#N/A,FALSE,"EBITDA"}</definedName>
    <definedName name="wrn.Industry.xls." localSheetId="25"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KKW." localSheetId="25" hidden="1">{#N/A,#N/A,FALSE,"Cover";#N/A,#N/A,FALSE,"KKW Sum";#N/A,#N/A,FALSE,"KKW Basisdaten";#N/A,#N/A,FALSE,"DEPRKKW";#N/A,#N/A,FALSE,"Krü";#N/A,#N/A,FALSE,"Bru";#N/A,#N/A,FALSE,"Bro";#N/A,#N/A,FALSE,"Sta"}</definedName>
    <definedName name="wrn.KKW." hidden="1">{#N/A,#N/A,FALSE,"Cover";#N/A,#N/A,FALSE,"KKW Sum";#N/A,#N/A,FALSE,"KKW Basisdaten";#N/A,#N/A,FALSE,"DEPRKKW";#N/A,#N/A,FALSE,"Krü";#N/A,#N/A,FALSE,"Bru";#N/A,#N/A,FALSE,"Bro";#N/A,#N/A,FALSE,"Sta"}</definedName>
    <definedName name="wrn.Kompania._.Piwowarska." localSheetId="25" hidden="1">{#N/A,#N/A,FALSE,"TOC";#N/A,#N/A,FALSE,"Summary";#N/A,#N/A,FALSE,"DCF";#N/A,#N/A,FALSE,"Stats";#N/A,#N/A,FALSE,"Trans";#N/A,#N/A,FALSE,"GLC Method";#N/A,#N/A,FALSE,"IndAnalysis";#N/A,#N/A,FALSE,"DCF_EVA";#N/A,#N/A,FALSE,"Sales";#N/A,#N/A,FALSE,"Costs";#N/A,#N/A,FALSE,"Labour";#N/A,#N/A,FALSE,"Capex";#N/A,#N/A,FALSE,"Amort";#N/A,#N/A,FALSE,"Other IncExp";#N/A,#N/A,FALSE,"WC";#N/A,#N/A,FALSE,"Finan";#N/A,#N/A,FALSE,"TaxPBT";#N/A,#N/A,FALSE,"TaxEBIT";#N/A,#N/A,FALSE,"WACC";#N/A,#N/A,FALSE,"R(f)";#N/A,#N/A,FALSE,"Beta";#N/A,#N/A,FALSE,"Size";#N/A,#N/A,FALSE,"Marketability";#N/A,#N/A,FALSE,"Ctrl";#N/A,#N/A,FALSE,"Redundant"}</definedName>
    <definedName name="wrn.Kompania._.Piwowarska." hidden="1">{#N/A,#N/A,FALSE,"TOC";#N/A,#N/A,FALSE,"Summary";#N/A,#N/A,FALSE,"DCF";#N/A,#N/A,FALSE,"Stats";#N/A,#N/A,FALSE,"Trans";#N/A,#N/A,FALSE,"GLC Method";#N/A,#N/A,FALSE,"IndAnalysis";#N/A,#N/A,FALSE,"DCF_EVA";#N/A,#N/A,FALSE,"Sales";#N/A,#N/A,FALSE,"Costs";#N/A,#N/A,FALSE,"Labour";#N/A,#N/A,FALSE,"Capex";#N/A,#N/A,FALSE,"Amort";#N/A,#N/A,FALSE,"Other IncExp";#N/A,#N/A,FALSE,"WC";#N/A,#N/A,FALSE,"Finan";#N/A,#N/A,FALSE,"TaxPBT";#N/A,#N/A,FALSE,"TaxEBIT";#N/A,#N/A,FALSE,"WACC";#N/A,#N/A,FALSE,"R(f)";#N/A,#N/A,FALSE,"Beta";#N/A,#N/A,FALSE,"Size";#N/A,#N/A,FALSE,"Marketability";#N/A,#N/A,FALSE,"Ctrl";#N/A,#N/A,FALSE,"Redundant"}</definedName>
    <definedName name="wrn.LZUB._.1." localSheetId="25" hidden="1">{#N/A,#N/A,FALSE,"TOC";#N/A,#N/A,FALSE,"Summary";#N/A,#N/A,FALSE,"DCF";#N/A,#N/A,FALSE,"Trans Meth";#N/A,#N/A,FALSE,"GLC Method";#N/A,#N/A,FALSE,"AdjMult";#N/A,#N/A,FALSE,"Compar";#N/A,#N/A,FALSE,"Owners";#N/A,#N/A,FALSE,"Stats";#N/A,#N/A,FALSE,"FS";#N/A,#N/A,FALSE,"Secs";#N/A,#N/A,FALSE,"CAR";#N/A,#N/A,FALSE,"Ratios";#N/A,#N/A,FALSE,"TaxPBT";#N/A,#N/A,FALSE,"CAPM";#N/A,#N/A,FALSE,"R(f)";#N/A,#N/A,FALSE,"Beta";#N/A,#N/A,FALSE,"Size";#N/A,#N/A,FALSE,"Marketability";#N/A,#N/A,FALSE,"Ctrl";#N/A,#N/A,FALSE,"TRANS_con"}</definedName>
    <definedName name="wrn.LZUB._.1." hidden="1">{#N/A,#N/A,FALSE,"TOC";#N/A,#N/A,FALSE,"Summary";#N/A,#N/A,FALSE,"DCF";#N/A,#N/A,FALSE,"Trans Meth";#N/A,#N/A,FALSE,"GLC Method";#N/A,#N/A,FALSE,"AdjMult";#N/A,#N/A,FALSE,"Compar";#N/A,#N/A,FALSE,"Owners";#N/A,#N/A,FALSE,"Stats";#N/A,#N/A,FALSE,"FS";#N/A,#N/A,FALSE,"Secs";#N/A,#N/A,FALSE,"CAR";#N/A,#N/A,FALSE,"Ratios";#N/A,#N/A,FALSE,"TaxPBT";#N/A,#N/A,FALSE,"CAPM";#N/A,#N/A,FALSE,"R(f)";#N/A,#N/A,FALSE,"Beta";#N/A,#N/A,FALSE,"Size";#N/A,#N/A,FALSE,"Marketability";#N/A,#N/A,FALSE,"Ctrl";#N/A,#N/A,FALSE,"TRANS_con"}</definedName>
    <definedName name="wrn.OUTPUT." localSheetId="25" hidden="1">{"DCF","UPSIDE CASE",FALSE,"Sheet1";"DCF","BASE CASE",FALSE,"Sheet1";"DCF","DOWNSIDE CASE",FALSE,"Sheet1"}</definedName>
    <definedName name="wrn.OUTPUT." hidden="1">{"DCF","UPSIDE CASE",FALSE,"Sheet1";"DCF","BASE CASE",FALSE,"Sheet1";"DCF","DOWNSIDE CASE",FALSE,"Sheet1"}</definedName>
    <definedName name="wrn.print." localSheetId="25" hidden="1">{"toc",#N/A,FALSE,"TOC";"summ",#N/A,FALSE,"summ";"histbs1",#N/A,FALSE,"histBS";"histbs2",#N/A,FALSE,"histBS";"histis",#N/A,FALSE,"histIS";"ratios",#N/A,FALSE,"ratios";"foris",#N/A,FALSE,"forIS";"forbs1",#N/A,FALSE,"forBS";"forbs2",#N/A,FALSE,"forBS";"cf",#N/A,FALSE,"CF";"wc",#N/A,FALSE,"wc";"own.str",#N/A,FALSE,"own.str";"fcf",#N/A,FALSE,"FCF";"wacc",#N/A,FALSE,"wacc";"r(f)",#N/A,FALSE,"r(f)";"glc",#N/A,FALSE,"GLC";"glcbs",#N/A,FALSE,"glcBS";"glccsbs",#N/A,FALSE,"glcCSBS";"glcis",#N/A,FALSE,"glcIS";"glccsis",#N/A,FALSE,"glcCSIS";"glcrat1",#N/A,FALSE,"glcrat1";"glcrat2",#N/A,FALSE,"glcrat2";"norm",#N/A,FALSE,"norm";"control",#N/A,FALSE,"control"}</definedName>
    <definedName name="wrn.print." hidden="1">{"toc",#N/A,FALSE,"TOC";"summ",#N/A,FALSE,"summ";"histbs1",#N/A,FALSE,"histBS";"histbs2",#N/A,FALSE,"histBS";"histis",#N/A,FALSE,"histIS";"ratios",#N/A,FALSE,"ratios";"foris",#N/A,FALSE,"forIS";"forbs1",#N/A,FALSE,"forBS";"forbs2",#N/A,FALSE,"forBS";"cf",#N/A,FALSE,"CF";"wc",#N/A,FALSE,"wc";"own.str",#N/A,FALSE,"own.str";"fcf",#N/A,FALSE,"FCF";"wacc",#N/A,FALSE,"wacc";"r(f)",#N/A,FALSE,"r(f)";"glc",#N/A,FALSE,"GLC";"glcbs",#N/A,FALSE,"glcBS";"glccsbs",#N/A,FALSE,"glcCSBS";"glcis",#N/A,FALSE,"glcIS";"glccsis",#N/A,FALSE,"glcCSIS";"glcrat1",#N/A,FALSE,"glcrat1";"glcrat2",#N/A,FALSE,"glcrat2";"norm",#N/A,FALSE,"norm";"control",#N/A,FALSE,"control"}</definedName>
    <definedName name="wrn.Print_model." localSheetId="25" hidden="1">{"toc",#N/A,TRUE,"TOC";"summary",#N/A,TRUE,"Summary";"credit_stats",#N/A,TRUE,"South Operating";"capital_structure",#N/A,TRUE,"Cap Structure";"income",#N/A,TRUE,"South Operating";"Margins_growth",#N/A,TRUE,"South Operating";"dep_amort_capx",#N/A,TRUE,"South Operating";"balance",#N/A,TRUE,"South Operating";"Balance_acq",#N/A,TRUE,"South Operating";"cash",#N/A,TRUE,"South Operating";"capitalization",#N/A,TRUE,"South Operating";"tax",#N/A,TRUE,"South Operating";"returns",#N/A,TRUE,"Returns";"return_calc",#N/A,TRUE,"Returns";"dep_tax",#N/A,TRUE,"South Operating";"dep_book",#N/A,TRUE,"South Operating";"fees",#N/A,TRUE,"Expenses";"tax_benefits",#N/A,TRUE,"Tax Benefits";"scenarios",#N/A,TRUE,"Operating Scenarios"}</definedName>
    <definedName name="wrn.Print_model." hidden="1">{"toc",#N/A,TRUE,"TOC";"summary",#N/A,TRUE,"Summary";"credit_stats",#N/A,TRUE,"South Operating";"capital_structure",#N/A,TRUE,"Cap Structure";"income",#N/A,TRUE,"South Operating";"Margins_growth",#N/A,TRUE,"South Operating";"dep_amort_capx",#N/A,TRUE,"South Operating";"balance",#N/A,TRUE,"South Operating";"Balance_acq",#N/A,TRUE,"South Operating";"cash",#N/A,TRUE,"South Operating";"capitalization",#N/A,TRUE,"South Operating";"tax",#N/A,TRUE,"South Operating";"returns",#N/A,TRUE,"Returns";"return_calc",#N/A,TRUE,"Returns";"dep_tax",#N/A,TRUE,"South Operating";"dep_book",#N/A,TRUE,"South Operating";"fees",#N/A,TRUE,"Expenses";"tax_benefits",#N/A,TRUE,"Tax Benefits";"scenarios",#N/A,TRUE,"Operating Scenarios"}</definedName>
    <definedName name="wrn.PrintAll." localSheetId="25" hidden="1">{"PA1",#N/A,FALSE,"BORDMW";"pa2",#N/A,FALSE,"BORDMW";"PA3",#N/A,FALSE,"BORDMW";"PA4",#N/A,FALSE,"BORDMW"}</definedName>
    <definedName name="wrn.PrintAll." hidden="1">{"PA1",#N/A,FALSE,"BORDMW";"pa2",#N/A,FALSE,"BORDMW";"PA3",#N/A,FALSE,"BORDMW";"PA4",#N/A,FALSE,"BORDMW"}</definedName>
    <definedName name="wrn.Pulp." localSheetId="25" hidden="1">{"Pulp Production",#N/A,FALSE,"Pulp";"Pulp Earnings",#N/A,FALSE,"Pulp"}</definedName>
    <definedName name="wrn.Pulp." hidden="1">{"Pulp Production",#N/A,FALSE,"Pulp";"Pulp Earnings",#N/A,FALSE,"Pulp"}</definedName>
    <definedName name="wrn.Qtr._.Op._.Q1." localSheetId="25" hidden="1">{"Qtr Op Mgd Q1",#N/A,FALSE,"Qtr-Op (Mng)";"Qtr Op Rpt Q1",#N/A,FALSE,"Qtr-Op (Rpt)";"Operating Vs Reported",#N/A,FALSE,"Rpt-Op Inc"}</definedName>
    <definedName name="wrn.Qtr._.Op._.Q1." hidden="1">{"Qtr Op Mgd Q1",#N/A,FALSE,"Qtr-Op (Mng)";"Qtr Op Rpt Q1",#N/A,FALSE,"Qtr-Op (Rpt)";"Operating Vs Reported",#N/A,FALSE,"Rpt-Op Inc"}</definedName>
    <definedName name="wrn.Qtr._.Op._.Q2." localSheetId="25" hidden="1">{"Qtr Op Mgd Q2",#N/A,FALSE,"Qtr-Op (Mng)";"Qtr Op Rpt Q2",#N/A,FALSE,"Qtr-Op (Rpt)";"Operating Vs Reported",#N/A,FALSE,"Rpt-Op Inc"}</definedName>
    <definedName name="wrn.Qtr._.Op._.Q2." hidden="1">{"Qtr Op Mgd Q2",#N/A,FALSE,"Qtr-Op (Mng)";"Qtr Op Rpt Q2",#N/A,FALSE,"Qtr-Op (Rpt)";"Operating Vs Reported",#N/A,FALSE,"Rpt-Op Inc"}</definedName>
    <definedName name="wrn.Qtr._.Op._.Q3." localSheetId="25" hidden="1">{"Qtr Op Mgd Q3",#N/A,FALSE,"Qtr-Op (Mng)";"Qtr Op Rpt Q3",#N/A,FALSE,"Qtr-Op (Rpt)";"Operating Vs Reported",#N/A,FALSE,"Rpt-Op Inc"}</definedName>
    <definedName name="wrn.Qtr._.Op._.Q3." hidden="1">{"Qtr Op Mgd Q3",#N/A,FALSE,"Qtr-Op (Mng)";"Qtr Op Rpt Q3",#N/A,FALSE,"Qtr-Op (Rpt)";"Operating Vs Reported",#N/A,FALSE,"Rpt-Op Inc"}</definedName>
    <definedName name="wrn.Qtr._.Op._.Q4." localSheetId="25"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2a." localSheetId="25" hidden="1">{"Qtr Op Mgd Q2",#N/A,FALSE,"Qtr-Op (Mng)";"Qtr Op Rpt Q2",#N/A,FALSE,"Qtr-Op (Rpt)";"Operating Vs Reported",#N/A,FALSE,"Rpt-Op Inc"}</definedName>
    <definedName name="wrn.Qtr._.Op._Q2a." hidden="1">{"Qtr Op Mgd Q2",#N/A,FALSE,"Qtr-Op (Mng)";"Qtr Op Rpt Q2",#N/A,FALSE,"Qtr-Op (Rpt)";"Operating Vs Reported",#N/A,FALSE,"Rpt-Op Inc"}</definedName>
    <definedName name="wrn.Qtr_.Op._.Q4." localSheetId="25" hidden="1">{"Qtr Op Mgd Q3",#N/A,FALSE,"Qtr-Op (Mng)";"Qtr Op Rpt Q4",#N/A,FALSE,"Qtr-Op (Rpt)";"Operating Vs Reported",#N/A,FALSE,"Rpt-Op Inc"}</definedName>
    <definedName name="wrn.Qtr_.Op._.Q4." hidden="1">{"Qtr Op Mgd Q3",#N/A,FALSE,"Qtr-Op (Mng)";"Qtr Op Rpt Q4",#N/A,FALSE,"Qtr-Op (Rpt)";"Operating Vs Reported",#N/A,FALSE,"Rpt-Op Inc"}</definedName>
    <definedName name="wrn.Report." localSheetId="25" hidden="1">{#N/A,#N/A,FALSE,"COVER";#N/A,#N/A,FALSE,"FORECAST";#N/A,#N/A,FALSE,"VALUATION";#N/A,#N/A,FALSE,"FY ANALYSIS ";#N/A,#N/A,FALSE," HY ANALYSIS"}</definedName>
    <definedName name="wrn.Report." hidden="1">{#N/A,#N/A,FALSE,"COVER";#N/A,#N/A,FALSE,"FORECAST";#N/A,#N/A,FALSE,"VALUATION";#N/A,#N/A,FALSE,"FY ANALYSIS ";#N/A,#N/A,FALSE," HY ANALYSIS"}</definedName>
    <definedName name="wrn.SUMMARY." localSheetId="25"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wrn.SUMMARY."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wrn.TARGET._.DCF." localSheetId="25" hidden="1">{"targetdcf",#N/A,FALSE,"Merger consequences";"TARGETASSU",#N/A,FALSE,"Merger consequences";"TERMINAL VALUE",#N/A,FALSE,"Merger consequences"}</definedName>
    <definedName name="wrn.TARGET._.DCF." hidden="1">{"targetdcf",#N/A,FALSE,"Merger consequences";"TARGETASSU",#N/A,FALSE,"Merger consequences";"TERMINAL VALUE",#N/A,FALSE,"Merger consequences"}</definedName>
    <definedName name="wrn.Tout._.Sauf._.BG." localSheetId="25"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Variance._.3." localSheetId="25" hidden="1">{"Variance Q3",#N/A,FALSE,"Var"}</definedName>
    <definedName name="wrn.Variance._.3." hidden="1">{"Variance Q3",#N/A,FALSE,"Var"}</definedName>
    <definedName name="wrn.Variance._.Q1." localSheetId="25" hidden="1">{"Variance Q1",#N/A,FALSE,"Var"}</definedName>
    <definedName name="wrn.Variance._.Q1." hidden="1">{"Variance Q1",#N/A,FALSE,"Var"}</definedName>
    <definedName name="wrn.Variance._.Q2." localSheetId="25" hidden="1">{"Variance Q2",#N/A,FALSE,"Var"}</definedName>
    <definedName name="wrn.Variance._.Q2." hidden="1">{"Variance Q2",#N/A,FALSE,"Var"}</definedName>
    <definedName name="wrn.Variance._.Q3." localSheetId="25" hidden="1">{"Variance Q3",#N/A,FALSE,"Var"}</definedName>
    <definedName name="wrn.Variance._.Q3." hidden="1">{"Variance Q3",#N/A,FALSE,"Var"}</definedName>
    <definedName name="wrn.Variance._.Q4" localSheetId="25" hidden="1">{"Variance Q4",#N/A,FALSE,"Var"}</definedName>
    <definedName name="wrn.Variance._.Q4" hidden="1">{"Variance Q4",#N/A,FALSE,"Var"}</definedName>
    <definedName name="wrn.Variance._.Q4." localSheetId="25" hidden="1">{"Variance Q4",#N/A,FALSE,"Var"}</definedName>
    <definedName name="wrn.Variance._.Q4." hidden="1">{"Variance Q4",#N/A,FALSE,"Var"}</definedName>
    <definedName name="wrn.Wacc." localSheetId="25" hidden="1">{"Area1",#N/A,FALSE,"OREWACC";"Area2",#N/A,FALSE,"OREWACC"}</definedName>
    <definedName name="wrn.Wacc." hidden="1">{"Area1",#N/A,FALSE,"OREWACC";"Area2",#N/A,FALSE,"OREWACC"}</definedName>
    <definedName name="wrn2.All" localSheetId="25"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2.All"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s>
  <calcPr calcId="152511"/>
</workbook>
</file>

<file path=xl/calcChain.xml><?xml version="1.0" encoding="utf-8"?>
<calcChain xmlns="http://schemas.openxmlformats.org/spreadsheetml/2006/main">
  <c r="V12" i="304" l="1"/>
  <c r="V11" i="304"/>
  <c r="M511" i="315"/>
  <c r="L511" i="315"/>
  <c r="K511" i="315"/>
  <c r="J511" i="315"/>
  <c r="O510" i="315"/>
  <c r="N510" i="315"/>
  <c r="M510" i="315"/>
  <c r="L510" i="315"/>
  <c r="K510" i="315"/>
  <c r="J510" i="315"/>
  <c r="O509" i="315"/>
  <c r="M509" i="315"/>
  <c r="L509" i="315"/>
  <c r="K509" i="315"/>
  <c r="J509" i="315"/>
  <c r="O508" i="315"/>
  <c r="N508" i="315"/>
  <c r="M508" i="315"/>
  <c r="L508" i="315"/>
  <c r="K508" i="315"/>
  <c r="J508" i="315"/>
  <c r="L505" i="315"/>
  <c r="K505" i="315"/>
  <c r="J505" i="315"/>
  <c r="O504" i="315"/>
  <c r="L504" i="315"/>
  <c r="K504" i="315"/>
  <c r="J504" i="315"/>
  <c r="M503" i="315"/>
  <c r="L503" i="315"/>
  <c r="K503" i="315"/>
  <c r="J503" i="315"/>
  <c r="O502" i="315"/>
  <c r="M502" i="315"/>
  <c r="L502" i="315"/>
  <c r="K502" i="315"/>
  <c r="J502" i="315"/>
  <c r="O501" i="315"/>
  <c r="N501" i="315"/>
  <c r="M501" i="315"/>
  <c r="L501" i="315"/>
  <c r="K501" i="315"/>
  <c r="J501" i="315"/>
  <c r="M62" i="311" l="1"/>
  <c r="M16" i="308"/>
  <c r="N45" i="308"/>
  <c r="O30" i="313"/>
  <c r="N30" i="313"/>
  <c r="M30" i="313"/>
  <c r="N75" i="314"/>
  <c r="M75" i="314"/>
  <c r="AF125" i="339"/>
  <c r="AE125" i="339"/>
  <c r="AD125" i="339"/>
  <c r="AC125" i="339"/>
  <c r="AF124" i="339"/>
  <c r="AE124" i="339"/>
  <c r="AD124" i="339"/>
  <c r="AC124" i="339"/>
  <c r="AE123" i="339"/>
  <c r="AF123" i="339"/>
  <c r="AD123" i="339"/>
  <c r="AC123" i="339"/>
  <c r="AD122" i="339"/>
  <c r="AC122" i="339"/>
  <c r="AD121" i="339"/>
  <c r="AC121" i="339"/>
  <c r="W123" i="339"/>
  <c r="W122" i="339"/>
  <c r="W121" i="339"/>
  <c r="W120" i="339"/>
  <c r="V122" i="339"/>
  <c r="V121" i="339"/>
  <c r="V120" i="339"/>
  <c r="U123" i="339"/>
  <c r="U122" i="339"/>
  <c r="T123" i="339"/>
  <c r="T122" i="339"/>
  <c r="U121" i="339"/>
  <c r="T121" i="339"/>
  <c r="U120" i="339"/>
  <c r="T120" i="339"/>
  <c r="AC101" i="339"/>
  <c r="AE100" i="339"/>
  <c r="AD100" i="339"/>
  <c r="AC100" i="339"/>
  <c r="AD99" i="339"/>
  <c r="AC99" i="339"/>
  <c r="AJ112" i="339"/>
  <c r="AJ111" i="339"/>
  <c r="AJ110" i="339"/>
  <c r="AJ109" i="339"/>
  <c r="AJ108" i="339"/>
  <c r="AJ107" i="339"/>
  <c r="AJ106" i="339"/>
  <c r="AJ105" i="339"/>
  <c r="AJ104" i="339"/>
  <c r="AJ103" i="339"/>
  <c r="AJ102" i="339"/>
  <c r="AJ98" i="339"/>
  <c r="AJ97" i="339"/>
  <c r="AJ96" i="339"/>
  <c r="AJ95" i="339"/>
  <c r="AJ94" i="339"/>
  <c r="AJ93" i="339"/>
  <c r="AJ92" i="339"/>
  <c r="AJ91" i="339"/>
  <c r="AJ90" i="339"/>
  <c r="AJ89" i="339"/>
  <c r="AJ88" i="339"/>
  <c r="AJ87" i="339"/>
  <c r="AJ86" i="339"/>
  <c r="AJ85" i="339"/>
  <c r="AJ84" i="339"/>
  <c r="AJ83" i="339"/>
  <c r="AJ82" i="339"/>
  <c r="AJ81" i="339"/>
  <c r="AJ80" i="339"/>
  <c r="AJ79" i="339"/>
  <c r="AJ78" i="339"/>
  <c r="AJ77" i="339"/>
  <c r="AJ76" i="339"/>
  <c r="AJ75" i="339"/>
  <c r="AJ74" i="339"/>
  <c r="AJ73" i="339"/>
  <c r="AJ72" i="339"/>
  <c r="AJ71" i="339"/>
  <c r="AJ70" i="339"/>
  <c r="AJ69" i="339"/>
  <c r="AJ68" i="339"/>
  <c r="AJ67" i="339"/>
  <c r="AJ66" i="339"/>
  <c r="AJ65" i="339"/>
  <c r="AJ64" i="339"/>
  <c r="AJ63" i="339"/>
  <c r="AJ62" i="339"/>
  <c r="AJ61" i="339"/>
  <c r="AJ60" i="339"/>
  <c r="AJ59" i="339"/>
  <c r="AJ58" i="339"/>
  <c r="AJ57" i="339"/>
  <c r="AJ56" i="339"/>
  <c r="AJ55" i="339"/>
  <c r="AJ54" i="339"/>
  <c r="AJ53" i="339"/>
  <c r="AJ52" i="339"/>
  <c r="AJ51" i="339"/>
  <c r="AJ50" i="339"/>
  <c r="AJ49" i="339"/>
  <c r="AJ48" i="339"/>
  <c r="AJ47" i="339"/>
  <c r="AJ46" i="339"/>
  <c r="AJ45" i="339"/>
  <c r="AJ44" i="339"/>
  <c r="AJ43" i="339"/>
  <c r="AJ42" i="339"/>
  <c r="AJ41" i="339"/>
  <c r="AJ40" i="339"/>
  <c r="AJ39" i="339"/>
  <c r="AJ38" i="339"/>
  <c r="AJ37" i="339"/>
  <c r="AJ36" i="339"/>
  <c r="AJ35" i="339"/>
  <c r="AJ34" i="339"/>
  <c r="AJ33" i="339"/>
  <c r="AJ32" i="339"/>
  <c r="AJ31" i="339"/>
  <c r="AJ30" i="339"/>
  <c r="AJ29" i="339"/>
  <c r="AJ28" i="339"/>
  <c r="AJ27" i="339"/>
  <c r="AJ26" i="339"/>
  <c r="AJ25" i="339"/>
  <c r="AJ24" i="339"/>
  <c r="AJ23" i="339"/>
  <c r="AJ22" i="339"/>
  <c r="AJ21" i="339"/>
  <c r="AJ20" i="339"/>
  <c r="AJ19" i="339"/>
  <c r="AJ18" i="339"/>
  <c r="AJ17" i="339"/>
  <c r="AJ16" i="339"/>
  <c r="AJ15" i="339"/>
  <c r="AJ14" i="339"/>
  <c r="AJ13" i="339"/>
  <c r="AJ12" i="339"/>
  <c r="AJ11" i="339"/>
  <c r="AJ10" i="339"/>
  <c r="AJ9" i="339"/>
  <c r="AJ8" i="339"/>
  <c r="AJ7" i="339"/>
  <c r="U115" i="339"/>
  <c r="AC105" i="339"/>
  <c r="AC104" i="339"/>
  <c r="AC103" i="339"/>
  <c r="AC102" i="339"/>
  <c r="AD80" i="339"/>
  <c r="AC80" i="339"/>
  <c r="AC66" i="339"/>
  <c r="AC65" i="339"/>
  <c r="AC64" i="339"/>
  <c r="AC63" i="339"/>
  <c r="AC40" i="339"/>
  <c r="AC35" i="339"/>
  <c r="AC33" i="339"/>
  <c r="AC22" i="339"/>
  <c r="AC115" i="339"/>
  <c r="Z115" i="339"/>
  <c r="Y115" i="339"/>
  <c r="Y118" i="339"/>
  <c r="Z114" i="339"/>
  <c r="Z113" i="339"/>
  <c r="AA111" i="339"/>
  <c r="Z111" i="339"/>
  <c r="Y111" i="339"/>
  <c r="AC110" i="339"/>
  <c r="AA110" i="339"/>
  <c r="Z110" i="339"/>
  <c r="Y110" i="339"/>
  <c r="AA109" i="339"/>
  <c r="Z109" i="339"/>
  <c r="Y109" i="339"/>
  <c r="AA108" i="339"/>
  <c r="Z108" i="339"/>
  <c r="Y108" i="339"/>
  <c r="AA107" i="339"/>
  <c r="Z107" i="339"/>
  <c r="Y107" i="339"/>
  <c r="AA106" i="339"/>
  <c r="Z106" i="339"/>
  <c r="AC106" i="339" s="1"/>
  <c r="Y106" i="339"/>
  <c r="AA105" i="339"/>
  <c r="Z105" i="339"/>
  <c r="Y105" i="339"/>
  <c r="AA104" i="339"/>
  <c r="Z104" i="339"/>
  <c r="Y104" i="339"/>
  <c r="AA103" i="339"/>
  <c r="Z103" i="339"/>
  <c r="Y103" i="339"/>
  <c r="AA102" i="339"/>
  <c r="Z102" i="339"/>
  <c r="Y102" i="339"/>
  <c r="AA101" i="339"/>
  <c r="Z101" i="339"/>
  <c r="Y101" i="339"/>
  <c r="AA100" i="339"/>
  <c r="Z100" i="339"/>
  <c r="Y100" i="339"/>
  <c r="AA99" i="339"/>
  <c r="Z99" i="339"/>
  <c r="Y99" i="339"/>
  <c r="AA98" i="339"/>
  <c r="Z98" i="339"/>
  <c r="Y98" i="339"/>
  <c r="AA97" i="339"/>
  <c r="Z97" i="339"/>
  <c r="Y97" i="339"/>
  <c r="AA96" i="339"/>
  <c r="Z96" i="339"/>
  <c r="Y96" i="339"/>
  <c r="AA95" i="339"/>
  <c r="Z95" i="339"/>
  <c r="Y95" i="339"/>
  <c r="AA94" i="339"/>
  <c r="Z94" i="339"/>
  <c r="Y94" i="339"/>
  <c r="AA93" i="339"/>
  <c r="Z93" i="339"/>
  <c r="Y93" i="339"/>
  <c r="AA92" i="339"/>
  <c r="Z92" i="339"/>
  <c r="Y92" i="339"/>
  <c r="AA91" i="339"/>
  <c r="Z91" i="339"/>
  <c r="Y91" i="339"/>
  <c r="AA90" i="339"/>
  <c r="Z90" i="339"/>
  <c r="Y90" i="339"/>
  <c r="AC89" i="339"/>
  <c r="AD89" i="339" s="1"/>
  <c r="AA89" i="339"/>
  <c r="Z89" i="339"/>
  <c r="Y89" i="339"/>
  <c r="AA88" i="339"/>
  <c r="Z88" i="339"/>
  <c r="Y88" i="339"/>
  <c r="AA87" i="339"/>
  <c r="Z87" i="339"/>
  <c r="Y87" i="339"/>
  <c r="AA86" i="339"/>
  <c r="Z86" i="339"/>
  <c r="Y86" i="339"/>
  <c r="AA85" i="339"/>
  <c r="Z85" i="339"/>
  <c r="AC85" i="339" s="1"/>
  <c r="Y85" i="339"/>
  <c r="AA84" i="339"/>
  <c r="Z84" i="339"/>
  <c r="Y84" i="339"/>
  <c r="AA83" i="339"/>
  <c r="Z83" i="339"/>
  <c r="Y83" i="339"/>
  <c r="AA82" i="339"/>
  <c r="Z82" i="339"/>
  <c r="Y82" i="339"/>
  <c r="AA81" i="339"/>
  <c r="Z81" i="339"/>
  <c r="AC81" i="339" s="1"/>
  <c r="Y81" i="339"/>
  <c r="AA80" i="339"/>
  <c r="Z80" i="339"/>
  <c r="Y80" i="339"/>
  <c r="AA79" i="339"/>
  <c r="Z79" i="339"/>
  <c r="Y79" i="339"/>
  <c r="AA78" i="339"/>
  <c r="Z78" i="339"/>
  <c r="Y78" i="339"/>
  <c r="AA77" i="339"/>
  <c r="AC77" i="339" s="1"/>
  <c r="Z77" i="339"/>
  <c r="Y77" i="339"/>
  <c r="AA76" i="339"/>
  <c r="Z76" i="339"/>
  <c r="AC76" i="339" s="1"/>
  <c r="Y76" i="339"/>
  <c r="AA75" i="339"/>
  <c r="Z75" i="339"/>
  <c r="Y75" i="339"/>
  <c r="AA74" i="339"/>
  <c r="Z74" i="339"/>
  <c r="Y74" i="339"/>
  <c r="AA73" i="339"/>
  <c r="Z73" i="339"/>
  <c r="AC73" i="339" s="1"/>
  <c r="AD73" i="339" s="1"/>
  <c r="Y73" i="339"/>
  <c r="AA72" i="339"/>
  <c r="Z72" i="339"/>
  <c r="AC72" i="339" s="1"/>
  <c r="Y72" i="339"/>
  <c r="AA71" i="339"/>
  <c r="Z71" i="339"/>
  <c r="Y71" i="339"/>
  <c r="AA70" i="339"/>
  <c r="Z70" i="339"/>
  <c r="Y70" i="339"/>
  <c r="AA69" i="339"/>
  <c r="AD69" i="339" s="1"/>
  <c r="Z69" i="339"/>
  <c r="AC69" i="339" s="1"/>
  <c r="Y69" i="339"/>
  <c r="AA68" i="339"/>
  <c r="Z68" i="339"/>
  <c r="Y68" i="339"/>
  <c r="AA67" i="339"/>
  <c r="Z67" i="339"/>
  <c r="Y67" i="339"/>
  <c r="AA66" i="339"/>
  <c r="Z66" i="339"/>
  <c r="Y66" i="339"/>
  <c r="AA65" i="339"/>
  <c r="Z65" i="339"/>
  <c r="Y65" i="339"/>
  <c r="AA64" i="339"/>
  <c r="Z64" i="339"/>
  <c r="Y64" i="339"/>
  <c r="AA63" i="339"/>
  <c r="Z63" i="339"/>
  <c r="Y63" i="339"/>
  <c r="AA62" i="339"/>
  <c r="Z62" i="339"/>
  <c r="Y62" i="339"/>
  <c r="AA61" i="339"/>
  <c r="Z61" i="339"/>
  <c r="Y61" i="339"/>
  <c r="AA60" i="339"/>
  <c r="Z60" i="339"/>
  <c r="Y60" i="339"/>
  <c r="AA59" i="339"/>
  <c r="Z59" i="339"/>
  <c r="Y59" i="339"/>
  <c r="AA58" i="339"/>
  <c r="Z58" i="339"/>
  <c r="Y58" i="339"/>
  <c r="AA57" i="339"/>
  <c r="Z57" i="339"/>
  <c r="Y57" i="339"/>
  <c r="AA56" i="339"/>
  <c r="Z56" i="339"/>
  <c r="Y56" i="339"/>
  <c r="AA55" i="339"/>
  <c r="Z55" i="339"/>
  <c r="Y55" i="339"/>
  <c r="AA54" i="339"/>
  <c r="Z54" i="339"/>
  <c r="Y54" i="339"/>
  <c r="AA53" i="339"/>
  <c r="Z53" i="339"/>
  <c r="Y53" i="339"/>
  <c r="AA52" i="339"/>
  <c r="Z52" i="339"/>
  <c r="Y52" i="339"/>
  <c r="AA51" i="339"/>
  <c r="Z51" i="339"/>
  <c r="Y51" i="339"/>
  <c r="AA50" i="339"/>
  <c r="Z50" i="339"/>
  <c r="Y50" i="339"/>
  <c r="AA49" i="339"/>
  <c r="Z49" i="339"/>
  <c r="Y49" i="339"/>
  <c r="AA48" i="339"/>
  <c r="Z48" i="339"/>
  <c r="Y48" i="339"/>
  <c r="AA47" i="339"/>
  <c r="Z47" i="339"/>
  <c r="Y47" i="339"/>
  <c r="AA46" i="339"/>
  <c r="Z46" i="339"/>
  <c r="Y46" i="339"/>
  <c r="AA45" i="339"/>
  <c r="Z45" i="339"/>
  <c r="Y45" i="339"/>
  <c r="AA44" i="339"/>
  <c r="Z44" i="339"/>
  <c r="Y44" i="339"/>
  <c r="AA43" i="339"/>
  <c r="Z43" i="339"/>
  <c r="Y43" i="339"/>
  <c r="AA42" i="339"/>
  <c r="Z42" i="339"/>
  <c r="Y42" i="339"/>
  <c r="AA41" i="339"/>
  <c r="Z41" i="339"/>
  <c r="Y41" i="339"/>
  <c r="AA40" i="339"/>
  <c r="Z40" i="339"/>
  <c r="Y40" i="339"/>
  <c r="AA39" i="339"/>
  <c r="Z39" i="339"/>
  <c r="Y39" i="339"/>
  <c r="AA38" i="339"/>
  <c r="Z38" i="339"/>
  <c r="Y38" i="339"/>
  <c r="AA37" i="339"/>
  <c r="Z37" i="339"/>
  <c r="Y37" i="339"/>
  <c r="AA36" i="339"/>
  <c r="Z36" i="339"/>
  <c r="Y36" i="339"/>
  <c r="AA35" i="339"/>
  <c r="Z35" i="339"/>
  <c r="Y35" i="339"/>
  <c r="AA34" i="339"/>
  <c r="Z34" i="339"/>
  <c r="Y34" i="339"/>
  <c r="AA33" i="339"/>
  <c r="Z33" i="339"/>
  <c r="Y33" i="339"/>
  <c r="AA32" i="339"/>
  <c r="Z32" i="339"/>
  <c r="Y32" i="339"/>
  <c r="AA31" i="339"/>
  <c r="Z31" i="339"/>
  <c r="Y31" i="339"/>
  <c r="AA30" i="339"/>
  <c r="Z30" i="339"/>
  <c r="Y30" i="339"/>
  <c r="AA29" i="339"/>
  <c r="Z29" i="339"/>
  <c r="Y29" i="339"/>
  <c r="AA28" i="339"/>
  <c r="Z28" i="339"/>
  <c r="Y28" i="339"/>
  <c r="AA27" i="339"/>
  <c r="Z27" i="339"/>
  <c r="Y27" i="339"/>
  <c r="AA26" i="339"/>
  <c r="Z26" i="339"/>
  <c r="Y26" i="339"/>
  <c r="AA25" i="339"/>
  <c r="Z25" i="339"/>
  <c r="Y117" i="339" s="1"/>
  <c r="Y25" i="339"/>
  <c r="Y114" i="339" s="1"/>
  <c r="AA24" i="339"/>
  <c r="Z24" i="339"/>
  <c r="Y24" i="339"/>
  <c r="AA23" i="339"/>
  <c r="Z23" i="339"/>
  <c r="Y23" i="339"/>
  <c r="AA22" i="339"/>
  <c r="Z22" i="339"/>
  <c r="Y22" i="339"/>
  <c r="AA21" i="339"/>
  <c r="Z21" i="339"/>
  <c r="Y21" i="339"/>
  <c r="AA20" i="339"/>
  <c r="Z20" i="339"/>
  <c r="Y20" i="339"/>
  <c r="AA19" i="339"/>
  <c r="Z19" i="339"/>
  <c r="Y19" i="339"/>
  <c r="AA18" i="339"/>
  <c r="Z18" i="339"/>
  <c r="Y18" i="339"/>
  <c r="AA17" i="339"/>
  <c r="Z17" i="339"/>
  <c r="Y17" i="339"/>
  <c r="AA16" i="339"/>
  <c r="Z16" i="339"/>
  <c r="Y16" i="339"/>
  <c r="AA15" i="339"/>
  <c r="Z15" i="339"/>
  <c r="Y15" i="339"/>
  <c r="AA14" i="339"/>
  <c r="Z14" i="339"/>
  <c r="Y14" i="339"/>
  <c r="AA13" i="339"/>
  <c r="Z13" i="339"/>
  <c r="Y13" i="339"/>
  <c r="AA12" i="339"/>
  <c r="Z12" i="339"/>
  <c r="Y12" i="339"/>
  <c r="AA11" i="339"/>
  <c r="Z11" i="339"/>
  <c r="Y11" i="339"/>
  <c r="AA10" i="339"/>
  <c r="Z10" i="339"/>
  <c r="Y10" i="339"/>
  <c r="AA9" i="339"/>
  <c r="Z9" i="339"/>
  <c r="Y9" i="339"/>
  <c r="AA8" i="339"/>
  <c r="Z8" i="339"/>
  <c r="Y8" i="339"/>
  <c r="AA7" i="339"/>
  <c r="Z7" i="339"/>
  <c r="Y7" i="339"/>
  <c r="D18" i="340"/>
  <c r="U112" i="339"/>
  <c r="R112" i="339"/>
  <c r="Q112" i="339"/>
  <c r="O112" i="339"/>
  <c r="N112" i="339"/>
  <c r="AA112" i="339" s="1"/>
  <c r="L112" i="339"/>
  <c r="K112" i="339"/>
  <c r="J112" i="339"/>
  <c r="Z112" i="339" s="1"/>
  <c r="Y124" i="337"/>
  <c r="Y125" i="337"/>
  <c r="Y121" i="337"/>
  <c r="AC119" i="337"/>
  <c r="AC111" i="337"/>
  <c r="AC110" i="337"/>
  <c r="AC109" i="337"/>
  <c r="AC108" i="337"/>
  <c r="AC107" i="337"/>
  <c r="AC106" i="337"/>
  <c r="AD106" i="337" s="1"/>
  <c r="AD105" i="337"/>
  <c r="AE105" i="337" s="1"/>
  <c r="AC105" i="337"/>
  <c r="AC104" i="337"/>
  <c r="AC89" i="337"/>
  <c r="AC88" i="337"/>
  <c r="AC87" i="337"/>
  <c r="AC86" i="337"/>
  <c r="AC85" i="337"/>
  <c r="AC84" i="337"/>
  <c r="AD84" i="337" s="1"/>
  <c r="AD83" i="337"/>
  <c r="AC83" i="337"/>
  <c r="AC82" i="337"/>
  <c r="AC81" i="337"/>
  <c r="AC79" i="337"/>
  <c r="AC78" i="337"/>
  <c r="AC77" i="337"/>
  <c r="AC76" i="337"/>
  <c r="AC75" i="337"/>
  <c r="AC74" i="337"/>
  <c r="AD74" i="337" s="1"/>
  <c r="AD73" i="337"/>
  <c r="AE73" i="337" s="1"/>
  <c r="AC73" i="337"/>
  <c r="AC72" i="337"/>
  <c r="AC71" i="337"/>
  <c r="AC70" i="337"/>
  <c r="AC69" i="337"/>
  <c r="AC68" i="337"/>
  <c r="AC67" i="337"/>
  <c r="AC44" i="337"/>
  <c r="AC39" i="337"/>
  <c r="AC36" i="337"/>
  <c r="AI25" i="337"/>
  <c r="AH25" i="337"/>
  <c r="AG25" i="337"/>
  <c r="AF25" i="337"/>
  <c r="AE25" i="337"/>
  <c r="AD25" i="337"/>
  <c r="AC25" i="337"/>
  <c r="M55" i="314"/>
  <c r="N55" i="314" s="1"/>
  <c r="O55" i="314" s="1"/>
  <c r="P55" i="314" s="1"/>
  <c r="Q55" i="314" s="1"/>
  <c r="R55" i="314" s="1"/>
  <c r="L146" i="305"/>
  <c r="K146" i="305"/>
  <c r="J146" i="305"/>
  <c r="X143" i="305"/>
  <c r="L142" i="305"/>
  <c r="K142" i="305"/>
  <c r="J142" i="305"/>
  <c r="Q144" i="305"/>
  <c r="R144" i="305" s="1"/>
  <c r="R145" i="305" s="1"/>
  <c r="P144" i="305"/>
  <c r="P145" i="305" s="1"/>
  <c r="O144" i="305"/>
  <c r="O145" i="305" s="1"/>
  <c r="N144" i="305"/>
  <c r="N145" i="305" s="1"/>
  <c r="M144" i="305"/>
  <c r="M145" i="305" s="1"/>
  <c r="L144" i="305"/>
  <c r="K144" i="305"/>
  <c r="J144" i="305"/>
  <c r="G148" i="305"/>
  <c r="H144" i="305"/>
  <c r="G142" i="305"/>
  <c r="C141" i="305"/>
  <c r="E148" i="305" s="1"/>
  <c r="Z120" i="337"/>
  <c r="M146" i="305" l="1"/>
  <c r="M148" i="305" s="1"/>
  <c r="M45" i="308" s="1"/>
  <c r="AD101" i="339"/>
  <c r="AE101" i="339"/>
  <c r="AE99" i="339"/>
  <c r="AF100" i="339"/>
  <c r="AG100" i="339"/>
  <c r="AH100" i="339" s="1"/>
  <c r="AD105" i="339"/>
  <c r="AG105" i="339" s="1"/>
  <c r="AD104" i="339"/>
  <c r="AE105" i="339"/>
  <c r="AH105" i="339" s="1"/>
  <c r="AE104" i="339"/>
  <c r="AF105" i="339"/>
  <c r="AF104" i="339"/>
  <c r="AD103" i="339"/>
  <c r="AI103" i="339" s="1"/>
  <c r="AE103" i="339"/>
  <c r="AF103" i="339"/>
  <c r="AG103" i="339"/>
  <c r="AH103" i="339"/>
  <c r="AD102" i="339"/>
  <c r="AE102" i="339"/>
  <c r="AG102" i="339"/>
  <c r="AH102" i="339" s="1"/>
  <c r="AF102" i="339"/>
  <c r="AE80" i="339"/>
  <c r="AI80" i="339" s="1"/>
  <c r="AF80" i="339"/>
  <c r="AG80" i="339"/>
  <c r="AH80" i="339"/>
  <c r="AD66" i="339"/>
  <c r="AF66" i="339" s="1"/>
  <c r="AD65" i="339"/>
  <c r="AE66" i="339"/>
  <c r="AG66" i="339" s="1"/>
  <c r="AD64" i="339"/>
  <c r="AE65" i="339"/>
  <c r="AD63" i="339"/>
  <c r="AE63" i="339"/>
  <c r="AF63" i="339"/>
  <c r="AG63" i="339" s="1"/>
  <c r="AH63" i="339" s="1"/>
  <c r="AD40" i="339"/>
  <c r="AD35" i="339"/>
  <c r="AE35" i="339"/>
  <c r="AF35" i="339" s="1"/>
  <c r="AD33" i="339"/>
  <c r="AD22" i="339"/>
  <c r="AE22" i="339"/>
  <c r="AF22" i="339" s="1"/>
  <c r="AG22" i="339" s="1"/>
  <c r="AC114" i="339"/>
  <c r="AC116" i="339" s="1"/>
  <c r="M20" i="311" s="1"/>
  <c r="M27" i="311"/>
  <c r="AE69" i="339"/>
  <c r="AC88" i="339"/>
  <c r="AD109" i="339"/>
  <c r="AC84" i="339"/>
  <c r="AD84" i="339" s="1"/>
  <c r="AC44" i="339"/>
  <c r="AD44" i="339" s="1"/>
  <c r="AE44" i="339" s="1"/>
  <c r="AC68" i="339"/>
  <c r="AC109" i="339"/>
  <c r="Y112" i="339"/>
  <c r="Y113" i="339" s="1"/>
  <c r="AD77" i="339"/>
  <c r="AD68" i="339"/>
  <c r="AE68" i="339" s="1"/>
  <c r="AD76" i="339"/>
  <c r="AE72" i="339"/>
  <c r="AD72" i="339"/>
  <c r="AF72" i="339" s="1"/>
  <c r="AC36" i="339"/>
  <c r="AD36" i="339" s="1"/>
  <c r="AC70" i="339"/>
  <c r="AD70" i="339" s="1"/>
  <c r="AE73" i="339"/>
  <c r="AF73" i="339" s="1"/>
  <c r="AC74" i="339"/>
  <c r="AD81" i="339"/>
  <c r="AE81" i="339" s="1"/>
  <c r="AD85" i="339"/>
  <c r="AD110" i="339"/>
  <c r="AF69" i="339"/>
  <c r="AC25" i="339"/>
  <c r="AD25" i="339" s="1"/>
  <c r="AE25" i="339" s="1"/>
  <c r="AD106" i="339"/>
  <c r="AE106" i="339" s="1"/>
  <c r="AF106" i="339" s="1"/>
  <c r="AG106" i="339" s="1"/>
  <c r="AD74" i="339"/>
  <c r="AC82" i="339"/>
  <c r="AC86" i="339"/>
  <c r="AE89" i="339"/>
  <c r="AC107" i="339"/>
  <c r="AD107" i="339" s="1"/>
  <c r="AC111" i="339"/>
  <c r="AD111" i="339" s="1"/>
  <c r="AE111" i="339" s="1"/>
  <c r="AC67" i="339"/>
  <c r="AC71" i="339"/>
  <c r="AE74" i="339"/>
  <c r="AC75" i="339"/>
  <c r="AD75" i="339" s="1"/>
  <c r="AE75" i="339" s="1"/>
  <c r="AC79" i="339"/>
  <c r="AD82" i="339"/>
  <c r="AE82" i="339" s="1"/>
  <c r="AD67" i="339"/>
  <c r="AC83" i="339"/>
  <c r="AC87" i="339"/>
  <c r="AC108" i="339"/>
  <c r="AC39" i="339"/>
  <c r="AD39" i="339" s="1"/>
  <c r="AE67" i="339"/>
  <c r="AD87" i="339"/>
  <c r="AD108" i="339"/>
  <c r="AC78" i="339"/>
  <c r="AE108" i="339"/>
  <c r="AD119" i="337"/>
  <c r="AE106" i="337"/>
  <c r="AD111" i="337"/>
  <c r="AD110" i="337"/>
  <c r="AE111" i="337"/>
  <c r="AF105" i="337"/>
  <c r="AD109" i="337"/>
  <c r="AF109" i="337" s="1"/>
  <c r="AD108" i="337"/>
  <c r="AE108" i="337" s="1"/>
  <c r="AF108" i="337" s="1"/>
  <c r="AE109" i="337"/>
  <c r="AD107" i="337"/>
  <c r="AD104" i="337"/>
  <c r="AE104" i="337"/>
  <c r="AF104" i="337" s="1"/>
  <c r="AE84" i="337"/>
  <c r="AF84" i="337"/>
  <c r="AE83" i="337"/>
  <c r="AF83" i="337" s="1"/>
  <c r="AD89" i="337"/>
  <c r="AD81" i="337"/>
  <c r="AE81" i="337" s="1"/>
  <c r="AD88" i="337"/>
  <c r="AD82" i="337"/>
  <c r="AD87" i="337"/>
  <c r="AD86" i="337"/>
  <c r="AE86" i="337" s="1"/>
  <c r="AD85" i="337"/>
  <c r="AE74" i="337"/>
  <c r="AH78" i="337"/>
  <c r="AD71" i="337"/>
  <c r="AF73" i="337"/>
  <c r="AD79" i="337"/>
  <c r="AD70" i="337"/>
  <c r="AE71" i="337"/>
  <c r="AG71" i="337" s="1"/>
  <c r="AD78" i="337"/>
  <c r="AE79" i="337"/>
  <c r="AD72" i="337"/>
  <c r="AE72" i="337" s="1"/>
  <c r="AD69" i="337"/>
  <c r="AE70" i="337"/>
  <c r="AF71" i="337"/>
  <c r="AD77" i="337"/>
  <c r="AE77" i="337" s="1"/>
  <c r="AF77" i="337" s="1"/>
  <c r="AE78" i="337"/>
  <c r="AF79" i="337"/>
  <c r="AD68" i="337"/>
  <c r="AE69" i="337"/>
  <c r="AF70" i="337"/>
  <c r="AD76" i="337"/>
  <c r="AF76" i="337" s="1"/>
  <c r="AF78" i="337"/>
  <c r="AG79" i="337"/>
  <c r="AD67" i="337"/>
  <c r="AE68" i="337"/>
  <c r="AD75" i="337"/>
  <c r="AE75" i="337" s="1"/>
  <c r="AE76" i="337"/>
  <c r="AG78" i="337"/>
  <c r="AH79" i="337"/>
  <c r="AI79" i="337" s="1"/>
  <c r="AD44" i="337"/>
  <c r="AE44" i="337"/>
  <c r="AF44" i="337"/>
  <c r="AG44" i="337" s="1"/>
  <c r="AH44" i="337" s="1"/>
  <c r="AD39" i="337"/>
  <c r="AD36" i="337"/>
  <c r="Q145" i="305"/>
  <c r="X142" i="305"/>
  <c r="Y120" i="337"/>
  <c r="Y122" i="337"/>
  <c r="Z122" i="337"/>
  <c r="Z121" i="337"/>
  <c r="Y119" i="337"/>
  <c r="Y118" i="337"/>
  <c r="Y117" i="337"/>
  <c r="Y116" i="337"/>
  <c r="Y115" i="337"/>
  <c r="Y114" i="337"/>
  <c r="Y113" i="337"/>
  <c r="Y112" i="337"/>
  <c r="Y111" i="337"/>
  <c r="Y110" i="337"/>
  <c r="Y109" i="337"/>
  <c r="Y108" i="337"/>
  <c r="Y107" i="337"/>
  <c r="Y106" i="337"/>
  <c r="Y105" i="337"/>
  <c r="Y104" i="337"/>
  <c r="Y103" i="337"/>
  <c r="Y102" i="337"/>
  <c r="Y101" i="337"/>
  <c r="Y100" i="337"/>
  <c r="Y99" i="337"/>
  <c r="Y98" i="337"/>
  <c r="Y97" i="337"/>
  <c r="Y96" i="337"/>
  <c r="Y95" i="337"/>
  <c r="Y94" i="337"/>
  <c r="Y93" i="337"/>
  <c r="Y92" i="337"/>
  <c r="Y91" i="337"/>
  <c r="Y90" i="337"/>
  <c r="Y89" i="337"/>
  <c r="Y88" i="337"/>
  <c r="Y87" i="337"/>
  <c r="Y86" i="337"/>
  <c r="Y85" i="337"/>
  <c r="Y84" i="337"/>
  <c r="Y83" i="337"/>
  <c r="Y82" i="337"/>
  <c r="Y81" i="337"/>
  <c r="Y80" i="337"/>
  <c r="Y79" i="337"/>
  <c r="Y78" i="337"/>
  <c r="Y77" i="337"/>
  <c r="Y76" i="337"/>
  <c r="Y75" i="337"/>
  <c r="Y74" i="337"/>
  <c r="Y73" i="337"/>
  <c r="Y72" i="337"/>
  <c r="Y71" i="337"/>
  <c r="Y70" i="337"/>
  <c r="Y69" i="337"/>
  <c r="Y68" i="337"/>
  <c r="Y67" i="337"/>
  <c r="Y66" i="337"/>
  <c r="Y65" i="337"/>
  <c r="Y64" i="337"/>
  <c r="Y63" i="337"/>
  <c r="Y62" i="337"/>
  <c r="Y61" i="337"/>
  <c r="Y60" i="337"/>
  <c r="Y59" i="337"/>
  <c r="Y58" i="337"/>
  <c r="Y57" i="337"/>
  <c r="Y56" i="337"/>
  <c r="Y55" i="337"/>
  <c r="Y54" i="337"/>
  <c r="Y53" i="337"/>
  <c r="Y52" i="337"/>
  <c r="Y51" i="337"/>
  <c r="Y50" i="337"/>
  <c r="Y49" i="337"/>
  <c r="Y48" i="337"/>
  <c r="Y47" i="337"/>
  <c r="Y46" i="337"/>
  <c r="Y45" i="337"/>
  <c r="Y44" i="337"/>
  <c r="Y43" i="337"/>
  <c r="Y42" i="337"/>
  <c r="Y41" i="337"/>
  <c r="Y40" i="337"/>
  <c r="Y39" i="337"/>
  <c r="Y38" i="337"/>
  <c r="Y37" i="337"/>
  <c r="Y36" i="337"/>
  <c r="Y35" i="337"/>
  <c r="Y34" i="337"/>
  <c r="Y33" i="337"/>
  <c r="Y32" i="337"/>
  <c r="Y31" i="337"/>
  <c r="Y30" i="337"/>
  <c r="Y29" i="337"/>
  <c r="Y28" i="337"/>
  <c r="Y27" i="337"/>
  <c r="Y26" i="337"/>
  <c r="Y25" i="337"/>
  <c r="Y24" i="337"/>
  <c r="Y23" i="337"/>
  <c r="Y22" i="337"/>
  <c r="Y21" i="337"/>
  <c r="Y20" i="337"/>
  <c r="Y19" i="337"/>
  <c r="Y18" i="337"/>
  <c r="Y17" i="337"/>
  <c r="Y16" i="337"/>
  <c r="Y15" i="337"/>
  <c r="Y14" i="337"/>
  <c r="Y13" i="337"/>
  <c r="Y12" i="337"/>
  <c r="Y11" i="337"/>
  <c r="Y10" i="337"/>
  <c r="Y9" i="337"/>
  <c r="Y8" i="337"/>
  <c r="Y7" i="337"/>
  <c r="AA119" i="337"/>
  <c r="AA118" i="337"/>
  <c r="AA117" i="337"/>
  <c r="AA116" i="337"/>
  <c r="AA115" i="337"/>
  <c r="AA114" i="337"/>
  <c r="AA113" i="337"/>
  <c r="AA112" i="337"/>
  <c r="AA111" i="337"/>
  <c r="AA110" i="337"/>
  <c r="AA109" i="337"/>
  <c r="AA108" i="337"/>
  <c r="AA107" i="337"/>
  <c r="AA106" i="337"/>
  <c r="AA105" i="337"/>
  <c r="AA104" i="337"/>
  <c r="AA103" i="337"/>
  <c r="AA102" i="337"/>
  <c r="AA101" i="337"/>
  <c r="AA100" i="337"/>
  <c r="AA99" i="337"/>
  <c r="AA98" i="337"/>
  <c r="AA97" i="337"/>
  <c r="AA96" i="337"/>
  <c r="AA95" i="337"/>
  <c r="AA94" i="337"/>
  <c r="AA93" i="337"/>
  <c r="AA92" i="337"/>
  <c r="AA91" i="337"/>
  <c r="AA90" i="337"/>
  <c r="AA89" i="337"/>
  <c r="AA88" i="337"/>
  <c r="AA87" i="337"/>
  <c r="AA86" i="337"/>
  <c r="AA85" i="337"/>
  <c r="AA84" i="337"/>
  <c r="AA83" i="337"/>
  <c r="AA82" i="337"/>
  <c r="AA81" i="337"/>
  <c r="AA80" i="337"/>
  <c r="AA79" i="337"/>
  <c r="AA78" i="337"/>
  <c r="AA77" i="337"/>
  <c r="AA76" i="337"/>
  <c r="AA75" i="337"/>
  <c r="AA74" i="337"/>
  <c r="AA73" i="337"/>
  <c r="AA72" i="337"/>
  <c r="AA71" i="337"/>
  <c r="AA70" i="337"/>
  <c r="AA69" i="337"/>
  <c r="AA68" i="337"/>
  <c r="AA67" i="337"/>
  <c r="AA66" i="337"/>
  <c r="AA65" i="337"/>
  <c r="AA64" i="337"/>
  <c r="AA63" i="337"/>
  <c r="AA62" i="337"/>
  <c r="AA61" i="337"/>
  <c r="AA60" i="337"/>
  <c r="AA59" i="337"/>
  <c r="AA58" i="337"/>
  <c r="AA57" i="337"/>
  <c r="AA56" i="337"/>
  <c r="AA55" i="337"/>
  <c r="AA54" i="337"/>
  <c r="AA53" i="337"/>
  <c r="AA52" i="337"/>
  <c r="AA51" i="337"/>
  <c r="AA50" i="337"/>
  <c r="AA49" i="337"/>
  <c r="AA48" i="337"/>
  <c r="AA47" i="337"/>
  <c r="AA46" i="337"/>
  <c r="AA45" i="337"/>
  <c r="AA44" i="337"/>
  <c r="AA43" i="337"/>
  <c r="AA42" i="337"/>
  <c r="AA41" i="337"/>
  <c r="AA40" i="337"/>
  <c r="AA39" i="337"/>
  <c r="AA38" i="337"/>
  <c r="AA37" i="337"/>
  <c r="AA36" i="337"/>
  <c r="AA35" i="337"/>
  <c r="AA34" i="337"/>
  <c r="AA33" i="337"/>
  <c r="AA32" i="337"/>
  <c r="AA31" i="337"/>
  <c r="AA30" i="337"/>
  <c r="AA29" i="337"/>
  <c r="AA28" i="337"/>
  <c r="AA27" i="337"/>
  <c r="AA26" i="337"/>
  <c r="AA25" i="337"/>
  <c r="AA24" i="337"/>
  <c r="AA23" i="337"/>
  <c r="AA22" i="337"/>
  <c r="AA21" i="337"/>
  <c r="AA20" i="337"/>
  <c r="AA19" i="337"/>
  <c r="AA18" i="337"/>
  <c r="AA17" i="337"/>
  <c r="AA16" i="337"/>
  <c r="AA15" i="337"/>
  <c r="AA14" i="337"/>
  <c r="AA13" i="337"/>
  <c r="AA12" i="337"/>
  <c r="AA11" i="337"/>
  <c r="AA10" i="337"/>
  <c r="AA9" i="337"/>
  <c r="AA8" i="337"/>
  <c r="AA7" i="337"/>
  <c r="Z119" i="337"/>
  <c r="Z118" i="337"/>
  <c r="Z117" i="337"/>
  <c r="Z116" i="337"/>
  <c r="Z115" i="337"/>
  <c r="Z114" i="337"/>
  <c r="Z113" i="337"/>
  <c r="Z112" i="337"/>
  <c r="Z111" i="337"/>
  <c r="Z110" i="337"/>
  <c r="Z109" i="337"/>
  <c r="Z108" i="337"/>
  <c r="Z107" i="337"/>
  <c r="Z106" i="337"/>
  <c r="Z105" i="337"/>
  <c r="Z104" i="337"/>
  <c r="Z103" i="337"/>
  <c r="Z102" i="337"/>
  <c r="Z101" i="337"/>
  <c r="Z100" i="337"/>
  <c r="Z99" i="337"/>
  <c r="Z98" i="337"/>
  <c r="Z97" i="337"/>
  <c r="Z96" i="337"/>
  <c r="Z95" i="337"/>
  <c r="Z94" i="337"/>
  <c r="Z93" i="337"/>
  <c r="Z92" i="337"/>
  <c r="Z91" i="337"/>
  <c r="Z90" i="337"/>
  <c r="Z89" i="337"/>
  <c r="Z88" i="337"/>
  <c r="Z87" i="337"/>
  <c r="Z86" i="337"/>
  <c r="Z85" i="337"/>
  <c r="Z84" i="337"/>
  <c r="Z83" i="337"/>
  <c r="Z82" i="337"/>
  <c r="Z81" i="337"/>
  <c r="Z80" i="337"/>
  <c r="Z79" i="337"/>
  <c r="Z78" i="337"/>
  <c r="Z77" i="337"/>
  <c r="Z76" i="337"/>
  <c r="Z75" i="337"/>
  <c r="Z74" i="337"/>
  <c r="Z73" i="337"/>
  <c r="Z72" i="337"/>
  <c r="Z71" i="337"/>
  <c r="Z70" i="337"/>
  <c r="Z69" i="337"/>
  <c r="Z68" i="337"/>
  <c r="Z67" i="337"/>
  <c r="Z66" i="337"/>
  <c r="Z65" i="337"/>
  <c r="Z64" i="337"/>
  <c r="Z63" i="337"/>
  <c r="Z62" i="337"/>
  <c r="Z61" i="337"/>
  <c r="Z60" i="337"/>
  <c r="Z59" i="337"/>
  <c r="Z58" i="337"/>
  <c r="Z57" i="337"/>
  <c r="Z56" i="337"/>
  <c r="Z55" i="337"/>
  <c r="Z54" i="337"/>
  <c r="Z53" i="337"/>
  <c r="Z52" i="337"/>
  <c r="Z51" i="337"/>
  <c r="Z50" i="337"/>
  <c r="Z49" i="337"/>
  <c r="Z48" i="337"/>
  <c r="Z47" i="337"/>
  <c r="Z46" i="337"/>
  <c r="Z45" i="337"/>
  <c r="Z44" i="337"/>
  <c r="Z43" i="337"/>
  <c r="Z42" i="337"/>
  <c r="Z41" i="337"/>
  <c r="Z40" i="337"/>
  <c r="Z39" i="337"/>
  <c r="Z38" i="337"/>
  <c r="Z37" i="337"/>
  <c r="Z36" i="337"/>
  <c r="Z35" i="337"/>
  <c r="Z34" i="337"/>
  <c r="Z33" i="337"/>
  <c r="Z32" i="337"/>
  <c r="Z31" i="337"/>
  <c r="Z30" i="337"/>
  <c r="Z29" i="337"/>
  <c r="Z28" i="337"/>
  <c r="Z27" i="337"/>
  <c r="Z26" i="337"/>
  <c r="Z25" i="337"/>
  <c r="Z24" i="337"/>
  <c r="Z23" i="337"/>
  <c r="Z22" i="337"/>
  <c r="Z21" i="337"/>
  <c r="Z20" i="337"/>
  <c r="Z19" i="337"/>
  <c r="Z18" i="337"/>
  <c r="Z17" i="337"/>
  <c r="Z16" i="337"/>
  <c r="Z15" i="337"/>
  <c r="Z14" i="337"/>
  <c r="Z13" i="337"/>
  <c r="Z12" i="337"/>
  <c r="Z11" i="337"/>
  <c r="Z10" i="337"/>
  <c r="Z9" i="337"/>
  <c r="Z8" i="337"/>
  <c r="Z7" i="337"/>
  <c r="AI100" i="339" l="1"/>
  <c r="AJ100" i="339"/>
  <c r="AD115" i="339"/>
  <c r="N27" i="311" s="1"/>
  <c r="AF99" i="339"/>
  <c r="AF101" i="339"/>
  <c r="AG104" i="339"/>
  <c r="AI104" i="339" s="1"/>
  <c r="AI105" i="339"/>
  <c r="AH104" i="339"/>
  <c r="AI102" i="339"/>
  <c r="AH66" i="339"/>
  <c r="AF64" i="339"/>
  <c r="AF65" i="339"/>
  <c r="AG65" i="339" s="1"/>
  <c r="AI66" i="339"/>
  <c r="AE64" i="339"/>
  <c r="AI63" i="339"/>
  <c r="AE40" i="339"/>
  <c r="AG35" i="339"/>
  <c r="AH35" i="339"/>
  <c r="AI35" i="339"/>
  <c r="AE33" i="339"/>
  <c r="AE114" i="339" s="1"/>
  <c r="AD114" i="339"/>
  <c r="AH22" i="339"/>
  <c r="AI22" i="339"/>
  <c r="AF115" i="339"/>
  <c r="AE115" i="339"/>
  <c r="O27" i="311" s="1"/>
  <c r="AE84" i="339"/>
  <c r="AF84" i="339"/>
  <c r="AF109" i="339"/>
  <c r="AE88" i="339"/>
  <c r="AD86" i="339"/>
  <c r="AE86" i="339" s="1"/>
  <c r="AG72" i="339"/>
  <c r="AD79" i="339"/>
  <c r="AE79" i="339" s="1"/>
  <c r="AE87" i="339"/>
  <c r="AF87" i="339" s="1"/>
  <c r="AG87" i="339" s="1"/>
  <c r="AF70" i="339"/>
  <c r="AG70" i="339" s="1"/>
  <c r="AH70" i="339" s="1"/>
  <c r="AG74" i="339"/>
  <c r="AE109" i="339"/>
  <c r="AD88" i="339"/>
  <c r="AE70" i="339"/>
  <c r="AF74" i="339"/>
  <c r="AE36" i="339"/>
  <c r="AF36" i="339"/>
  <c r="AF111" i="339"/>
  <c r="AG111" i="339"/>
  <c r="AF81" i="339"/>
  <c r="AG81" i="339" s="1"/>
  <c r="AH111" i="339"/>
  <c r="AI111" i="339" s="1"/>
  <c r="AF25" i="339"/>
  <c r="AF68" i="339"/>
  <c r="AI106" i="339"/>
  <c r="AH73" i="339"/>
  <c r="AG73" i="339"/>
  <c r="AH72" i="339"/>
  <c r="AI72" i="339" s="1"/>
  <c r="AF82" i="339"/>
  <c r="AG82" i="339"/>
  <c r="AH106" i="339"/>
  <c r="AE39" i="339"/>
  <c r="AF39" i="339" s="1"/>
  <c r="AI74" i="339"/>
  <c r="AF67" i="339"/>
  <c r="AF88" i="339"/>
  <c r="AG88" i="339" s="1"/>
  <c r="AE76" i="339"/>
  <c r="AE85" i="339"/>
  <c r="AF75" i="339"/>
  <c r="AG75" i="339" s="1"/>
  <c r="AE107" i="339"/>
  <c r="AF107" i="339" s="1"/>
  <c r="AF89" i="339"/>
  <c r="AH74" i="339"/>
  <c r="AD71" i="339"/>
  <c r="AE71" i="339" s="1"/>
  <c r="AG69" i="339"/>
  <c r="AH69" i="339" s="1"/>
  <c r="AD78" i="339"/>
  <c r="AE78" i="339" s="1"/>
  <c r="AE110" i="339"/>
  <c r="AF44" i="339"/>
  <c r="AG44" i="339" s="1"/>
  <c r="AE77" i="339"/>
  <c r="AF77" i="339" s="1"/>
  <c r="AD83" i="339"/>
  <c r="AE83" i="339" s="1"/>
  <c r="AG108" i="339"/>
  <c r="AH108" i="339" s="1"/>
  <c r="AG67" i="339"/>
  <c r="AH67" i="339" s="1"/>
  <c r="AF108" i="339"/>
  <c r="AE119" i="337"/>
  <c r="AG106" i="337"/>
  <c r="AG110" i="337"/>
  <c r="AH110" i="337" s="1"/>
  <c r="AF111" i="337"/>
  <c r="AF106" i="337"/>
  <c r="AE110" i="337"/>
  <c r="AF110" i="337" s="1"/>
  <c r="AG105" i="337"/>
  <c r="AI105" i="337" s="1"/>
  <c r="AH109" i="337"/>
  <c r="AI109" i="337"/>
  <c r="AG108" i="337"/>
  <c r="AE107" i="337"/>
  <c r="AH105" i="337"/>
  <c r="AG109" i="337"/>
  <c r="AG104" i="337"/>
  <c r="AH104" i="337"/>
  <c r="AI104" i="337"/>
  <c r="AG81" i="337"/>
  <c r="AE89" i="337"/>
  <c r="AF81" i="337"/>
  <c r="AE82" i="337"/>
  <c r="AE88" i="337"/>
  <c r="AG83" i="337"/>
  <c r="AH83" i="337" s="1"/>
  <c r="AF86" i="337"/>
  <c r="AG87" i="337"/>
  <c r="AH87" i="337" s="1"/>
  <c r="AF88" i="337"/>
  <c r="AG88" i="337" s="1"/>
  <c r="AG84" i="337"/>
  <c r="AH84" i="337" s="1"/>
  <c r="AE85" i="337"/>
  <c r="AH81" i="337"/>
  <c r="AI81" i="337" s="1"/>
  <c r="AE87" i="337"/>
  <c r="AF87" i="337" s="1"/>
  <c r="AF72" i="337"/>
  <c r="AF67" i="337"/>
  <c r="AI71" i="337"/>
  <c r="AH69" i="337"/>
  <c r="AG77" i="337"/>
  <c r="AF75" i="337"/>
  <c r="AG75" i="337" s="1"/>
  <c r="AG69" i="337"/>
  <c r="AI69" i="337" s="1"/>
  <c r="AG74" i="337"/>
  <c r="AH74" i="337" s="1"/>
  <c r="AH71" i="337"/>
  <c r="AG76" i="337"/>
  <c r="AH76" i="337" s="1"/>
  <c r="AH77" i="337"/>
  <c r="AI77" i="337"/>
  <c r="AF68" i="337"/>
  <c r="AG70" i="337"/>
  <c r="AH70" i="337" s="1"/>
  <c r="AI78" i="337"/>
  <c r="AE67" i="337"/>
  <c r="AG67" i="337" s="1"/>
  <c r="AF74" i="337"/>
  <c r="AF69" i="337"/>
  <c r="AG73" i="337"/>
  <c r="AI44" i="337"/>
  <c r="AE39" i="337"/>
  <c r="AF39" i="337" s="1"/>
  <c r="AE36" i="337"/>
  <c r="X144" i="305"/>
  <c r="AD116" i="339" l="1"/>
  <c r="N20" i="311" s="1"/>
  <c r="AG99" i="339"/>
  <c r="AG101" i="339"/>
  <c r="AH101" i="339" s="1"/>
  <c r="AI101" i="339" s="1"/>
  <c r="AG64" i="339"/>
  <c r="AH64" i="339" s="1"/>
  <c r="AH65" i="339"/>
  <c r="AI65" i="339"/>
  <c r="AF40" i="339"/>
  <c r="AH40" i="339" s="1"/>
  <c r="AI40" i="339" s="1"/>
  <c r="AG40" i="339"/>
  <c r="AF33" i="339"/>
  <c r="AF114" i="339" s="1"/>
  <c r="AF116" i="339" s="1"/>
  <c r="P20" i="311" s="1"/>
  <c r="AG33" i="339"/>
  <c r="AH33" i="339"/>
  <c r="P27" i="311"/>
  <c r="AE116" i="339"/>
  <c r="O20" i="311" s="1"/>
  <c r="AH75" i="339"/>
  <c r="AI75" i="339" s="1"/>
  <c r="AF86" i="339"/>
  <c r="AG86" i="339" s="1"/>
  <c r="AH86" i="339" s="1"/>
  <c r="AI67" i="339"/>
  <c r="AH109" i="339"/>
  <c r="AI109" i="339" s="1"/>
  <c r="AI70" i="339"/>
  <c r="AI69" i="339"/>
  <c r="AG109" i="339"/>
  <c r="AH82" i="339"/>
  <c r="AI82" i="339" s="1"/>
  <c r="AG84" i="339"/>
  <c r="AH84" i="339" s="1"/>
  <c r="AI84" i="339" s="1"/>
  <c r="AI108" i="339"/>
  <c r="AH87" i="339"/>
  <c r="AI87" i="339" s="1"/>
  <c r="AI73" i="339"/>
  <c r="AG79" i="339"/>
  <c r="AF79" i="339"/>
  <c r="AH88" i="339"/>
  <c r="AI88" i="339"/>
  <c r="AF78" i="339"/>
  <c r="AF76" i="339"/>
  <c r="AG76" i="339" s="1"/>
  <c r="AG107" i="339"/>
  <c r="AF71" i="339"/>
  <c r="AH81" i="339"/>
  <c r="AI81" i="339" s="1"/>
  <c r="AG36" i="339"/>
  <c r="AH36" i="339" s="1"/>
  <c r="AG89" i="339"/>
  <c r="AH89" i="339" s="1"/>
  <c r="AI89" i="339" s="1"/>
  <c r="AG68" i="339"/>
  <c r="AH68" i="339" s="1"/>
  <c r="AI68" i="339" s="1"/>
  <c r="AG25" i="339"/>
  <c r="AH25" i="339" s="1"/>
  <c r="AI25" i="339" s="1"/>
  <c r="AF83" i="339"/>
  <c r="AG77" i="339"/>
  <c r="AH77" i="339" s="1"/>
  <c r="AI77" i="339" s="1"/>
  <c r="AH44" i="339"/>
  <c r="AI44" i="339" s="1"/>
  <c r="AG39" i="339"/>
  <c r="AH39" i="339" s="1"/>
  <c r="AI39" i="339" s="1"/>
  <c r="AF110" i="339"/>
  <c r="AG110" i="339" s="1"/>
  <c r="AH110" i="339" s="1"/>
  <c r="AF85" i="339"/>
  <c r="AF119" i="337"/>
  <c r="AG119" i="337" s="1"/>
  <c r="AH119" i="337" s="1"/>
  <c r="AI119" i="337" s="1"/>
  <c r="AI110" i="337"/>
  <c r="AF107" i="337"/>
  <c r="AH106" i="337"/>
  <c r="AI106" i="337" s="1"/>
  <c r="AG111" i="337"/>
  <c r="AH111" i="337" s="1"/>
  <c r="AI111" i="337" s="1"/>
  <c r="AH108" i="337"/>
  <c r="AI108" i="337" s="1"/>
  <c r="AF89" i="337"/>
  <c r="AG86" i="337"/>
  <c r="AH86" i="337" s="1"/>
  <c r="AI84" i="337"/>
  <c r="AF85" i="337"/>
  <c r="AG85" i="337" s="1"/>
  <c r="AG89" i="337"/>
  <c r="AI87" i="337"/>
  <c r="AI83" i="337"/>
  <c r="AH88" i="337"/>
  <c r="AI88" i="337" s="1"/>
  <c r="AF82" i="337"/>
  <c r="AH75" i="337"/>
  <c r="AI75" i="337" s="1"/>
  <c r="AH67" i="337"/>
  <c r="AH72" i="337"/>
  <c r="AI70" i="337"/>
  <c r="AH73" i="337"/>
  <c r="AI73" i="337" s="1"/>
  <c r="AI74" i="337"/>
  <c r="AI76" i="337"/>
  <c r="AG68" i="337"/>
  <c r="AG72" i="337"/>
  <c r="AI67" i="337"/>
  <c r="AG39" i="337"/>
  <c r="AH39" i="337" s="1"/>
  <c r="AI39" i="337" s="1"/>
  <c r="AF36" i="337"/>
  <c r="L13" i="305"/>
  <c r="K13" i="305"/>
  <c r="J13" i="305"/>
  <c r="M11" i="304"/>
  <c r="Q8" i="200" s="1"/>
  <c r="P8" i="200" s="1"/>
  <c r="N31" i="333"/>
  <c r="L18" i="200"/>
  <c r="AG115" i="339" l="1"/>
  <c r="Q27" i="311" s="1"/>
  <c r="AH99" i="339"/>
  <c r="AJ101" i="339"/>
  <c r="AI64" i="339"/>
  <c r="AG114" i="339"/>
  <c r="AH114" i="339"/>
  <c r="AI33" i="339"/>
  <c r="AH79" i="339"/>
  <c r="AI79" i="339" s="1"/>
  <c r="AI86" i="339"/>
  <c r="AI110" i="339"/>
  <c r="AG85" i="339"/>
  <c r="AH85" i="339" s="1"/>
  <c r="AI85" i="339" s="1"/>
  <c r="AG78" i="339"/>
  <c r="AH78" i="339" s="1"/>
  <c r="AI78" i="339" s="1"/>
  <c r="AG83" i="339"/>
  <c r="AH83" i="339" s="1"/>
  <c r="AG71" i="339"/>
  <c r="AH71" i="339" s="1"/>
  <c r="AI36" i="339"/>
  <c r="AH107" i="339"/>
  <c r="AI107" i="339" s="1"/>
  <c r="AH76" i="339"/>
  <c r="AI76" i="339" s="1"/>
  <c r="AG107" i="337"/>
  <c r="AH107" i="337" s="1"/>
  <c r="AH89" i="337"/>
  <c r="AI89" i="337" s="1"/>
  <c r="AI86" i="337"/>
  <c r="AH85" i="337"/>
  <c r="AI85" i="337" s="1"/>
  <c r="AG82" i="337"/>
  <c r="AH82" i="337" s="1"/>
  <c r="AH68" i="337"/>
  <c r="AI68" i="337" s="1"/>
  <c r="AI72" i="337"/>
  <c r="AG36" i="337"/>
  <c r="AH36" i="337" s="1"/>
  <c r="AI36" i="337" s="1"/>
  <c r="AG116" i="339" l="1"/>
  <c r="Q20" i="311" s="1"/>
  <c r="AH115" i="339"/>
  <c r="R27" i="311" s="1"/>
  <c r="AI99" i="339"/>
  <c r="AI71" i="339"/>
  <c r="AI83" i="339"/>
  <c r="AI107" i="337"/>
  <c r="AI82" i="337"/>
  <c r="AI115" i="339" l="1"/>
  <c r="AJ99" i="339"/>
  <c r="AH116" i="339"/>
  <c r="R20" i="311" s="1"/>
  <c r="AI114" i="339"/>
  <c r="AI116" i="339" l="1"/>
  <c r="M10" i="304"/>
  <c r="D7" i="336" l="1"/>
  <c r="L76" i="199"/>
  <c r="K76" i="199"/>
  <c r="J76" i="199"/>
  <c r="L77" i="199"/>
  <c r="K77" i="199"/>
  <c r="J77" i="199"/>
  <c r="L78" i="199"/>
  <c r="K78" i="199"/>
  <c r="J78" i="199"/>
  <c r="L74" i="199"/>
  <c r="K74" i="199"/>
  <c r="J74" i="199"/>
  <c r="L57" i="199"/>
  <c r="K57" i="199"/>
  <c r="J57" i="199"/>
  <c r="L56" i="199"/>
  <c r="K56" i="199"/>
  <c r="J56" i="199"/>
  <c r="AG40" i="199"/>
  <c r="R40" i="199"/>
  <c r="R22" i="313"/>
  <c r="Q22" i="313"/>
  <c r="P22" i="313"/>
  <c r="O22" i="313"/>
  <c r="N22" i="313"/>
  <c r="M22" i="313"/>
  <c r="M35" i="313"/>
  <c r="M36" i="313" s="1"/>
  <c r="M25" i="313"/>
  <c r="M13" i="313"/>
  <c r="AG68" i="199"/>
  <c r="R68" i="199"/>
  <c r="L68" i="199"/>
  <c r="Q68" i="199" s="1"/>
  <c r="K68" i="199"/>
  <c r="P68" i="199" s="1"/>
  <c r="K68" i="314" s="1"/>
  <c r="J68" i="199"/>
  <c r="O68" i="199" s="1"/>
  <c r="E165" i="312"/>
  <c r="E164" i="312"/>
  <c r="AG31" i="199"/>
  <c r="C89" i="56"/>
  <c r="C8" i="312"/>
  <c r="J68" i="314" l="1"/>
  <c r="AD68" i="199"/>
  <c r="L68" i="314"/>
  <c r="M68" i="314" s="1"/>
  <c r="N68" i="314" s="1"/>
  <c r="O68" i="314" s="1"/>
  <c r="P68" i="314" s="1"/>
  <c r="Q68" i="314" s="1"/>
  <c r="R68" i="314" s="1"/>
  <c r="AF68" i="199"/>
  <c r="AE68" i="199"/>
  <c r="F27" i="308" l="1"/>
  <c r="E13" i="308"/>
  <c r="C43" i="56"/>
  <c r="C67" i="305"/>
  <c r="N10" i="304"/>
  <c r="O10" i="304" s="1"/>
  <c r="P10" i="304" s="1"/>
  <c r="Q10" i="304" s="1"/>
  <c r="R10" i="304" s="1"/>
  <c r="R21" i="304" s="1"/>
  <c r="D20" i="304"/>
  <c r="D14" i="304"/>
  <c r="L40" i="304"/>
  <c r="M40" i="304" s="1"/>
  <c r="K40" i="304"/>
  <c r="J40" i="304"/>
  <c r="D6" i="336"/>
  <c r="M60" i="311"/>
  <c r="O60" i="311"/>
  <c r="N60" i="311"/>
  <c r="M51" i="311"/>
  <c r="M13" i="310"/>
  <c r="C10" i="311"/>
  <c r="B7" i="336"/>
  <c r="B8" i="336" s="1"/>
  <c r="B9" i="336" s="1"/>
  <c r="B10" i="336" s="1"/>
  <c r="B11" i="336" s="1"/>
  <c r="B12" i="336" s="1"/>
  <c r="B13" i="336" s="1"/>
  <c r="B14" i="336" s="1"/>
  <c r="B15" i="336" s="1"/>
  <c r="B16" i="336" s="1"/>
  <c r="B17" i="336" s="1"/>
  <c r="B18" i="336" s="1"/>
  <c r="B19" i="336" s="1"/>
  <c r="B20" i="336" s="1"/>
  <c r="B21" i="336" s="1"/>
  <c r="B22" i="336" s="1"/>
  <c r="B23" i="336" s="1"/>
  <c r="B24" i="336" s="1"/>
  <c r="B25" i="336" s="1"/>
  <c r="B26" i="336" s="1"/>
  <c r="B27" i="336" s="1"/>
  <c r="B28" i="336" s="1"/>
  <c r="B29" i="336" s="1"/>
  <c r="B30" i="336" s="1"/>
  <c r="B31" i="336" s="1"/>
  <c r="B32" i="336" s="1"/>
  <c r="B33" i="336" s="1"/>
  <c r="B34" i="336" s="1"/>
  <c r="B35" i="336" s="1"/>
  <c r="B36" i="336" s="1"/>
  <c r="B37" i="336" s="1"/>
  <c r="B38" i="336" s="1"/>
  <c r="B39" i="336" s="1"/>
  <c r="B40" i="336" s="1"/>
  <c r="B41" i="336" s="1"/>
  <c r="B42" i="336" s="1"/>
  <c r="B43" i="336" s="1"/>
  <c r="B44" i="336" s="1"/>
  <c r="B45" i="336" s="1"/>
  <c r="B5" i="336"/>
  <c r="B6" i="336" s="1"/>
  <c r="B4" i="336"/>
  <c r="N13" i="310"/>
  <c r="O13" i="310"/>
  <c r="M186" i="335"/>
  <c r="M185" i="335"/>
  <c r="M184" i="335"/>
  <c r="M183" i="335"/>
  <c r="M180" i="335"/>
  <c r="M179" i="335"/>
  <c r="M178" i="335"/>
  <c r="M177" i="335"/>
  <c r="M176" i="335"/>
  <c r="M174" i="335"/>
  <c r="M173" i="335"/>
  <c r="M172" i="335"/>
  <c r="M171" i="335"/>
  <c r="M170" i="335"/>
  <c r="M165" i="335"/>
  <c r="M164" i="335"/>
  <c r="M163" i="335"/>
  <c r="M158" i="335"/>
  <c r="M157" i="335"/>
  <c r="M155" i="335"/>
  <c r="M154" i="335"/>
  <c r="M153" i="335"/>
  <c r="M152" i="335"/>
  <c r="M151" i="335"/>
  <c r="M150" i="335"/>
  <c r="M149" i="335"/>
  <c r="M148" i="335"/>
  <c r="M147" i="335"/>
  <c r="M146" i="335"/>
  <c r="M145" i="335"/>
  <c r="M143" i="335"/>
  <c r="M142" i="335"/>
  <c r="M141" i="335"/>
  <c r="M140" i="335"/>
  <c r="M139" i="335"/>
  <c r="M138" i="335"/>
  <c r="M137" i="335"/>
  <c r="M136" i="335"/>
  <c r="M134" i="335"/>
  <c r="M133" i="335"/>
  <c r="M132" i="335"/>
  <c r="M127" i="335"/>
  <c r="M126" i="335"/>
  <c r="M125" i="335"/>
  <c r="M123" i="335"/>
  <c r="M122" i="335"/>
  <c r="M116" i="335"/>
  <c r="M114" i="335"/>
  <c r="M101" i="335"/>
  <c r="M100" i="335"/>
  <c r="M98" i="335"/>
  <c r="M97" i="335"/>
  <c r="M94" i="335"/>
  <c r="M92" i="335"/>
  <c r="M90" i="335"/>
  <c r="M86" i="335"/>
  <c r="M85" i="335"/>
  <c r="M78" i="335"/>
  <c r="M77" i="335"/>
  <c r="M73" i="335"/>
  <c r="M65" i="335"/>
  <c r="M64" i="335"/>
  <c r="M63" i="335"/>
  <c r="M62" i="335"/>
  <c r="M61" i="335"/>
  <c r="M58" i="335"/>
  <c r="M56" i="335"/>
  <c r="M55" i="335"/>
  <c r="M54" i="335"/>
  <c r="M51" i="335"/>
  <c r="M50" i="335"/>
  <c r="M49" i="335"/>
  <c r="M46" i="335"/>
  <c r="M45" i="335"/>
  <c r="M41" i="335"/>
  <c r="M40" i="335"/>
  <c r="M39" i="335"/>
  <c r="M36" i="335"/>
  <c r="M35" i="335"/>
  <c r="M34" i="335"/>
  <c r="M29" i="335"/>
  <c r="M27" i="335"/>
  <c r="M26" i="335"/>
  <c r="M25" i="335"/>
  <c r="M24" i="335"/>
  <c r="M23" i="335"/>
  <c r="M22" i="335"/>
  <c r="M19" i="335"/>
  <c r="M18" i="335"/>
  <c r="M17" i="335"/>
  <c r="M14" i="335"/>
  <c r="M13" i="335"/>
  <c r="M12" i="335"/>
  <c r="M9" i="335"/>
  <c r="N191" i="333"/>
  <c r="N190" i="333"/>
  <c r="N189" i="333"/>
  <c r="N188" i="333"/>
  <c r="N187" i="333"/>
  <c r="N184" i="333"/>
  <c r="N183" i="333"/>
  <c r="N182" i="333"/>
  <c r="N181" i="333"/>
  <c r="N180" i="333"/>
  <c r="N179" i="333"/>
  <c r="N178" i="333"/>
  <c r="N176" i="333"/>
  <c r="N175" i="333"/>
  <c r="N174" i="333"/>
  <c r="N173" i="333"/>
  <c r="N172" i="333"/>
  <c r="N167" i="333"/>
  <c r="N166" i="333"/>
  <c r="N165" i="333"/>
  <c r="N161" i="333"/>
  <c r="N154" i="333"/>
  <c r="N153" i="333"/>
  <c r="N152" i="333"/>
  <c r="N151" i="333"/>
  <c r="N150" i="333"/>
  <c r="N149" i="333"/>
  <c r="N148" i="333"/>
  <c r="N147" i="333"/>
  <c r="N146" i="333"/>
  <c r="N145" i="333"/>
  <c r="N144" i="333"/>
  <c r="N142" i="333"/>
  <c r="N141" i="333"/>
  <c r="N140" i="333"/>
  <c r="N139" i="333"/>
  <c r="N138" i="333"/>
  <c r="N137" i="333"/>
  <c r="N136" i="333"/>
  <c r="N134" i="333"/>
  <c r="N133" i="333"/>
  <c r="N132" i="333"/>
  <c r="N128" i="333"/>
  <c r="N127" i="333"/>
  <c r="N126" i="333"/>
  <c r="N124" i="333"/>
  <c r="N123" i="333"/>
  <c r="N120" i="333"/>
  <c r="N117" i="333"/>
  <c r="N115" i="333"/>
  <c r="N104" i="333"/>
  <c r="N100" i="333"/>
  <c r="N98" i="333"/>
  <c r="N97" i="333"/>
  <c r="N94" i="333"/>
  <c r="N92" i="333"/>
  <c r="N90" i="333"/>
  <c r="N86" i="333"/>
  <c r="N85" i="333"/>
  <c r="N78" i="333"/>
  <c r="N77" i="333"/>
  <c r="N73" i="333"/>
  <c r="N65" i="333"/>
  <c r="N64" i="333"/>
  <c r="N63" i="333"/>
  <c r="N62" i="333"/>
  <c r="N61" i="333"/>
  <c r="N60" i="333"/>
  <c r="N57" i="333"/>
  <c r="N55" i="333"/>
  <c r="N54" i="333"/>
  <c r="N53" i="333"/>
  <c r="N51" i="333"/>
  <c r="N50" i="333"/>
  <c r="N49" i="333"/>
  <c r="N46" i="333"/>
  <c r="N45" i="333"/>
  <c r="N41" i="333"/>
  <c r="N40" i="333"/>
  <c r="N39" i="333"/>
  <c r="N36" i="333"/>
  <c r="N35" i="333"/>
  <c r="N34" i="333"/>
  <c r="N29" i="333"/>
  <c r="N27" i="333"/>
  <c r="N26" i="333"/>
  <c r="N25" i="333"/>
  <c r="N24" i="333"/>
  <c r="N23" i="333"/>
  <c r="N22" i="333"/>
  <c r="N20" i="333"/>
  <c r="N18" i="333"/>
  <c r="N17" i="333"/>
  <c r="N14" i="333"/>
  <c r="N13" i="333"/>
  <c r="N12" i="333"/>
  <c r="N9" i="333"/>
  <c r="M40" i="199"/>
  <c r="K186" i="335"/>
  <c r="K192" i="334"/>
  <c r="K191" i="333"/>
  <c r="L55" i="199"/>
  <c r="K55" i="199"/>
  <c r="J55" i="199"/>
  <c r="L39" i="199"/>
  <c r="K39" i="199"/>
  <c r="J39" i="199"/>
  <c r="L70" i="199"/>
  <c r="K70" i="199"/>
  <c r="J70" i="199"/>
  <c r="L66" i="199"/>
  <c r="K66" i="199"/>
  <c r="J66" i="199"/>
  <c r="L67" i="199"/>
  <c r="K67" i="199"/>
  <c r="J67" i="199"/>
  <c r="L60" i="199"/>
  <c r="K60" i="199"/>
  <c r="J60" i="199"/>
  <c r="L61" i="199"/>
  <c r="K61" i="199"/>
  <c r="J61" i="199"/>
  <c r="L37" i="199"/>
  <c r="K37" i="199"/>
  <c r="J37" i="199"/>
  <c r="L34" i="199"/>
  <c r="K34" i="199"/>
  <c r="J34" i="199"/>
  <c r="L33" i="199"/>
  <c r="K33" i="199"/>
  <c r="J33" i="199"/>
  <c r="L32" i="199"/>
  <c r="K32" i="199"/>
  <c r="J32" i="199"/>
  <c r="L31" i="199"/>
  <c r="K31" i="199"/>
  <c r="J31" i="199"/>
  <c r="L35" i="199"/>
  <c r="K35" i="199"/>
  <c r="J35" i="199"/>
  <c r="L23" i="199"/>
  <c r="K23" i="199"/>
  <c r="J23" i="199"/>
  <c r="L21" i="199"/>
  <c r="K21" i="199"/>
  <c r="J21" i="199"/>
  <c r="L16" i="199"/>
  <c r="K16" i="199"/>
  <c r="J16" i="199"/>
  <c r="L14" i="199"/>
  <c r="K14" i="199"/>
  <c r="J14" i="199"/>
  <c r="L9" i="199"/>
  <c r="K9" i="199"/>
  <c r="J9" i="199"/>
  <c r="L75" i="199"/>
  <c r="K75" i="199"/>
  <c r="J75" i="199"/>
  <c r="L51" i="199"/>
  <c r="K51" i="199"/>
  <c r="J51" i="199"/>
  <c r="L50" i="199"/>
  <c r="K50" i="199"/>
  <c r="J50" i="199"/>
  <c r="L49" i="199"/>
  <c r="K49" i="199"/>
  <c r="J49" i="199"/>
  <c r="L48" i="199"/>
  <c r="K48" i="199"/>
  <c r="J48" i="199"/>
  <c r="L46" i="199"/>
  <c r="K46" i="199"/>
  <c r="J46" i="199"/>
  <c r="M13" i="199"/>
  <c r="L44" i="199"/>
  <c r="K44" i="199"/>
  <c r="J44" i="199"/>
  <c r="J18" i="200"/>
  <c r="K183" i="333"/>
  <c r="K184" i="334"/>
  <c r="L47" i="200"/>
  <c r="K47" i="200"/>
  <c r="J47" i="200"/>
  <c r="L34" i="200"/>
  <c r="Q34" i="200" s="1"/>
  <c r="AF34" i="200" s="1"/>
  <c r="K34" i="200"/>
  <c r="P34" i="200" s="1"/>
  <c r="AE34" i="200" s="1"/>
  <c r="J34" i="200"/>
  <c r="O34" i="200" s="1"/>
  <c r="AD34" i="200" s="1"/>
  <c r="L33" i="200"/>
  <c r="Q33" i="200" s="1"/>
  <c r="AF33" i="200" s="1"/>
  <c r="K33" i="200"/>
  <c r="P33" i="200" s="1"/>
  <c r="AE33" i="200" s="1"/>
  <c r="J33" i="200"/>
  <c r="O33" i="200" s="1"/>
  <c r="AD33" i="200" s="1"/>
  <c r="L38" i="200"/>
  <c r="K38" i="200"/>
  <c r="J38" i="200"/>
  <c r="L41" i="200"/>
  <c r="K41" i="200"/>
  <c r="J41" i="200"/>
  <c r="L42" i="200"/>
  <c r="K42" i="200"/>
  <c r="J42" i="200"/>
  <c r="L35" i="200"/>
  <c r="Q35" i="200" s="1"/>
  <c r="AF35" i="200" s="1"/>
  <c r="K35" i="200"/>
  <c r="P35" i="200" s="1"/>
  <c r="J35" i="200"/>
  <c r="O35" i="200" s="1"/>
  <c r="L31" i="200"/>
  <c r="K31" i="200"/>
  <c r="J31" i="200"/>
  <c r="L30" i="200"/>
  <c r="Q30" i="200" s="1"/>
  <c r="AF30" i="200" s="1"/>
  <c r="K30" i="200"/>
  <c r="P30" i="200" s="1"/>
  <c r="AE30" i="200" s="1"/>
  <c r="J30" i="200"/>
  <c r="O30" i="200" s="1"/>
  <c r="AD30" i="200" s="1"/>
  <c r="L29" i="200"/>
  <c r="Q29" i="200" s="1"/>
  <c r="AF29" i="200" s="1"/>
  <c r="K29" i="200"/>
  <c r="P29" i="200" s="1"/>
  <c r="AE29" i="200" s="1"/>
  <c r="J29" i="200"/>
  <c r="O29" i="200" s="1"/>
  <c r="AD29" i="200" s="1"/>
  <c r="L43" i="200"/>
  <c r="K43" i="200"/>
  <c r="J43" i="200"/>
  <c r="L53" i="200"/>
  <c r="K53" i="200"/>
  <c r="J53" i="200"/>
  <c r="L52" i="200"/>
  <c r="K52" i="200"/>
  <c r="J52" i="200"/>
  <c r="L51" i="200"/>
  <c r="K51" i="200"/>
  <c r="J51" i="200"/>
  <c r="L60" i="200"/>
  <c r="K60" i="200"/>
  <c r="J60" i="200"/>
  <c r="L26" i="200"/>
  <c r="K26" i="200"/>
  <c r="J26" i="200"/>
  <c r="L25" i="200"/>
  <c r="K25" i="200"/>
  <c r="J25" i="200"/>
  <c r="L24" i="200"/>
  <c r="K24" i="200"/>
  <c r="J24" i="200"/>
  <c r="L56" i="200"/>
  <c r="K56" i="200"/>
  <c r="J56" i="200"/>
  <c r="L55" i="200"/>
  <c r="K55" i="200"/>
  <c r="J55" i="200"/>
  <c r="L54" i="200"/>
  <c r="K54" i="200"/>
  <c r="J54" i="200"/>
  <c r="L20" i="200"/>
  <c r="L19" i="200" s="1"/>
  <c r="L17" i="200"/>
  <c r="Q17" i="200" s="1"/>
  <c r="L16" i="200"/>
  <c r="Q16" i="200" s="1"/>
  <c r="AF16" i="200" s="1"/>
  <c r="L15" i="200"/>
  <c r="Q15" i="200" s="1"/>
  <c r="AF15" i="200" s="1"/>
  <c r="L13" i="200"/>
  <c r="L12" i="200"/>
  <c r="Q12" i="200" s="1"/>
  <c r="AF12" i="200" s="1"/>
  <c r="L11" i="200"/>
  <c r="Q11" i="200" s="1"/>
  <c r="AF11" i="200" s="1"/>
  <c r="K20" i="200"/>
  <c r="K19" i="200" s="1"/>
  <c r="K17" i="200"/>
  <c r="P17" i="200" s="1"/>
  <c r="K16" i="200"/>
  <c r="P16" i="200" s="1"/>
  <c r="AE16" i="200" s="1"/>
  <c r="K15" i="200"/>
  <c r="P15" i="200" s="1"/>
  <c r="AE15" i="200" s="1"/>
  <c r="K13" i="200"/>
  <c r="K12" i="200"/>
  <c r="P12" i="200" s="1"/>
  <c r="AE12" i="200" s="1"/>
  <c r="K11" i="200"/>
  <c r="P11" i="200" s="1"/>
  <c r="AE11" i="200" s="1"/>
  <c r="J20" i="200"/>
  <c r="J19" i="200" s="1"/>
  <c r="J17" i="200"/>
  <c r="O17" i="200" s="1"/>
  <c r="J16" i="200"/>
  <c r="O16" i="200" s="1"/>
  <c r="AD16" i="200" s="1"/>
  <c r="J15" i="200"/>
  <c r="O15" i="200" s="1"/>
  <c r="AD15" i="200" s="1"/>
  <c r="J13" i="200"/>
  <c r="J12" i="200"/>
  <c r="O12" i="200" s="1"/>
  <c r="AD12" i="200" s="1"/>
  <c r="J11" i="200"/>
  <c r="O11" i="200" s="1"/>
  <c r="AD11" i="200" s="1"/>
  <c r="M14" i="200"/>
  <c r="M10" i="200"/>
  <c r="K185" i="335"/>
  <c r="K184" i="335"/>
  <c r="K183" i="335"/>
  <c r="K182" i="335"/>
  <c r="K181" i="335"/>
  <c r="K180" i="335"/>
  <c r="K179" i="335"/>
  <c r="K178" i="335"/>
  <c r="K177" i="335"/>
  <c r="K176" i="335"/>
  <c r="K175" i="335"/>
  <c r="K174" i="335"/>
  <c r="K173" i="335"/>
  <c r="K172" i="335"/>
  <c r="K171" i="335"/>
  <c r="K170" i="335"/>
  <c r="K169" i="335"/>
  <c r="K168" i="335"/>
  <c r="K167" i="335"/>
  <c r="K166" i="335"/>
  <c r="K165" i="335"/>
  <c r="K164" i="335"/>
  <c r="K163" i="335"/>
  <c r="K162" i="335"/>
  <c r="K161" i="335"/>
  <c r="K160" i="335"/>
  <c r="K159" i="335"/>
  <c r="K158" i="335"/>
  <c r="K157" i="335"/>
  <c r="K156" i="335"/>
  <c r="K155" i="335"/>
  <c r="K154" i="335"/>
  <c r="K153" i="335"/>
  <c r="K152" i="335"/>
  <c r="K151" i="335"/>
  <c r="K150" i="335"/>
  <c r="K149" i="335"/>
  <c r="K148" i="335"/>
  <c r="K147" i="335"/>
  <c r="K146" i="335"/>
  <c r="K145" i="335"/>
  <c r="K144" i="335"/>
  <c r="K143" i="335"/>
  <c r="K142" i="335"/>
  <c r="K141" i="335"/>
  <c r="K140" i="335"/>
  <c r="K139" i="335"/>
  <c r="K138" i="335"/>
  <c r="K137" i="335"/>
  <c r="K136" i="335"/>
  <c r="K135" i="335"/>
  <c r="K134" i="335"/>
  <c r="K133" i="335"/>
  <c r="K132" i="335"/>
  <c r="K131" i="335"/>
  <c r="K130" i="335"/>
  <c r="K129" i="335"/>
  <c r="K128" i="335"/>
  <c r="K127" i="335"/>
  <c r="K126" i="335"/>
  <c r="K125" i="335"/>
  <c r="K124" i="335"/>
  <c r="K123" i="335"/>
  <c r="K122" i="335"/>
  <c r="K121" i="335"/>
  <c r="K120" i="335"/>
  <c r="K119" i="335"/>
  <c r="K118" i="335"/>
  <c r="K117" i="335"/>
  <c r="K116" i="335"/>
  <c r="K115" i="335"/>
  <c r="K114" i="335"/>
  <c r="K113" i="335"/>
  <c r="K112" i="335"/>
  <c r="K111" i="335"/>
  <c r="K110" i="335"/>
  <c r="K109" i="335"/>
  <c r="K108" i="335"/>
  <c r="K107" i="335"/>
  <c r="K106" i="335"/>
  <c r="K105" i="335"/>
  <c r="K104" i="335"/>
  <c r="K103" i="335"/>
  <c r="K102" i="335"/>
  <c r="K101" i="335"/>
  <c r="K100" i="335"/>
  <c r="K99" i="335"/>
  <c r="K98" i="335"/>
  <c r="K97" i="335"/>
  <c r="K96" i="335"/>
  <c r="K95" i="335"/>
  <c r="K94" i="335"/>
  <c r="K93" i="335"/>
  <c r="K92" i="335"/>
  <c r="K91" i="335"/>
  <c r="K90" i="335"/>
  <c r="K89" i="335"/>
  <c r="K88" i="335"/>
  <c r="K87" i="335"/>
  <c r="K86" i="335"/>
  <c r="K85" i="335"/>
  <c r="K84" i="335"/>
  <c r="K83" i="335"/>
  <c r="K82" i="335"/>
  <c r="K81" i="335"/>
  <c r="K80" i="335"/>
  <c r="K79" i="335"/>
  <c r="K78" i="335"/>
  <c r="K77" i="335"/>
  <c r="K76" i="335"/>
  <c r="K75" i="335"/>
  <c r="K74" i="335"/>
  <c r="K73" i="335"/>
  <c r="K72" i="335"/>
  <c r="K71" i="335"/>
  <c r="K70" i="335"/>
  <c r="K69" i="335"/>
  <c r="K68" i="335"/>
  <c r="K67" i="335"/>
  <c r="K66" i="335"/>
  <c r="K65" i="335"/>
  <c r="K64" i="335"/>
  <c r="K63" i="335"/>
  <c r="K62" i="335"/>
  <c r="K61" i="335"/>
  <c r="K60" i="335"/>
  <c r="K59" i="335"/>
  <c r="K58" i="335"/>
  <c r="K57" i="335"/>
  <c r="K56" i="335"/>
  <c r="K55" i="335"/>
  <c r="K54" i="335"/>
  <c r="K53" i="335"/>
  <c r="K52" i="335"/>
  <c r="K51" i="335"/>
  <c r="K50" i="335"/>
  <c r="K49" i="335"/>
  <c r="K48" i="335"/>
  <c r="K47" i="335"/>
  <c r="K46" i="335"/>
  <c r="K45" i="335"/>
  <c r="K44" i="335"/>
  <c r="K43" i="335"/>
  <c r="K42" i="335"/>
  <c r="K41" i="335"/>
  <c r="K40" i="335"/>
  <c r="K39" i="335"/>
  <c r="K38" i="335"/>
  <c r="K37" i="335"/>
  <c r="K36" i="335"/>
  <c r="K35" i="335"/>
  <c r="K34" i="335"/>
  <c r="K33" i="335"/>
  <c r="K32" i="335"/>
  <c r="K31" i="335"/>
  <c r="K30" i="335"/>
  <c r="K29" i="335"/>
  <c r="K28" i="335"/>
  <c r="K27" i="335"/>
  <c r="K26" i="335"/>
  <c r="K25" i="335"/>
  <c r="K24" i="335"/>
  <c r="K23" i="335"/>
  <c r="K22" i="335"/>
  <c r="K21" i="335"/>
  <c r="K20" i="335"/>
  <c r="K19" i="335"/>
  <c r="K18" i="335"/>
  <c r="K17" i="335"/>
  <c r="K16" i="335"/>
  <c r="K15" i="335"/>
  <c r="K14" i="335"/>
  <c r="K13" i="335"/>
  <c r="K12" i="335"/>
  <c r="K11" i="335"/>
  <c r="K10" i="335"/>
  <c r="K9" i="335"/>
  <c r="K191" i="334"/>
  <c r="K190" i="334"/>
  <c r="K189" i="334"/>
  <c r="K188" i="334"/>
  <c r="K187" i="334"/>
  <c r="K186" i="334"/>
  <c r="K185" i="334"/>
  <c r="K183" i="334"/>
  <c r="K182" i="334"/>
  <c r="K181" i="334"/>
  <c r="K179" i="334"/>
  <c r="K178" i="334"/>
  <c r="K177" i="334"/>
  <c r="K176" i="334"/>
  <c r="K175" i="334"/>
  <c r="K174" i="334"/>
  <c r="K173" i="334"/>
  <c r="K172" i="334"/>
  <c r="K171" i="334"/>
  <c r="K170" i="334"/>
  <c r="K169" i="334"/>
  <c r="K168" i="334"/>
  <c r="K167" i="334"/>
  <c r="K166" i="334"/>
  <c r="K165" i="334"/>
  <c r="K164" i="334"/>
  <c r="K163" i="334"/>
  <c r="K162" i="334"/>
  <c r="K161" i="334"/>
  <c r="K160" i="334"/>
  <c r="K159" i="334"/>
  <c r="K158" i="334"/>
  <c r="K157" i="334"/>
  <c r="K156" i="334"/>
  <c r="K155" i="334"/>
  <c r="K154" i="334"/>
  <c r="K153" i="334"/>
  <c r="K152" i="334"/>
  <c r="K151" i="334"/>
  <c r="K150" i="334"/>
  <c r="K149" i="334"/>
  <c r="K148" i="334"/>
  <c r="K147" i="334"/>
  <c r="K146" i="334"/>
  <c r="K145" i="334"/>
  <c r="K144" i="334"/>
  <c r="K143" i="334"/>
  <c r="K142" i="334"/>
  <c r="K141" i="334"/>
  <c r="K140" i="334"/>
  <c r="K139" i="334"/>
  <c r="K138" i="334"/>
  <c r="K137" i="334"/>
  <c r="K136" i="334"/>
  <c r="K135" i="334"/>
  <c r="K134" i="334"/>
  <c r="K133" i="334"/>
  <c r="K132" i="334"/>
  <c r="K131" i="334"/>
  <c r="K130" i="334"/>
  <c r="K129" i="334"/>
  <c r="K128" i="334"/>
  <c r="K127" i="334"/>
  <c r="K126" i="334"/>
  <c r="K125" i="334"/>
  <c r="K124" i="334"/>
  <c r="K123" i="334"/>
  <c r="K122" i="334"/>
  <c r="K121" i="334"/>
  <c r="K120" i="334"/>
  <c r="K119" i="334"/>
  <c r="K118" i="334"/>
  <c r="K117" i="334"/>
  <c r="K116" i="334"/>
  <c r="K115" i="334"/>
  <c r="K114" i="334"/>
  <c r="K113" i="334"/>
  <c r="K112" i="334"/>
  <c r="K111" i="334"/>
  <c r="K110" i="334"/>
  <c r="K109" i="334"/>
  <c r="K108" i="334"/>
  <c r="K107" i="334"/>
  <c r="K106" i="334"/>
  <c r="K105" i="334"/>
  <c r="K104" i="334"/>
  <c r="K103" i="334"/>
  <c r="K102" i="334"/>
  <c r="K101" i="334"/>
  <c r="K100" i="334"/>
  <c r="K99" i="334"/>
  <c r="K98" i="334"/>
  <c r="K97" i="334"/>
  <c r="K96" i="334"/>
  <c r="K95" i="334"/>
  <c r="K94" i="334"/>
  <c r="K93" i="334"/>
  <c r="K92" i="334"/>
  <c r="K91" i="334"/>
  <c r="K90" i="334"/>
  <c r="K89" i="334"/>
  <c r="K88" i="334"/>
  <c r="K87" i="334"/>
  <c r="K86" i="334"/>
  <c r="K85" i="334"/>
  <c r="K84" i="334"/>
  <c r="K83" i="334"/>
  <c r="K82" i="334"/>
  <c r="K81" i="334"/>
  <c r="K80" i="334"/>
  <c r="K79" i="334"/>
  <c r="K78" i="334"/>
  <c r="K77" i="334"/>
  <c r="K76" i="334"/>
  <c r="K75" i="334"/>
  <c r="K74" i="334"/>
  <c r="K73" i="334"/>
  <c r="K72" i="334"/>
  <c r="K71" i="334"/>
  <c r="K70" i="334"/>
  <c r="K69" i="334"/>
  <c r="K68" i="334"/>
  <c r="K67" i="334"/>
  <c r="K66" i="334"/>
  <c r="K65" i="334"/>
  <c r="K64" i="334"/>
  <c r="K63" i="334"/>
  <c r="K62" i="334"/>
  <c r="K61" i="334"/>
  <c r="K60" i="334"/>
  <c r="K59" i="334"/>
  <c r="K58" i="334"/>
  <c r="K57" i="334"/>
  <c r="K56" i="334"/>
  <c r="K55" i="334"/>
  <c r="K54" i="334"/>
  <c r="K53" i="334"/>
  <c r="K52" i="334"/>
  <c r="K51" i="334"/>
  <c r="K50" i="334"/>
  <c r="K49" i="334"/>
  <c r="K48" i="334"/>
  <c r="K47" i="334"/>
  <c r="K46" i="334"/>
  <c r="K45" i="334"/>
  <c r="K44" i="334"/>
  <c r="K43" i="334"/>
  <c r="K42" i="334"/>
  <c r="K41" i="334"/>
  <c r="K40" i="334"/>
  <c r="K39" i="334"/>
  <c r="K38" i="334"/>
  <c r="K37" i="334"/>
  <c r="K36" i="334"/>
  <c r="K35" i="334"/>
  <c r="K34" i="334"/>
  <c r="K33" i="334"/>
  <c r="K32" i="334"/>
  <c r="K31" i="334"/>
  <c r="K30" i="334"/>
  <c r="K29" i="334"/>
  <c r="K28" i="334"/>
  <c r="K27" i="334"/>
  <c r="K26" i="334"/>
  <c r="K25" i="334"/>
  <c r="K24" i="334"/>
  <c r="K23" i="334"/>
  <c r="K22" i="334"/>
  <c r="K21" i="334"/>
  <c r="K20" i="334"/>
  <c r="K19" i="334"/>
  <c r="K18" i="334"/>
  <c r="K17" i="334"/>
  <c r="K16" i="334"/>
  <c r="K15" i="334"/>
  <c r="K14" i="334"/>
  <c r="K13" i="334"/>
  <c r="K12" i="334"/>
  <c r="K11" i="334"/>
  <c r="K10" i="334"/>
  <c r="K9" i="334"/>
  <c r="K190" i="333"/>
  <c r="K189" i="333"/>
  <c r="K188" i="333"/>
  <c r="K187" i="333"/>
  <c r="K186" i="333"/>
  <c r="K185" i="333"/>
  <c r="K184" i="333"/>
  <c r="K182" i="333"/>
  <c r="K181" i="333"/>
  <c r="K180" i="333"/>
  <c r="K179" i="333"/>
  <c r="K178" i="333"/>
  <c r="K176" i="333"/>
  <c r="K175" i="333"/>
  <c r="K174" i="333"/>
  <c r="K173" i="333"/>
  <c r="K172" i="333"/>
  <c r="K171" i="333"/>
  <c r="K170" i="333"/>
  <c r="K169" i="333"/>
  <c r="K168" i="333"/>
  <c r="K167" i="333"/>
  <c r="K166" i="333"/>
  <c r="K165" i="333"/>
  <c r="K164" i="333"/>
  <c r="K163" i="333"/>
  <c r="K162" i="333"/>
  <c r="K161" i="333"/>
  <c r="K160" i="333"/>
  <c r="K159" i="333"/>
  <c r="K158" i="333"/>
  <c r="K157" i="333"/>
  <c r="K156" i="333"/>
  <c r="K155" i="333"/>
  <c r="K154" i="333"/>
  <c r="K153" i="333"/>
  <c r="K152" i="333"/>
  <c r="K151" i="333"/>
  <c r="K150" i="333"/>
  <c r="K149" i="333"/>
  <c r="K148" i="333"/>
  <c r="K147" i="333"/>
  <c r="K146" i="333"/>
  <c r="K145" i="333"/>
  <c r="K144" i="333"/>
  <c r="K143" i="333"/>
  <c r="K142" i="333"/>
  <c r="K141" i="333"/>
  <c r="K140" i="333"/>
  <c r="K139" i="333"/>
  <c r="K138" i="333"/>
  <c r="K137" i="333"/>
  <c r="K136" i="333"/>
  <c r="K135" i="333"/>
  <c r="K134" i="333"/>
  <c r="K133" i="333"/>
  <c r="K132" i="333"/>
  <c r="K131" i="333"/>
  <c r="K130" i="333"/>
  <c r="K129" i="333"/>
  <c r="K128" i="333"/>
  <c r="K127" i="333"/>
  <c r="K126" i="333"/>
  <c r="K125" i="333"/>
  <c r="K124" i="333"/>
  <c r="K123" i="333"/>
  <c r="K122" i="333"/>
  <c r="K121" i="333"/>
  <c r="K120" i="333"/>
  <c r="K119" i="333"/>
  <c r="K118" i="333"/>
  <c r="K117" i="333"/>
  <c r="K116" i="333"/>
  <c r="K115" i="333"/>
  <c r="K114" i="333"/>
  <c r="K113" i="333"/>
  <c r="K112" i="333"/>
  <c r="K111" i="333"/>
  <c r="K110" i="333"/>
  <c r="K109" i="333"/>
  <c r="K108" i="333"/>
  <c r="K107" i="333"/>
  <c r="K106" i="333"/>
  <c r="K105" i="333"/>
  <c r="K104" i="333"/>
  <c r="K103" i="333"/>
  <c r="K102" i="333"/>
  <c r="K101" i="333"/>
  <c r="K100" i="333"/>
  <c r="K99" i="333"/>
  <c r="K98" i="333"/>
  <c r="K97" i="333"/>
  <c r="K96" i="333"/>
  <c r="K95" i="333"/>
  <c r="K94" i="333"/>
  <c r="K93" i="333"/>
  <c r="K92" i="333"/>
  <c r="K91" i="333"/>
  <c r="K90" i="333"/>
  <c r="K89" i="333"/>
  <c r="K88" i="333"/>
  <c r="K87" i="333"/>
  <c r="K86" i="333"/>
  <c r="K85" i="333"/>
  <c r="K84" i="333"/>
  <c r="K83" i="333"/>
  <c r="K82" i="333"/>
  <c r="K81" i="333"/>
  <c r="K80" i="333"/>
  <c r="K79" i="333"/>
  <c r="K78" i="333"/>
  <c r="K77" i="333"/>
  <c r="K76" i="333"/>
  <c r="K75" i="333"/>
  <c r="K74" i="333"/>
  <c r="K73" i="333"/>
  <c r="K72" i="333"/>
  <c r="K71" i="333"/>
  <c r="K70" i="333"/>
  <c r="K69" i="333"/>
  <c r="K68" i="333"/>
  <c r="K67" i="333"/>
  <c r="K66" i="333"/>
  <c r="K65" i="333"/>
  <c r="K64" i="333"/>
  <c r="K63" i="333"/>
  <c r="K62" i="333"/>
  <c r="K61" i="333"/>
  <c r="K60" i="333"/>
  <c r="K59" i="333"/>
  <c r="K58" i="333"/>
  <c r="K57" i="333"/>
  <c r="K56" i="333"/>
  <c r="K55" i="333"/>
  <c r="K54" i="333"/>
  <c r="K53" i="333"/>
  <c r="K52" i="333"/>
  <c r="K51" i="333"/>
  <c r="K50" i="333"/>
  <c r="K49" i="333"/>
  <c r="K48" i="333"/>
  <c r="K47" i="333"/>
  <c r="K46" i="333"/>
  <c r="K45" i="333"/>
  <c r="K44" i="333"/>
  <c r="K43" i="333"/>
  <c r="K42" i="333"/>
  <c r="K41" i="333"/>
  <c r="K40" i="333"/>
  <c r="K39" i="333"/>
  <c r="K38" i="333"/>
  <c r="K37" i="333"/>
  <c r="K36" i="333"/>
  <c r="K35" i="333"/>
  <c r="K34" i="333"/>
  <c r="K33" i="333"/>
  <c r="K32" i="333"/>
  <c r="K31" i="333"/>
  <c r="K30" i="333"/>
  <c r="K29" i="333"/>
  <c r="K28" i="333"/>
  <c r="K27" i="333"/>
  <c r="K26" i="333"/>
  <c r="K25" i="333"/>
  <c r="K24" i="333"/>
  <c r="K23" i="333"/>
  <c r="K22" i="333"/>
  <c r="K21" i="333"/>
  <c r="K20" i="333"/>
  <c r="K19" i="333"/>
  <c r="K18" i="333"/>
  <c r="K17" i="333"/>
  <c r="K16" i="333"/>
  <c r="K15" i="333"/>
  <c r="K14" i="333"/>
  <c r="K13" i="333"/>
  <c r="K12" i="333"/>
  <c r="K11" i="333"/>
  <c r="K10" i="333"/>
  <c r="K9" i="333"/>
  <c r="M12" i="1"/>
  <c r="M11" i="1"/>
  <c r="M10" i="1"/>
  <c r="M9" i="1"/>
  <c r="L16" i="1"/>
  <c r="L15" i="1"/>
  <c r="J20" i="304" l="1"/>
  <c r="J13" i="308" s="1"/>
  <c r="AD17" i="200"/>
  <c r="AD35" i="200"/>
  <c r="J68" i="305"/>
  <c r="N21" i="304"/>
  <c r="O21" i="304"/>
  <c r="P21" i="304"/>
  <c r="Q21" i="304"/>
  <c r="L20" i="304"/>
  <c r="L13" i="308" s="1"/>
  <c r="AF17" i="200"/>
  <c r="L68" i="305"/>
  <c r="L32" i="200"/>
  <c r="L27" i="200" s="1"/>
  <c r="AE35" i="200"/>
  <c r="K68" i="305"/>
  <c r="K20" i="304"/>
  <c r="K13" i="308" s="1"/>
  <c r="AE17" i="200"/>
  <c r="K40" i="199"/>
  <c r="L30" i="199"/>
  <c r="L40" i="199"/>
  <c r="J40" i="199"/>
  <c r="J30" i="199"/>
  <c r="K30" i="199"/>
  <c r="K32" i="200"/>
  <c r="K27" i="200" s="1"/>
  <c r="J32" i="200"/>
  <c r="J27" i="200" s="1"/>
  <c r="K28" i="200"/>
  <c r="J28" i="200"/>
  <c r="L28" i="200"/>
  <c r="L14" i="200"/>
  <c r="L10" i="200"/>
  <c r="K14" i="200"/>
  <c r="K10" i="200"/>
  <c r="J14" i="200"/>
  <c r="J10" i="200"/>
  <c r="L9" i="200" l="1"/>
  <c r="L21" i="200" s="1"/>
  <c r="K9" i="200"/>
  <c r="K21" i="200" s="1"/>
  <c r="J9" i="200"/>
  <c r="R67" i="314" l="1"/>
  <c r="Q67" i="314"/>
  <c r="R36" i="313"/>
  <c r="Q36" i="313"/>
  <c r="R35" i="313"/>
  <c r="Q35" i="313"/>
  <c r="M13" i="305" l="1"/>
  <c r="U1" i="305"/>
  <c r="U2" i="305"/>
  <c r="R75" i="311"/>
  <c r="R25" i="313" s="1"/>
  <c r="Q75" i="311"/>
  <c r="Q25" i="313" s="1"/>
  <c r="R60" i="311"/>
  <c r="Q60" i="311"/>
  <c r="R43" i="311"/>
  <c r="Q43" i="311"/>
  <c r="N9" i="1"/>
  <c r="O9" i="1" l="1"/>
  <c r="N10" i="1"/>
  <c r="P9" i="1"/>
  <c r="O10" i="1"/>
  <c r="M9" i="200"/>
  <c r="Q9" i="1" l="1"/>
  <c r="P10" i="1"/>
  <c r="M24" i="199"/>
  <c r="R9" i="1" l="1"/>
  <c r="Q10" i="1"/>
  <c r="Q7" i="304"/>
  <c r="M59" i="199"/>
  <c r="R10" i="1" l="1"/>
  <c r="R7" i="304"/>
  <c r="O280" i="315"/>
  <c r="N280" i="315"/>
  <c r="M280" i="315"/>
  <c r="P280" i="315"/>
  <c r="M279" i="315"/>
  <c r="O279" i="315"/>
  <c r="N279" i="315"/>
  <c r="P279" i="315"/>
  <c r="L278" i="315"/>
  <c r="M278" i="315"/>
  <c r="N278" i="315"/>
  <c r="O278" i="315"/>
  <c r="P278" i="315"/>
  <c r="J277" i="315"/>
  <c r="K277" i="315"/>
  <c r="L277" i="315"/>
  <c r="M277" i="315"/>
  <c r="N277" i="315"/>
  <c r="O277" i="315"/>
  <c r="P277" i="315"/>
  <c r="M276" i="315"/>
  <c r="N276" i="315"/>
  <c r="O276" i="315"/>
  <c r="P276" i="315"/>
  <c r="P201" i="327" l="1"/>
  <c r="O201" i="327"/>
  <c r="N201" i="327"/>
  <c r="M201" i="327"/>
  <c r="Q200" i="327"/>
  <c r="P200" i="327"/>
  <c r="O200" i="327"/>
  <c r="N200" i="327"/>
  <c r="M200" i="327"/>
  <c r="P199" i="327"/>
  <c r="O199" i="327"/>
  <c r="N199" i="327"/>
  <c r="M199" i="327"/>
  <c r="O198" i="327"/>
  <c r="N198" i="327"/>
  <c r="M198" i="327"/>
  <c r="E65" i="327"/>
  <c r="S197" i="327" l="1"/>
  <c r="I197" i="327" s="1"/>
  <c r="R197" i="327"/>
  <c r="H197" i="327" s="1"/>
  <c r="Q197" i="327"/>
  <c r="G197" i="327" s="1"/>
  <c r="P197" i="327"/>
  <c r="F197" i="327" s="1"/>
  <c r="S196" i="327"/>
  <c r="I196" i="327" s="1"/>
  <c r="R196" i="327"/>
  <c r="H196" i="327" s="1"/>
  <c r="Q196" i="327"/>
  <c r="G196" i="327" s="1"/>
  <c r="P196" i="327"/>
  <c r="F196" i="327" s="1"/>
  <c r="S195" i="327"/>
  <c r="I195" i="327" s="1"/>
  <c r="R195" i="327"/>
  <c r="H195" i="327" s="1"/>
  <c r="Q195" i="327"/>
  <c r="G195" i="327" s="1"/>
  <c r="P195" i="327"/>
  <c r="F195" i="327" s="1"/>
  <c r="O195" i="327"/>
  <c r="E195" i="327" s="1"/>
  <c r="S194" i="327"/>
  <c r="I194" i="327" s="1"/>
  <c r="R194" i="327"/>
  <c r="H194" i="327" s="1"/>
  <c r="Q194" i="327"/>
  <c r="G194" i="327" s="1"/>
  <c r="P194" i="327"/>
  <c r="F194" i="327" s="1"/>
  <c r="O194" i="327"/>
  <c r="E194" i="327" s="1"/>
  <c r="N194" i="327"/>
  <c r="D194" i="327" s="1"/>
  <c r="M194" i="327"/>
  <c r="C194" i="327" s="1"/>
  <c r="N284" i="315" l="1"/>
  <c r="Q201" i="327" s="1"/>
  <c r="N282" i="315"/>
  <c r="Q199" i="327" s="1"/>
  <c r="G199" i="327" s="1"/>
  <c r="O284" i="315"/>
  <c r="R201" i="327" s="1"/>
  <c r="H201" i="327" s="1"/>
  <c r="G295" i="327" l="1"/>
  <c r="F295" i="327"/>
  <c r="E295" i="327"/>
  <c r="D295" i="327"/>
  <c r="C295" i="327"/>
  <c r="L264" i="327"/>
  <c r="Q245" i="327" l="1"/>
  <c r="P245" i="327"/>
  <c r="O245" i="327"/>
  <c r="N245" i="327"/>
  <c r="M245" i="327"/>
  <c r="Q242" i="327"/>
  <c r="P242" i="327"/>
  <c r="O242" i="327"/>
  <c r="N242" i="327"/>
  <c r="M242" i="327"/>
  <c r="Q238" i="327"/>
  <c r="P238" i="327"/>
  <c r="O238" i="327"/>
  <c r="N238" i="327"/>
  <c r="M238" i="327"/>
  <c r="Q220" i="327"/>
  <c r="P220" i="327"/>
  <c r="O220" i="327"/>
  <c r="N220" i="327"/>
  <c r="M220" i="327"/>
  <c r="L203" i="327" l="1"/>
  <c r="L192" i="327"/>
  <c r="G187" i="327"/>
  <c r="F187" i="327"/>
  <c r="E187" i="327"/>
  <c r="D187" i="327"/>
  <c r="G165" i="327"/>
  <c r="F165" i="327"/>
  <c r="E165" i="327"/>
  <c r="D165" i="327"/>
  <c r="C165" i="327"/>
  <c r="V187" i="327" l="1"/>
  <c r="U187" i="327"/>
  <c r="T187" i="327"/>
  <c r="S187" i="327"/>
  <c r="V165" i="327"/>
  <c r="U165" i="327"/>
  <c r="T165" i="327"/>
  <c r="S165" i="327"/>
  <c r="R165" i="327"/>
  <c r="Q123" i="327"/>
  <c r="P123" i="327"/>
  <c r="O123" i="327"/>
  <c r="N123" i="327"/>
  <c r="M123" i="327"/>
  <c r="O65" i="327" l="1"/>
  <c r="N65" i="327"/>
  <c r="M65" i="327"/>
  <c r="Q102" i="315" l="1"/>
  <c r="M281" i="315" l="1"/>
  <c r="P198" i="327" s="1"/>
  <c r="F198" i="327" s="1"/>
  <c r="O35" i="313" l="1"/>
  <c r="N35" i="313"/>
  <c r="J59" i="311"/>
  <c r="D63" i="311"/>
  <c r="M441" i="315" l="1"/>
  <c r="M456" i="315" s="1"/>
  <c r="M460" i="315" s="1"/>
  <c r="L441" i="315"/>
  <c r="L456" i="315" s="1"/>
  <c r="L460" i="315" s="1"/>
  <c r="K441" i="315"/>
  <c r="K456" i="315" s="1"/>
  <c r="K460" i="315" s="1"/>
  <c r="J441" i="315"/>
  <c r="J456" i="315" s="1"/>
  <c r="J460" i="315" s="1"/>
  <c r="D443" i="315"/>
  <c r="D442" i="315"/>
  <c r="M435" i="315"/>
  <c r="L435" i="315"/>
  <c r="K435" i="315"/>
  <c r="J435" i="315"/>
  <c r="D437" i="315"/>
  <c r="D436" i="315"/>
  <c r="P345" i="315"/>
  <c r="P368" i="315" s="1"/>
  <c r="O345" i="315"/>
  <c r="O368" i="315" s="1"/>
  <c r="N345" i="315"/>
  <c r="N368" i="315" s="1"/>
  <c r="M345" i="315"/>
  <c r="M368" i="315" s="1"/>
  <c r="L345" i="315"/>
  <c r="L368" i="315" s="1"/>
  <c r="K345" i="315"/>
  <c r="K368" i="315" s="1"/>
  <c r="J345" i="315"/>
  <c r="J368" i="315" s="1"/>
  <c r="D347" i="315"/>
  <c r="D346" i="315"/>
  <c r="D320" i="315"/>
  <c r="D319" i="315"/>
  <c r="D318" i="315"/>
  <c r="D317" i="315"/>
  <c r="M310" i="315"/>
  <c r="M316" i="315" s="1"/>
  <c r="L310" i="315"/>
  <c r="L316" i="315" s="1"/>
  <c r="K310" i="315"/>
  <c r="K316" i="315" s="1"/>
  <c r="J310" i="315"/>
  <c r="J316" i="315" s="1"/>
  <c r="D313" i="315"/>
  <c r="L263" i="327" s="1"/>
  <c r="D312" i="315"/>
  <c r="L262" i="327" s="1"/>
  <c r="D311" i="315"/>
  <c r="L261" i="327" s="1"/>
  <c r="W24" i="313" l="1"/>
  <c r="P289" i="315" l="1"/>
  <c r="O289" i="315"/>
  <c r="N289" i="315"/>
  <c r="M289" i="315"/>
  <c r="L289" i="315"/>
  <c r="K289" i="315"/>
  <c r="J289" i="315"/>
  <c r="D292" i="315"/>
  <c r="D291" i="315"/>
  <c r="D290" i="315"/>
  <c r="P284" i="315"/>
  <c r="S201" i="327" s="1"/>
  <c r="I201" i="327" s="1"/>
  <c r="D284" i="315"/>
  <c r="L201" i="327" s="1"/>
  <c r="P283" i="315"/>
  <c r="S200" i="327" s="1"/>
  <c r="I200" i="327" s="1"/>
  <c r="O283" i="315"/>
  <c r="R200" i="327" s="1"/>
  <c r="H200" i="327" s="1"/>
  <c r="D283" i="315"/>
  <c r="L200" i="327" s="1"/>
  <c r="P282" i="315"/>
  <c r="S199" i="327" s="1"/>
  <c r="I199" i="327" s="1"/>
  <c r="O282" i="315"/>
  <c r="R199" i="327" s="1"/>
  <c r="H199" i="327" s="1"/>
  <c r="D282" i="315"/>
  <c r="L199" i="327" s="1"/>
  <c r="P281" i="315"/>
  <c r="S198" i="327" s="1"/>
  <c r="I198" i="327" s="1"/>
  <c r="O281" i="315"/>
  <c r="R198" i="327" s="1"/>
  <c r="H198" i="327" s="1"/>
  <c r="N281" i="315"/>
  <c r="Q198" i="327" s="1"/>
  <c r="G198" i="327" s="1"/>
  <c r="D281" i="315"/>
  <c r="L198" i="327" s="1"/>
  <c r="L280" i="315"/>
  <c r="O197" i="327" s="1"/>
  <c r="E197" i="327" s="1"/>
  <c r="K280" i="315"/>
  <c r="N197" i="327" s="1"/>
  <c r="D197" i="327" s="1"/>
  <c r="L279" i="315"/>
  <c r="O196" i="327" s="1"/>
  <c r="E196" i="327" s="1"/>
  <c r="K279" i="315"/>
  <c r="N196" i="327" s="1"/>
  <c r="D196" i="327" s="1"/>
  <c r="K278" i="315"/>
  <c r="N195" i="327" s="1"/>
  <c r="D195" i="327" s="1"/>
  <c r="S193" i="327"/>
  <c r="I193" i="327" s="1"/>
  <c r="R193" i="327"/>
  <c r="H193" i="327" s="1"/>
  <c r="Q193" i="327"/>
  <c r="G193" i="327" s="1"/>
  <c r="P193" i="327"/>
  <c r="F193" i="327" s="1"/>
  <c r="L276" i="315"/>
  <c r="O193" i="327" s="1"/>
  <c r="E193" i="327" s="1"/>
  <c r="K276" i="315"/>
  <c r="N193" i="327" s="1"/>
  <c r="D193" i="327" s="1"/>
  <c r="J280" i="315"/>
  <c r="M197" i="327" s="1"/>
  <c r="C197" i="327" s="1"/>
  <c r="J279" i="315"/>
  <c r="M196" i="327" s="1"/>
  <c r="C196" i="327" s="1"/>
  <c r="J278" i="315"/>
  <c r="M195" i="327" s="1"/>
  <c r="C195" i="327" s="1"/>
  <c r="D280" i="315"/>
  <c r="L197" i="327" s="1"/>
  <c r="D279" i="315"/>
  <c r="L196" i="327" s="1"/>
  <c r="D278" i="315"/>
  <c r="L195" i="327" s="1"/>
  <c r="D277" i="315"/>
  <c r="L194" i="327" s="1"/>
  <c r="J276" i="315"/>
  <c r="M193" i="327" s="1"/>
  <c r="C193" i="327" s="1"/>
  <c r="D276" i="315"/>
  <c r="L193" i="327" s="1"/>
  <c r="D269" i="315"/>
  <c r="L275" i="315" l="1"/>
  <c r="O192" i="327" s="1"/>
  <c r="E192" i="327" s="1"/>
  <c r="K275" i="315"/>
  <c r="O275" i="315"/>
  <c r="R192" i="327" s="1"/>
  <c r="H192" i="327" s="1"/>
  <c r="P275" i="315"/>
  <c r="M275" i="315"/>
  <c r="J275" i="315"/>
  <c r="N275" i="315"/>
  <c r="Q192" i="327" s="1"/>
  <c r="G192" i="327" s="1"/>
  <c r="M253" i="315"/>
  <c r="P316" i="327" s="1"/>
  <c r="F316" i="327" s="1"/>
  <c r="L253" i="315"/>
  <c r="O316" i="327" s="1"/>
  <c r="E316" i="327" s="1"/>
  <c r="K253" i="315"/>
  <c r="N316" i="327" s="1"/>
  <c r="D316" i="327" s="1"/>
  <c r="J253" i="315"/>
  <c r="M316" i="327" s="1"/>
  <c r="C316" i="327" s="1"/>
  <c r="M234" i="315"/>
  <c r="L234" i="315"/>
  <c r="K234" i="315"/>
  <c r="J234" i="315"/>
  <c r="M224" i="315"/>
  <c r="L224" i="315"/>
  <c r="K224" i="315"/>
  <c r="J224" i="315"/>
  <c r="M223" i="315"/>
  <c r="L223" i="315"/>
  <c r="K223" i="315"/>
  <c r="J223" i="315"/>
  <c r="M210" i="315"/>
  <c r="L210" i="315"/>
  <c r="K210" i="315"/>
  <c r="J210" i="315"/>
  <c r="M200" i="315"/>
  <c r="L200" i="315"/>
  <c r="K200" i="315"/>
  <c r="M199" i="315"/>
  <c r="L199" i="315"/>
  <c r="K199" i="315"/>
  <c r="M198" i="315"/>
  <c r="L198" i="315"/>
  <c r="K198" i="315"/>
  <c r="M197" i="315"/>
  <c r="L197" i="315"/>
  <c r="K197" i="315"/>
  <c r="L346" i="315" l="1"/>
  <c r="E207" i="327" s="1"/>
  <c r="O207" i="327" s="1"/>
  <c r="L290" i="315"/>
  <c r="E14" i="327" s="1"/>
  <c r="O14" i="327" s="1"/>
  <c r="P346" i="315"/>
  <c r="I207" i="327" s="1"/>
  <c r="S207" i="327" s="1"/>
  <c r="S192" i="327"/>
  <c r="I192" i="327" s="1"/>
  <c r="K346" i="315"/>
  <c r="D207" i="327" s="1"/>
  <c r="N207" i="327" s="1"/>
  <c r="N192" i="327"/>
  <c r="D192" i="327" s="1"/>
  <c r="J290" i="315"/>
  <c r="C14" i="327" s="1"/>
  <c r="M14" i="327" s="1"/>
  <c r="M192" i="327"/>
  <c r="C192" i="327" s="1"/>
  <c r="J346" i="315"/>
  <c r="C207" i="327" s="1"/>
  <c r="M207" i="327" s="1"/>
  <c r="M290" i="315"/>
  <c r="F14" i="327" s="1"/>
  <c r="P14" i="327" s="1"/>
  <c r="P192" i="327"/>
  <c r="F192" i="327" s="1"/>
  <c r="N290" i="315"/>
  <c r="G14" i="327" s="1"/>
  <c r="Q14" i="327" s="1"/>
  <c r="O290" i="315"/>
  <c r="H14" i="327" s="1"/>
  <c r="R14" i="327" s="1"/>
  <c r="O346" i="315"/>
  <c r="H207" i="327" s="1"/>
  <c r="R207" i="327" s="1"/>
  <c r="K290" i="315"/>
  <c r="D14" i="327" s="1"/>
  <c r="N14" i="327" s="1"/>
  <c r="P290" i="315"/>
  <c r="I14" i="327" s="1"/>
  <c r="S14" i="327" s="1"/>
  <c r="N346" i="315"/>
  <c r="G207" i="327" s="1"/>
  <c r="Q207" i="327" s="1"/>
  <c r="M346" i="315"/>
  <c r="F207" i="327" s="1"/>
  <c r="P207" i="327" s="1"/>
  <c r="M176" i="315"/>
  <c r="F250" i="327" s="1"/>
  <c r="P250" i="327" s="1"/>
  <c r="L176" i="315"/>
  <c r="E250" i="327" s="1"/>
  <c r="O250" i="327" s="1"/>
  <c r="K176" i="315"/>
  <c r="D250" i="327" s="1"/>
  <c r="N250" i="327" s="1"/>
  <c r="M175" i="315"/>
  <c r="F249" i="327" s="1"/>
  <c r="P249" i="327" s="1"/>
  <c r="L175" i="315"/>
  <c r="E249" i="327" s="1"/>
  <c r="O249" i="327" s="1"/>
  <c r="K175" i="315"/>
  <c r="D249" i="327" s="1"/>
  <c r="N249" i="327" s="1"/>
  <c r="M172" i="315"/>
  <c r="F246" i="327" s="1"/>
  <c r="P246" i="327" s="1"/>
  <c r="L172" i="315"/>
  <c r="E246" i="327" s="1"/>
  <c r="O246" i="327" s="1"/>
  <c r="K172" i="315"/>
  <c r="D246" i="327" s="1"/>
  <c r="N246" i="327" s="1"/>
  <c r="M142" i="315"/>
  <c r="F216" i="327" s="1"/>
  <c r="P216" i="327" s="1"/>
  <c r="L142" i="315"/>
  <c r="E216" i="327" s="1"/>
  <c r="O216" i="327" s="1"/>
  <c r="K142" i="315"/>
  <c r="D216" i="327" s="1"/>
  <c r="N216" i="327" s="1"/>
  <c r="O146" i="315"/>
  <c r="O171" i="315"/>
  <c r="N124" i="315"/>
  <c r="Q186" i="327" s="1"/>
  <c r="M124" i="315"/>
  <c r="L124" i="315"/>
  <c r="K124" i="315"/>
  <c r="J124" i="315"/>
  <c r="N105" i="315"/>
  <c r="M105" i="315"/>
  <c r="L105" i="315"/>
  <c r="K105" i="315"/>
  <c r="J105" i="315"/>
  <c r="N95" i="315"/>
  <c r="M95" i="315"/>
  <c r="L95" i="315"/>
  <c r="K95" i="315"/>
  <c r="J95" i="315"/>
  <c r="N81" i="315"/>
  <c r="M81" i="315"/>
  <c r="L81" i="315"/>
  <c r="K81" i="315"/>
  <c r="J81" i="315"/>
  <c r="M75" i="315"/>
  <c r="L75" i="315"/>
  <c r="K75" i="315"/>
  <c r="J75" i="315"/>
  <c r="J463" i="315" l="1"/>
  <c r="C90" i="327" s="1"/>
  <c r="M90" i="327" s="1"/>
  <c r="M186" i="327"/>
  <c r="K463" i="315"/>
  <c r="D90" i="327" s="1"/>
  <c r="N90" i="327" s="1"/>
  <c r="N186" i="327"/>
  <c r="L463" i="315"/>
  <c r="E90" i="327" s="1"/>
  <c r="O90" i="327" s="1"/>
  <c r="O186" i="327"/>
  <c r="E186" i="327" s="1"/>
  <c r="T186" i="327" s="1"/>
  <c r="M463" i="315"/>
  <c r="F90" i="327" s="1"/>
  <c r="P90" i="327" s="1"/>
  <c r="P186" i="327"/>
  <c r="G186" i="327"/>
  <c r="V186" i="327" s="1"/>
  <c r="T14" i="327"/>
  <c r="O172" i="315"/>
  <c r="O176" i="315"/>
  <c r="O142" i="315"/>
  <c r="O175" i="315"/>
  <c r="M17" i="315"/>
  <c r="L17" i="315"/>
  <c r="K17" i="315"/>
  <c r="J17" i="315"/>
  <c r="A2" i="315"/>
  <c r="A1" i="315"/>
  <c r="D186" i="327" l="1"/>
  <c r="S186" i="327"/>
  <c r="C186" i="327"/>
  <c r="R186" i="327"/>
  <c r="F186" i="327"/>
  <c r="U186" i="327" s="1"/>
  <c r="O17" i="315"/>
  <c r="O42" i="315"/>
  <c r="C82" i="56" l="1"/>
  <c r="C78" i="56"/>
  <c r="H85" i="56"/>
  <c r="H132" i="305" s="1"/>
  <c r="H84" i="56"/>
  <c r="H81" i="56"/>
  <c r="H122" i="305" s="1"/>
  <c r="G126" i="305" s="1"/>
  <c r="H80" i="56"/>
  <c r="B76" i="56"/>
  <c r="C129" i="305"/>
  <c r="E138" i="305" s="1"/>
  <c r="C119" i="305"/>
  <c r="E128" i="305" s="1"/>
  <c r="X129" i="305"/>
  <c r="X119" i="305"/>
  <c r="B118" i="305"/>
  <c r="B8" i="305"/>
  <c r="W73" i="314"/>
  <c r="W53" i="314"/>
  <c r="W43" i="314"/>
  <c r="W42" i="314"/>
  <c r="W29" i="314"/>
  <c r="W42" i="313"/>
  <c r="W39" i="313"/>
  <c r="W38" i="313"/>
  <c r="W37" i="313"/>
  <c r="W34" i="313"/>
  <c r="W33" i="313"/>
  <c r="W32" i="313"/>
  <c r="W31" i="313"/>
  <c r="W29" i="313"/>
  <c r="W28" i="313"/>
  <c r="W27" i="313"/>
  <c r="W26" i="313"/>
  <c r="W23" i="313"/>
  <c r="W21" i="313"/>
  <c r="W20" i="313"/>
  <c r="W19" i="313"/>
  <c r="W15" i="313"/>
  <c r="W12" i="313"/>
  <c r="W11" i="313"/>
  <c r="W7" i="313"/>
  <c r="W43" i="308"/>
  <c r="W18" i="308"/>
  <c r="W296" i="312"/>
  <c r="W288" i="312"/>
  <c r="W286" i="312"/>
  <c r="W282" i="312"/>
  <c r="W281" i="312"/>
  <c r="W279" i="312"/>
  <c r="W271" i="312"/>
  <c r="W269" i="312"/>
  <c r="W265" i="312"/>
  <c r="W264" i="312"/>
  <c r="W262" i="312"/>
  <c r="W254" i="312"/>
  <c r="W252" i="312"/>
  <c r="W248" i="312"/>
  <c r="W247" i="312"/>
  <c r="W245" i="312"/>
  <c r="W237" i="312"/>
  <c r="W235" i="312"/>
  <c r="W231" i="312"/>
  <c r="W230" i="312"/>
  <c r="W228" i="312"/>
  <c r="W220" i="312"/>
  <c r="W218" i="312"/>
  <c r="W214" i="312"/>
  <c r="W213" i="312"/>
  <c r="W211" i="312"/>
  <c r="W203" i="312"/>
  <c r="W201" i="312"/>
  <c r="W197" i="312"/>
  <c r="W196" i="312"/>
  <c r="W194" i="312"/>
  <c r="W186" i="312"/>
  <c r="W184" i="312"/>
  <c r="W180" i="312"/>
  <c r="W179" i="312"/>
  <c r="W177" i="312"/>
  <c r="W169" i="312"/>
  <c r="W167" i="312"/>
  <c r="W163" i="312"/>
  <c r="W162" i="312"/>
  <c r="W158" i="312"/>
  <c r="W150" i="312"/>
  <c r="W148" i="312"/>
  <c r="W142" i="312"/>
  <c r="W141" i="312"/>
  <c r="W139" i="312"/>
  <c r="W131" i="312"/>
  <c r="W129" i="312"/>
  <c r="W123" i="312"/>
  <c r="W122" i="312"/>
  <c r="W120" i="312"/>
  <c r="W112" i="312"/>
  <c r="W110" i="312"/>
  <c r="W104" i="312"/>
  <c r="W103" i="312"/>
  <c r="W101" i="312"/>
  <c r="W93" i="312"/>
  <c r="W91" i="312"/>
  <c r="W85" i="312"/>
  <c r="W84" i="312"/>
  <c r="W82" i="312"/>
  <c r="W74" i="312"/>
  <c r="W72" i="312"/>
  <c r="W66" i="312"/>
  <c r="W65" i="312"/>
  <c r="W63" i="312"/>
  <c r="W55" i="312"/>
  <c r="W53" i="312"/>
  <c r="W47" i="312"/>
  <c r="W46" i="312"/>
  <c r="W44" i="312"/>
  <c r="W36" i="312"/>
  <c r="W34" i="312"/>
  <c r="W28" i="312"/>
  <c r="W27" i="312"/>
  <c r="W26" i="312"/>
  <c r="W24" i="312"/>
  <c r="W16" i="312"/>
  <c r="W14" i="312"/>
  <c r="X107" i="305"/>
  <c r="X97" i="305"/>
  <c r="X87" i="305"/>
  <c r="X77" i="305"/>
  <c r="X67" i="305"/>
  <c r="X57" i="305"/>
  <c r="X47" i="305"/>
  <c r="X37" i="305"/>
  <c r="X27" i="305"/>
  <c r="X17" i="305"/>
  <c r="X15" i="305"/>
  <c r="W102" i="311"/>
  <c r="W101" i="311"/>
  <c r="W99" i="311"/>
  <c r="W89" i="311"/>
  <c r="W87" i="311"/>
  <c r="W80" i="311"/>
  <c r="W76" i="311"/>
  <c r="W74" i="311"/>
  <c r="W71" i="311"/>
  <c r="W70" i="311"/>
  <c r="W69" i="311"/>
  <c r="W42" i="311"/>
  <c r="W35" i="311"/>
  <c r="W33" i="311"/>
  <c r="W31" i="311"/>
  <c r="W30" i="311"/>
  <c r="W28" i="311"/>
  <c r="W26" i="311"/>
  <c r="W24" i="311"/>
  <c r="W23" i="311"/>
  <c r="W21" i="311"/>
  <c r="W19" i="311"/>
  <c r="W17" i="311"/>
  <c r="W16" i="311"/>
  <c r="W14" i="311"/>
  <c r="W12" i="311"/>
  <c r="D191" i="56"/>
  <c r="D190" i="56"/>
  <c r="D189" i="56"/>
  <c r="AB57" i="200"/>
  <c r="AA57" i="200"/>
  <c r="Z57" i="200"/>
  <c r="Y57" i="200"/>
  <c r="W57" i="200"/>
  <c r="V57" i="200"/>
  <c r="U57" i="200"/>
  <c r="T57" i="200"/>
  <c r="AB44" i="200"/>
  <c r="AA44" i="200"/>
  <c r="Z44" i="200"/>
  <c r="Y44" i="200"/>
  <c r="W44" i="200"/>
  <c r="V44" i="200"/>
  <c r="U44" i="200"/>
  <c r="T44" i="200"/>
  <c r="W21" i="200"/>
  <c r="V21" i="200"/>
  <c r="U21" i="200"/>
  <c r="T21" i="200"/>
  <c r="AB21" i="200"/>
  <c r="AA21" i="200"/>
  <c r="Z21" i="200"/>
  <c r="Y21" i="200"/>
  <c r="G123" i="305" l="1"/>
  <c r="G124" i="305"/>
  <c r="G125" i="305"/>
  <c r="D17" i="305"/>
  <c r="C104" i="312"/>
  <c r="P75" i="311" l="1"/>
  <c r="P25" i="313" s="1"/>
  <c r="M192" i="315"/>
  <c r="L192" i="315"/>
  <c r="K192" i="315"/>
  <c r="C79" i="314"/>
  <c r="C72" i="314"/>
  <c r="C52" i="314"/>
  <c r="C40" i="314"/>
  <c r="C28" i="314"/>
  <c r="N36" i="313"/>
  <c r="A2" i="314"/>
  <c r="A1" i="314"/>
  <c r="A2" i="313"/>
  <c r="A1" i="313"/>
  <c r="J192" i="315" l="1"/>
  <c r="O36" i="313"/>
  <c r="A6" i="314"/>
  <c r="A6" i="313"/>
  <c r="B8" i="314" l="1"/>
  <c r="B29" i="314" s="1"/>
  <c r="A20" i="313"/>
  <c r="A27" i="313" s="1"/>
  <c r="A38" i="313" s="1"/>
  <c r="B43" i="314" l="1"/>
  <c r="B53" i="314" l="1"/>
  <c r="B73" i="314" s="1"/>
  <c r="C282" i="312" l="1"/>
  <c r="C180" i="312"/>
  <c r="C163" i="312"/>
  <c r="E146" i="312" l="1"/>
  <c r="E127" i="312"/>
  <c r="E108" i="312" l="1"/>
  <c r="L7" i="304"/>
  <c r="K7" i="304"/>
  <c r="J7" i="304"/>
  <c r="K5" i="304" l="1"/>
  <c r="L5" i="304"/>
  <c r="E89" i="312" l="1"/>
  <c r="C85" i="312"/>
  <c r="E70" i="312"/>
  <c r="C66" i="312"/>
  <c r="D73" i="312" s="1"/>
  <c r="D83" i="312" s="1"/>
  <c r="D305" i="312" s="1"/>
  <c r="E12" i="312"/>
  <c r="H95" i="56"/>
  <c r="H17" i="312" s="1"/>
  <c r="G19" i="312" s="1"/>
  <c r="H94" i="56"/>
  <c r="H12" i="312" s="1"/>
  <c r="H93" i="56"/>
  <c r="H11" i="312" s="1"/>
  <c r="F93" i="56"/>
  <c r="H92" i="56"/>
  <c r="H10" i="312" s="1"/>
  <c r="F92" i="56"/>
  <c r="H91" i="56"/>
  <c r="H9" i="312" s="1"/>
  <c r="F91" i="56"/>
  <c r="C47" i="312"/>
  <c r="E51" i="312"/>
  <c r="C28" i="312"/>
  <c r="D35" i="312" s="1"/>
  <c r="D45" i="312" s="1"/>
  <c r="D303" i="312" s="1"/>
  <c r="E32" i="312"/>
  <c r="F183" i="56"/>
  <c r="F182" i="56"/>
  <c r="C180" i="56"/>
  <c r="F178" i="56"/>
  <c r="F177" i="56"/>
  <c r="F173" i="56"/>
  <c r="F172" i="56"/>
  <c r="F168" i="56"/>
  <c r="F167" i="56"/>
  <c r="F163" i="56"/>
  <c r="F162" i="56"/>
  <c r="F158" i="56"/>
  <c r="F157" i="56"/>
  <c r="C150" i="56"/>
  <c r="C145" i="56"/>
  <c r="F153" i="56"/>
  <c r="F152" i="56"/>
  <c r="F148" i="56"/>
  <c r="F147" i="56"/>
  <c r="F142" i="56"/>
  <c r="F141" i="56"/>
  <c r="F140" i="56"/>
  <c r="H142" i="56"/>
  <c r="H145" i="312" s="1"/>
  <c r="C138" i="56"/>
  <c r="C142" i="312" s="1"/>
  <c r="D149" i="312" s="1"/>
  <c r="D159" i="312" s="1"/>
  <c r="D309" i="312" s="1"/>
  <c r="H135" i="56"/>
  <c r="H126" i="312" s="1"/>
  <c r="F135" i="56"/>
  <c r="F134" i="56"/>
  <c r="F133" i="56"/>
  <c r="C131" i="56"/>
  <c r="C123" i="312" s="1"/>
  <c r="D130" i="312" s="1"/>
  <c r="D140" i="312" s="1"/>
  <c r="D308" i="312" s="1"/>
  <c r="H128" i="56"/>
  <c r="H107" i="312" s="1"/>
  <c r="F128" i="56"/>
  <c r="F127" i="56"/>
  <c r="F126" i="56"/>
  <c r="C124" i="56"/>
  <c r="H121" i="56"/>
  <c r="H88" i="312" s="1"/>
  <c r="F121" i="56"/>
  <c r="F120" i="56"/>
  <c r="F119" i="56"/>
  <c r="C117" i="56"/>
  <c r="H114" i="56"/>
  <c r="H69" i="312" s="1"/>
  <c r="F114" i="56"/>
  <c r="F113" i="56"/>
  <c r="F112" i="56"/>
  <c r="C110" i="56"/>
  <c r="C103" i="56"/>
  <c r="H109" i="56"/>
  <c r="H56" i="312" s="1"/>
  <c r="G59" i="312" s="1"/>
  <c r="H108" i="56"/>
  <c r="H51" i="312" s="1"/>
  <c r="H107" i="56"/>
  <c r="H50" i="312" s="1"/>
  <c r="F107" i="56"/>
  <c r="H106" i="56"/>
  <c r="H49" i="312" s="1"/>
  <c r="F106" i="56"/>
  <c r="H105" i="56"/>
  <c r="H48" i="312" s="1"/>
  <c r="F105" i="56"/>
  <c r="H100" i="56"/>
  <c r="H31" i="312" s="1"/>
  <c r="C96" i="56"/>
  <c r="F100" i="56"/>
  <c r="E69" i="312" s="1"/>
  <c r="F99" i="56"/>
  <c r="E87" i="312" s="1"/>
  <c r="F98" i="56"/>
  <c r="E86" i="312" s="1"/>
  <c r="C310" i="312"/>
  <c r="C301" i="312"/>
  <c r="D287" i="312"/>
  <c r="D297" i="312" s="1"/>
  <c r="D318" i="312" s="1"/>
  <c r="D185" i="312"/>
  <c r="D195" i="312" s="1"/>
  <c r="D312" i="312" s="1"/>
  <c r="D168" i="312"/>
  <c r="D178" i="312" s="1"/>
  <c r="D311" i="312" s="1"/>
  <c r="D111" i="312"/>
  <c r="D121" i="312" s="1"/>
  <c r="D307" i="312" s="1"/>
  <c r="D92" i="312"/>
  <c r="D102" i="312" s="1"/>
  <c r="D306" i="312" s="1"/>
  <c r="A2" i="312"/>
  <c r="A1" i="312"/>
  <c r="L97" i="311"/>
  <c r="K97" i="311"/>
  <c r="L96" i="311"/>
  <c r="K96" i="311"/>
  <c r="L95" i="311"/>
  <c r="K95" i="311"/>
  <c r="L94" i="311"/>
  <c r="K94" i="311"/>
  <c r="C31" i="311"/>
  <c r="C24" i="311"/>
  <c r="C17" i="311"/>
  <c r="N7" i="304"/>
  <c r="M7" i="304" l="1"/>
  <c r="M5" i="304" s="1"/>
  <c r="P7" i="304"/>
  <c r="P286" i="315" s="1"/>
  <c r="S203" i="327" s="1"/>
  <c r="I203" i="327" s="1"/>
  <c r="N286" i="315"/>
  <c r="Q203" i="327" s="1"/>
  <c r="G203" i="327" s="1"/>
  <c r="O7" i="304"/>
  <c r="C49" i="311"/>
  <c r="D75" i="311"/>
  <c r="D70" i="311"/>
  <c r="D83" i="311"/>
  <c r="D95" i="311" s="1"/>
  <c r="C40" i="311"/>
  <c r="D74" i="311"/>
  <c r="D69" i="311"/>
  <c r="D82" i="311"/>
  <c r="D94" i="311" s="1"/>
  <c r="D76" i="311"/>
  <c r="D71" i="311"/>
  <c r="D84" i="311"/>
  <c r="D96" i="311" s="1"/>
  <c r="D77" i="311"/>
  <c r="D72" i="311"/>
  <c r="D85" i="311"/>
  <c r="D90" i="311" s="1"/>
  <c r="E9" i="312"/>
  <c r="E29" i="312"/>
  <c r="E143" i="312"/>
  <c r="E124" i="312"/>
  <c r="E105" i="312"/>
  <c r="E266" i="312"/>
  <c r="E232" i="312"/>
  <c r="E215" i="312"/>
  <c r="E283" i="312"/>
  <c r="E249" i="312"/>
  <c r="E198" i="312"/>
  <c r="E181" i="312"/>
  <c r="E49" i="312"/>
  <c r="E125" i="312"/>
  <c r="E144" i="312"/>
  <c r="E106" i="312"/>
  <c r="E267" i="312"/>
  <c r="E284" i="312"/>
  <c r="E250" i="312"/>
  <c r="E216" i="312"/>
  <c r="E233" i="312"/>
  <c r="E199" i="312"/>
  <c r="E182" i="312"/>
  <c r="E10" i="312"/>
  <c r="E67" i="312"/>
  <c r="E48" i="312"/>
  <c r="E68" i="312"/>
  <c r="E11" i="312"/>
  <c r="E88" i="312"/>
  <c r="E50" i="312"/>
  <c r="E145" i="312"/>
  <c r="E126" i="312"/>
  <c r="E107" i="312"/>
  <c r="G21" i="312"/>
  <c r="G20" i="312"/>
  <c r="D15" i="312"/>
  <c r="D25" i="312" s="1"/>
  <c r="D302" i="312" s="1"/>
  <c r="G18" i="312"/>
  <c r="E31" i="312"/>
  <c r="E30" i="312"/>
  <c r="G58" i="312"/>
  <c r="G60" i="312"/>
  <c r="D54" i="312"/>
  <c r="D64" i="312" s="1"/>
  <c r="D304" i="312" s="1"/>
  <c r="G57" i="312"/>
  <c r="A6" i="312"/>
  <c r="D97" i="311" l="1"/>
  <c r="D102" i="311" s="1"/>
  <c r="P347" i="315"/>
  <c r="I208" i="327" s="1"/>
  <c r="S208" i="327" s="1"/>
  <c r="O286" i="315"/>
  <c r="R203" i="327" s="1"/>
  <c r="H203" i="327" s="1"/>
  <c r="N347" i="315"/>
  <c r="G208" i="327" s="1"/>
  <c r="Q208" i="327" s="1"/>
  <c r="G136" i="305"/>
  <c r="G135" i="305"/>
  <c r="G133" i="305"/>
  <c r="G134" i="305"/>
  <c r="B8" i="312"/>
  <c r="A161" i="312"/>
  <c r="A299" i="312" s="1"/>
  <c r="J97" i="311"/>
  <c r="J96" i="311"/>
  <c r="J95" i="311"/>
  <c r="J94" i="311"/>
  <c r="D89" i="311"/>
  <c r="D88" i="311"/>
  <c r="D87" i="311"/>
  <c r="L52" i="311"/>
  <c r="K52" i="311"/>
  <c r="J52" i="311"/>
  <c r="J50" i="311"/>
  <c r="D54" i="311"/>
  <c r="P43" i="311"/>
  <c r="O43" i="311"/>
  <c r="N43" i="311"/>
  <c r="M43" i="311"/>
  <c r="L43" i="311"/>
  <c r="K43" i="311"/>
  <c r="J43" i="311"/>
  <c r="J41" i="311"/>
  <c r="D45" i="311"/>
  <c r="J32" i="311"/>
  <c r="J25" i="311"/>
  <c r="J18" i="311"/>
  <c r="J11" i="311"/>
  <c r="W10" i="311"/>
  <c r="T7" i="311"/>
  <c r="S7" i="311"/>
  <c r="R7" i="311"/>
  <c r="Q7" i="311"/>
  <c r="P7" i="311"/>
  <c r="O7" i="311"/>
  <c r="N7" i="311"/>
  <c r="M7" i="311"/>
  <c r="A2" i="311"/>
  <c r="A1" i="311"/>
  <c r="M8" i="310"/>
  <c r="L8" i="310"/>
  <c r="L11" i="310" s="1"/>
  <c r="K8" i="310"/>
  <c r="K11" i="310" s="1"/>
  <c r="J8" i="310"/>
  <c r="J11" i="310" s="1"/>
  <c r="A2" i="310"/>
  <c r="A1" i="310"/>
  <c r="F49" i="308"/>
  <c r="F48" i="308"/>
  <c r="F47" i="308"/>
  <c r="F46" i="308"/>
  <c r="F45" i="308"/>
  <c r="F44" i="308"/>
  <c r="A1" i="308"/>
  <c r="D10" i="305"/>
  <c r="F35" i="308"/>
  <c r="F34" i="308"/>
  <c r="F33" i="308"/>
  <c r="F32" i="308"/>
  <c r="F31" i="308"/>
  <c r="F30" i="308"/>
  <c r="F29" i="308"/>
  <c r="F28" i="308"/>
  <c r="F26" i="308"/>
  <c r="F25" i="308"/>
  <c r="F24" i="308"/>
  <c r="D23" i="308"/>
  <c r="F22" i="308"/>
  <c r="F21" i="308"/>
  <c r="F20" i="308"/>
  <c r="D19" i="308"/>
  <c r="C18" i="308"/>
  <c r="D15" i="308"/>
  <c r="E16" i="308"/>
  <c r="D14" i="308"/>
  <c r="E12" i="308"/>
  <c r="E11" i="308"/>
  <c r="E10" i="308"/>
  <c r="D9" i="308"/>
  <c r="C8" i="308"/>
  <c r="F55" i="308"/>
  <c r="F52" i="308"/>
  <c r="F42" i="308"/>
  <c r="F39" i="308"/>
  <c r="A2" i="308"/>
  <c r="C107" i="305"/>
  <c r="E116" i="305" s="1"/>
  <c r="C97" i="305"/>
  <c r="E106" i="305" s="1"/>
  <c r="C87" i="305"/>
  <c r="E96" i="305" s="1"/>
  <c r="C77" i="305"/>
  <c r="E86" i="305" s="1"/>
  <c r="E76" i="305"/>
  <c r="C57" i="305"/>
  <c r="E66" i="305" s="1"/>
  <c r="C47" i="305"/>
  <c r="C37" i="305"/>
  <c r="E46" i="305" s="1"/>
  <c r="C71" i="56"/>
  <c r="C67" i="56"/>
  <c r="C63" i="56"/>
  <c r="C59" i="56"/>
  <c r="C55" i="56"/>
  <c r="C51" i="56"/>
  <c r="C47" i="56"/>
  <c r="C39" i="56"/>
  <c r="C35" i="56"/>
  <c r="C27" i="56"/>
  <c r="C23" i="56"/>
  <c r="C19" i="56"/>
  <c r="C31" i="56"/>
  <c r="H34" i="56"/>
  <c r="H40" i="305" s="1"/>
  <c r="H33" i="56"/>
  <c r="D27" i="305"/>
  <c r="A1" i="305"/>
  <c r="Q95" i="311" l="1"/>
  <c r="N97" i="311"/>
  <c r="R96" i="311"/>
  <c r="R94" i="311"/>
  <c r="R97" i="311"/>
  <c r="R95" i="311"/>
  <c r="O97" i="311"/>
  <c r="O94" i="311"/>
  <c r="P97" i="311"/>
  <c r="P94" i="311"/>
  <c r="Q94" i="311"/>
  <c r="Q96" i="311"/>
  <c r="Q97" i="311"/>
  <c r="O347" i="315"/>
  <c r="H208" i="327" s="1"/>
  <c r="R208" i="327" s="1"/>
  <c r="W43" i="311"/>
  <c r="W34" i="311"/>
  <c r="N94" i="311"/>
  <c r="W8" i="310"/>
  <c r="M52" i="311"/>
  <c r="W52" i="311" s="1"/>
  <c r="B28" i="312"/>
  <c r="A6" i="310"/>
  <c r="C8" i="310" s="1"/>
  <c r="G44" i="305"/>
  <c r="G43" i="305"/>
  <c r="D100" i="311"/>
  <c r="D99" i="311"/>
  <c r="D101" i="311"/>
  <c r="A6" i="311"/>
  <c r="M11" i="310"/>
  <c r="W9" i="310"/>
  <c r="W10" i="310"/>
  <c r="A6" i="308"/>
  <c r="B8" i="308" s="1"/>
  <c r="B18" i="308" s="1"/>
  <c r="G42" i="305"/>
  <c r="G41" i="305"/>
  <c r="C9" i="305"/>
  <c r="D12" i="305"/>
  <c r="N40" i="304"/>
  <c r="N13" i="305" s="1"/>
  <c r="G28" i="304"/>
  <c r="G27" i="304"/>
  <c r="G29" i="304"/>
  <c r="E56" i="305"/>
  <c r="E36" i="305"/>
  <c r="E26" i="305"/>
  <c r="E29" i="305"/>
  <c r="A2" i="305"/>
  <c r="A2" i="304"/>
  <c r="A1" i="304"/>
  <c r="AB45" i="200"/>
  <c r="AB48" i="200" s="1"/>
  <c r="W45" i="200"/>
  <c r="W48" i="200" s="1"/>
  <c r="W58" i="200" s="1"/>
  <c r="W61" i="200" s="1"/>
  <c r="W62" i="200" s="1"/>
  <c r="R7" i="200"/>
  <c r="R18" i="200" s="1"/>
  <c r="J142" i="315" s="1"/>
  <c r="C216" i="327" s="1"/>
  <c r="M216" i="327" s="1"/>
  <c r="R7" i="199"/>
  <c r="R24" i="199" l="1"/>
  <c r="R44" i="199"/>
  <c r="R58" i="199"/>
  <c r="AG58" i="199" s="1"/>
  <c r="M110" i="315" s="1"/>
  <c r="P174" i="327" s="1"/>
  <c r="F174" i="327" s="1"/>
  <c r="U174" i="327" s="1"/>
  <c r="R55" i="199"/>
  <c r="AG55" i="199" s="1"/>
  <c r="M107" i="315" s="1"/>
  <c r="R56" i="199"/>
  <c r="R76" i="199"/>
  <c r="AG76" i="199" s="1"/>
  <c r="M127" i="315" s="1"/>
  <c r="R15" i="199"/>
  <c r="R12" i="199"/>
  <c r="AG12" i="199" s="1"/>
  <c r="M63" i="315" s="1"/>
  <c r="R60" i="199"/>
  <c r="AG60" i="199" s="1"/>
  <c r="M112" i="315" s="1"/>
  <c r="P176" i="327" s="1"/>
  <c r="F176" i="327" s="1"/>
  <c r="U176" i="327" s="1"/>
  <c r="R22" i="199"/>
  <c r="R23" i="199"/>
  <c r="R38" i="199"/>
  <c r="AG38" i="199" s="1"/>
  <c r="M90" i="315" s="1"/>
  <c r="R17" i="199"/>
  <c r="J197" i="315" s="1"/>
  <c r="R46" i="199"/>
  <c r="AG46" i="199" s="1"/>
  <c r="M98" i="315" s="1"/>
  <c r="P167" i="327" s="1"/>
  <c r="F167" i="327" s="1"/>
  <c r="U167" i="327" s="1"/>
  <c r="R50" i="199"/>
  <c r="AG50" i="199" s="1"/>
  <c r="M102" i="315" s="1"/>
  <c r="P170" i="327" s="1"/>
  <c r="F170" i="327" s="1"/>
  <c r="U170" i="327" s="1"/>
  <c r="R51" i="199"/>
  <c r="AG51" i="199" s="1"/>
  <c r="M103" i="315" s="1"/>
  <c r="P171" i="327" s="1"/>
  <c r="F171" i="327" s="1"/>
  <c r="U171" i="327" s="1"/>
  <c r="R14" i="199"/>
  <c r="AG14" i="199" s="1"/>
  <c r="M65" i="315" s="1"/>
  <c r="P149" i="327" s="1"/>
  <c r="F149" i="327" s="1"/>
  <c r="U149" i="327" s="1"/>
  <c r="R19" i="199"/>
  <c r="AG19" i="199" s="1"/>
  <c r="M70" i="315" s="1"/>
  <c r="AG22" i="199"/>
  <c r="M74" i="315" s="1"/>
  <c r="P154" i="327" s="1"/>
  <c r="F154" i="327" s="1"/>
  <c r="U154" i="327" s="1"/>
  <c r="AG24" i="199"/>
  <c r="M76" i="315" s="1"/>
  <c r="AG44" i="199"/>
  <c r="M96" i="315" s="1"/>
  <c r="P166" i="327" s="1"/>
  <c r="F166" i="327" s="1"/>
  <c r="U166" i="327" s="1"/>
  <c r="AG56" i="199"/>
  <c r="M108" i="315" s="1"/>
  <c r="M73" i="315"/>
  <c r="P153" i="327" s="1"/>
  <c r="F153" i="327" s="1"/>
  <c r="U153" i="327" s="1"/>
  <c r="J199" i="315"/>
  <c r="R25" i="199"/>
  <c r="R26" i="199"/>
  <c r="R27" i="199"/>
  <c r="R45" i="199"/>
  <c r="R47" i="199"/>
  <c r="R57" i="199"/>
  <c r="R21" i="199"/>
  <c r="R20" i="199"/>
  <c r="R16" i="199"/>
  <c r="R18" i="199"/>
  <c r="R71" i="199"/>
  <c r="R77" i="199"/>
  <c r="R10" i="199"/>
  <c r="W13" i="310"/>
  <c r="X13" i="305"/>
  <c r="C13" i="310"/>
  <c r="M75" i="311"/>
  <c r="W75" i="311" s="1"/>
  <c r="W51" i="311"/>
  <c r="M94" i="311"/>
  <c r="W94" i="311" s="1"/>
  <c r="W13" i="311"/>
  <c r="A8" i="305"/>
  <c r="B9" i="305" s="1"/>
  <c r="AG18" i="200"/>
  <c r="M13" i="315" s="1"/>
  <c r="F101" i="327" s="1"/>
  <c r="P101" i="327" s="1"/>
  <c r="M97" i="311"/>
  <c r="W97" i="311" s="1"/>
  <c r="A38" i="311"/>
  <c r="B10" i="311"/>
  <c r="B38" i="308"/>
  <c r="O40" i="304"/>
  <c r="G26" i="304"/>
  <c r="E19" i="305"/>
  <c r="E16" i="305"/>
  <c r="A8" i="304"/>
  <c r="AB46" i="200"/>
  <c r="AB49" i="200"/>
  <c r="AB58" i="200"/>
  <c r="W59" i="200"/>
  <c r="R75" i="199"/>
  <c r="R61" i="199"/>
  <c r="R74" i="199"/>
  <c r="R35" i="199"/>
  <c r="R49" i="199"/>
  <c r="R78" i="199"/>
  <c r="R39" i="199"/>
  <c r="R34" i="199"/>
  <c r="R67" i="199"/>
  <c r="R11" i="199"/>
  <c r="R36" i="199"/>
  <c r="R38" i="200"/>
  <c r="R40" i="200"/>
  <c r="R26" i="200"/>
  <c r="R37" i="199"/>
  <c r="R47" i="200"/>
  <c r="R55" i="200"/>
  <c r="R30" i="199"/>
  <c r="R32" i="199"/>
  <c r="R52" i="200"/>
  <c r="R32" i="200"/>
  <c r="R37" i="200"/>
  <c r="R39" i="200"/>
  <c r="R25" i="200"/>
  <c r="R60" i="200"/>
  <c r="R14" i="200"/>
  <c r="R33" i="199"/>
  <c r="M54" i="199"/>
  <c r="R54" i="199" s="1"/>
  <c r="AG54" i="199" s="1"/>
  <c r="M106" i="315" s="1"/>
  <c r="P173" i="327" s="1"/>
  <c r="F173" i="327" s="1"/>
  <c r="U173" i="327" s="1"/>
  <c r="R53" i="200"/>
  <c r="R13" i="200"/>
  <c r="R54" i="200"/>
  <c r="AG17" i="199" l="1"/>
  <c r="M68" i="315" s="1"/>
  <c r="O13" i="305"/>
  <c r="L13" i="199"/>
  <c r="AG15" i="199"/>
  <c r="M66" i="315" s="1"/>
  <c r="P150" i="327" s="1"/>
  <c r="F150" i="327" s="1"/>
  <c r="U150" i="327" s="1"/>
  <c r="AG30" i="199"/>
  <c r="M82" i="315" s="1"/>
  <c r="P156" i="327" s="1"/>
  <c r="F156" i="327" s="1"/>
  <c r="U156" i="327" s="1"/>
  <c r="AG11" i="199"/>
  <c r="M62" i="315" s="1"/>
  <c r="AG67" i="199"/>
  <c r="M119" i="315" s="1"/>
  <c r="P182" i="327" s="1"/>
  <c r="F182" i="327" s="1"/>
  <c r="U182" i="327" s="1"/>
  <c r="AG74" i="199"/>
  <c r="M125" i="315" s="1"/>
  <c r="AG27" i="199"/>
  <c r="M79" i="315" s="1"/>
  <c r="AG52" i="200"/>
  <c r="M44" i="315" s="1"/>
  <c r="F132" i="327" s="1"/>
  <c r="P132" i="327" s="1"/>
  <c r="J173" i="315"/>
  <c r="C247" i="327" s="1"/>
  <c r="M247" i="327" s="1"/>
  <c r="AG55" i="200"/>
  <c r="M47" i="315" s="1"/>
  <c r="F135" i="327" s="1"/>
  <c r="P135" i="327" s="1"/>
  <c r="J176" i="315"/>
  <c r="C250" i="327" s="1"/>
  <c r="M250" i="327" s="1"/>
  <c r="AG36" i="199"/>
  <c r="M88" i="315" s="1"/>
  <c r="AG78" i="199"/>
  <c r="M129" i="315" s="1"/>
  <c r="AG61" i="199"/>
  <c r="M113" i="315" s="1"/>
  <c r="P177" i="327" s="1"/>
  <c r="F177" i="327" s="1"/>
  <c r="U177" i="327" s="1"/>
  <c r="AG77" i="199"/>
  <c r="M128" i="315" s="1"/>
  <c r="AG57" i="199"/>
  <c r="M109" i="315" s="1"/>
  <c r="AG26" i="199"/>
  <c r="M78" i="315" s="1"/>
  <c r="AG54" i="200"/>
  <c r="M46" i="315" s="1"/>
  <c r="F134" i="327" s="1"/>
  <c r="P134" i="327" s="1"/>
  <c r="J175" i="315"/>
  <c r="C249" i="327" s="1"/>
  <c r="M249" i="327" s="1"/>
  <c r="AG33" i="199"/>
  <c r="M85" i="315" s="1"/>
  <c r="P158" i="327" s="1"/>
  <c r="F158" i="327" s="1"/>
  <c r="U158" i="327" s="1"/>
  <c r="AG47" i="200"/>
  <c r="M38" i="315" s="1"/>
  <c r="F126" i="327" s="1"/>
  <c r="P126" i="327" s="1"/>
  <c r="AG49" i="199"/>
  <c r="M101" i="315" s="1"/>
  <c r="P169" i="327" s="1"/>
  <c r="F169" i="327" s="1"/>
  <c r="U169" i="327" s="1"/>
  <c r="AG75" i="199"/>
  <c r="M126" i="315" s="1"/>
  <c r="AG71" i="199"/>
  <c r="M122" i="315" s="1"/>
  <c r="M71" i="314"/>
  <c r="AG47" i="199"/>
  <c r="M99" i="315" s="1"/>
  <c r="AG25" i="199"/>
  <c r="M77" i="315" s="1"/>
  <c r="M84" i="315"/>
  <c r="P157" i="327" s="1"/>
  <c r="F157" i="327" s="1"/>
  <c r="U157" i="327" s="1"/>
  <c r="AG60" i="200"/>
  <c r="M52" i="315" s="1"/>
  <c r="F140" i="327" s="1"/>
  <c r="P140" i="327" s="1"/>
  <c r="AG32" i="199"/>
  <c r="M83" i="315" s="1"/>
  <c r="AG37" i="199"/>
  <c r="M89" i="315" s="1"/>
  <c r="P161" i="327" s="1"/>
  <c r="F161" i="327" s="1"/>
  <c r="U161" i="327" s="1"/>
  <c r="AG34" i="199"/>
  <c r="M86" i="315" s="1"/>
  <c r="P159" i="327" s="1"/>
  <c r="F159" i="327" s="1"/>
  <c r="U159" i="327" s="1"/>
  <c r="AG39" i="199"/>
  <c r="M91" i="315" s="1"/>
  <c r="P162" i="327" s="1"/>
  <c r="F162" i="327" s="1"/>
  <c r="U162" i="327" s="1"/>
  <c r="AG35" i="199"/>
  <c r="M87" i="315" s="1"/>
  <c r="P160" i="327" s="1"/>
  <c r="F160" i="327" s="1"/>
  <c r="U160" i="327" s="1"/>
  <c r="AG10" i="199"/>
  <c r="M61" i="315" s="1"/>
  <c r="AG18" i="199"/>
  <c r="M69" i="315" s="1"/>
  <c r="J198" i="315"/>
  <c r="AG16" i="199"/>
  <c r="M67" i="315" s="1"/>
  <c r="P151" i="327" s="1"/>
  <c r="F151" i="327" s="1"/>
  <c r="U151" i="327" s="1"/>
  <c r="AG20" i="199"/>
  <c r="M71" i="315" s="1"/>
  <c r="J200" i="315"/>
  <c r="AG21" i="199"/>
  <c r="M72" i="315" s="1"/>
  <c r="P152" i="327" s="1"/>
  <c r="F152" i="327" s="1"/>
  <c r="U152" i="327" s="1"/>
  <c r="AG45" i="199"/>
  <c r="M97" i="315" s="1"/>
  <c r="R13" i="199"/>
  <c r="AG13" i="199" s="1"/>
  <c r="M64" i="315" s="1"/>
  <c r="P148" i="327" s="1"/>
  <c r="F148" i="327" s="1"/>
  <c r="U148" i="327" s="1"/>
  <c r="J13" i="199"/>
  <c r="K13" i="199"/>
  <c r="R20" i="200"/>
  <c r="W35" i="313"/>
  <c r="W36" i="313"/>
  <c r="W60" i="311"/>
  <c r="A47" i="311"/>
  <c r="A56" i="311" s="1"/>
  <c r="A65" i="311" s="1"/>
  <c r="AG53" i="200"/>
  <c r="M45" i="315" s="1"/>
  <c r="F133" i="327" s="1"/>
  <c r="P133" i="327" s="1"/>
  <c r="A118" i="305"/>
  <c r="AG32" i="200"/>
  <c r="M25" i="315" s="1"/>
  <c r="F113" i="327" s="1"/>
  <c r="P113" i="327" s="1"/>
  <c r="B47" i="312"/>
  <c r="W11" i="310"/>
  <c r="AG39" i="200"/>
  <c r="M29" i="315" s="1"/>
  <c r="F117" i="327" s="1"/>
  <c r="P117" i="327" s="1"/>
  <c r="R19" i="200"/>
  <c r="R56" i="200"/>
  <c r="AG38" i="200"/>
  <c r="M28" i="315" s="1"/>
  <c r="F116" i="327" s="1"/>
  <c r="P116" i="327" s="1"/>
  <c r="AG37" i="200"/>
  <c r="M27" i="315" s="1"/>
  <c r="F115" i="327" s="1"/>
  <c r="P115" i="327" s="1"/>
  <c r="AG40" i="200"/>
  <c r="M30" i="315" s="1"/>
  <c r="F118" i="327" s="1"/>
  <c r="P118" i="327" s="1"/>
  <c r="B41" i="308"/>
  <c r="B43" i="308" s="1"/>
  <c r="M9" i="199"/>
  <c r="M28" i="199" s="1"/>
  <c r="AG13" i="200"/>
  <c r="M11" i="315" s="1"/>
  <c r="F99" i="327" s="1"/>
  <c r="P99" i="327" s="1"/>
  <c r="AG14" i="200"/>
  <c r="M12" i="315" s="1"/>
  <c r="F100" i="327" s="1"/>
  <c r="P100" i="327" s="1"/>
  <c r="AG25" i="200"/>
  <c r="M20" i="315" s="1"/>
  <c r="F108" i="327" s="1"/>
  <c r="P108" i="327" s="1"/>
  <c r="AG26" i="200"/>
  <c r="M21" i="315" s="1"/>
  <c r="F109" i="327" s="1"/>
  <c r="P109" i="327" s="1"/>
  <c r="P40" i="304"/>
  <c r="B9" i="304"/>
  <c r="C10" i="304" s="1"/>
  <c r="R41" i="200"/>
  <c r="R42" i="200"/>
  <c r="R51" i="200"/>
  <c r="J172" i="315" s="1"/>
  <c r="C246" i="327" s="1"/>
  <c r="M246" i="327" s="1"/>
  <c r="R43" i="200"/>
  <c r="R24" i="200"/>
  <c r="M42" i="304" s="1"/>
  <c r="M79" i="199"/>
  <c r="R31" i="200"/>
  <c r="R36" i="200"/>
  <c r="AB61" i="200"/>
  <c r="AB62" i="200" s="1"/>
  <c r="AB59" i="200"/>
  <c r="M69" i="199"/>
  <c r="R70" i="199"/>
  <c r="M52" i="199"/>
  <c r="R48" i="199"/>
  <c r="R79" i="199"/>
  <c r="R69" i="199" l="1"/>
  <c r="AG69" i="199" s="1"/>
  <c r="M120" i="315" s="1"/>
  <c r="P183" i="327" s="1"/>
  <c r="M72" i="199"/>
  <c r="A140" i="305"/>
  <c r="P13" i="305"/>
  <c r="Q40" i="304"/>
  <c r="AG20" i="200"/>
  <c r="M15" i="315" s="1"/>
  <c r="F103" i="327" s="1"/>
  <c r="P103" i="327" s="1"/>
  <c r="M92" i="315"/>
  <c r="O91" i="315" s="1"/>
  <c r="AG70" i="199"/>
  <c r="AG79" i="199"/>
  <c r="M130" i="315" s="1"/>
  <c r="W22" i="313"/>
  <c r="R9" i="199"/>
  <c r="R28" i="199" s="1"/>
  <c r="R41" i="199" s="1"/>
  <c r="F183" i="327"/>
  <c r="U183" i="327" s="1"/>
  <c r="O89" i="315"/>
  <c r="O84" i="315"/>
  <c r="AG56" i="200"/>
  <c r="M48" i="315" s="1"/>
  <c r="F136" i="327" s="1"/>
  <c r="P136" i="327" s="1"/>
  <c r="W25" i="313"/>
  <c r="B119" i="305"/>
  <c r="B129" i="305" s="1"/>
  <c r="AG9" i="199"/>
  <c r="AG36" i="200"/>
  <c r="M26" i="315" s="1"/>
  <c r="F114" i="327" s="1"/>
  <c r="P114" i="327" s="1"/>
  <c r="AG19" i="200"/>
  <c r="M14" i="315" s="1"/>
  <c r="F102" i="327" s="1"/>
  <c r="P102" i="327" s="1"/>
  <c r="AG31" i="200"/>
  <c r="M24" i="315" s="1"/>
  <c r="F112" i="327" s="1"/>
  <c r="P112" i="327" s="1"/>
  <c r="R52" i="199"/>
  <c r="AG48" i="199"/>
  <c r="B17" i="311"/>
  <c r="B24" i="311" s="1"/>
  <c r="B66" i="312"/>
  <c r="B85" i="312" s="1"/>
  <c r="B104" i="312" s="1"/>
  <c r="B123" i="312" s="1"/>
  <c r="AG43" i="200"/>
  <c r="M33" i="315" s="1"/>
  <c r="F121" i="327" s="1"/>
  <c r="P121" i="327" s="1"/>
  <c r="AG51" i="200"/>
  <c r="R57" i="200"/>
  <c r="AG42" i="200"/>
  <c r="M32" i="315" s="1"/>
  <c r="F120" i="327" s="1"/>
  <c r="P120" i="327" s="1"/>
  <c r="AG41" i="200"/>
  <c r="M31" i="315" s="1"/>
  <c r="F119" i="327" s="1"/>
  <c r="P119" i="327" s="1"/>
  <c r="B51" i="308"/>
  <c r="B54" i="308" s="1"/>
  <c r="M41" i="199"/>
  <c r="AG24" i="200"/>
  <c r="M19" i="315" s="1"/>
  <c r="F107" i="327" s="1"/>
  <c r="P107" i="327" s="1"/>
  <c r="R23" i="200"/>
  <c r="C14" i="304"/>
  <c r="C17" i="304" s="1"/>
  <c r="C20" i="304" s="1"/>
  <c r="B23" i="304"/>
  <c r="R28" i="200"/>
  <c r="R27" i="200"/>
  <c r="AG27" i="200" s="1"/>
  <c r="M22" i="315" s="1"/>
  <c r="F110" i="327" s="1"/>
  <c r="P110" i="327" s="1"/>
  <c r="R10" i="200"/>
  <c r="P163" i="327" l="1"/>
  <c r="O87" i="315"/>
  <c r="O85" i="315"/>
  <c r="B141" i="305"/>
  <c r="R40" i="304"/>
  <c r="Q13" i="305"/>
  <c r="O88" i="315"/>
  <c r="O86" i="315"/>
  <c r="O90" i="315"/>
  <c r="M458" i="315"/>
  <c r="F83" i="327" s="1"/>
  <c r="P83" i="327" s="1"/>
  <c r="O82" i="315"/>
  <c r="M121" i="315"/>
  <c r="P184" i="327" s="1"/>
  <c r="F184" i="327" s="1"/>
  <c r="U184" i="327" s="1"/>
  <c r="F163" i="327"/>
  <c r="U163" i="327" s="1"/>
  <c r="AG57" i="200"/>
  <c r="M49" i="315" s="1"/>
  <c r="F137" i="327" s="1"/>
  <c r="P137" i="327" s="1"/>
  <c r="M43" i="315"/>
  <c r="F131" i="327" s="1"/>
  <c r="P131" i="327" s="1"/>
  <c r="AG52" i="199"/>
  <c r="M104" i="315" s="1"/>
  <c r="M100" i="315"/>
  <c r="P168" i="327" s="1"/>
  <c r="AG28" i="199"/>
  <c r="M60" i="315"/>
  <c r="P147" i="327" s="1"/>
  <c r="B142" i="312"/>
  <c r="B163" i="312" s="1"/>
  <c r="B180" i="312" s="1"/>
  <c r="B197" i="312" s="1"/>
  <c r="B31" i="311"/>
  <c r="B40" i="311" s="1"/>
  <c r="AG28" i="200"/>
  <c r="M23" i="315" s="1"/>
  <c r="F111" i="327" s="1"/>
  <c r="P111" i="327" s="1"/>
  <c r="B34" i="304"/>
  <c r="B36" i="304" s="1"/>
  <c r="AG10" i="200"/>
  <c r="M10" i="315" s="1"/>
  <c r="F98" i="327" s="1"/>
  <c r="P98" i="327" s="1"/>
  <c r="R44" i="200"/>
  <c r="AG23" i="200"/>
  <c r="M21" i="200"/>
  <c r="R9" i="200"/>
  <c r="R21" i="200" s="1"/>
  <c r="R13" i="305" l="1"/>
  <c r="F147" i="327"/>
  <c r="U147" i="327" s="1"/>
  <c r="F168" i="327"/>
  <c r="U168" i="327" s="1"/>
  <c r="M461" i="315"/>
  <c r="F88" i="327" s="1"/>
  <c r="P89" i="327" s="1"/>
  <c r="P172" i="327"/>
  <c r="AG44" i="200"/>
  <c r="M34" i="315" s="1"/>
  <c r="F122" i="327" s="1"/>
  <c r="P122" i="327" s="1"/>
  <c r="M18" i="315"/>
  <c r="F106" i="327" s="1"/>
  <c r="P106" i="327" s="1"/>
  <c r="AG41" i="199"/>
  <c r="M80" i="315"/>
  <c r="P155" i="327" s="1"/>
  <c r="B49" i="311"/>
  <c r="B58" i="311" s="1"/>
  <c r="B214" i="312"/>
  <c r="B231" i="312" s="1"/>
  <c r="B248" i="312" s="1"/>
  <c r="B265" i="312" s="1"/>
  <c r="B282" i="312" s="1"/>
  <c r="R45" i="200"/>
  <c r="R46" i="200" s="1"/>
  <c r="AG9" i="200"/>
  <c r="M93" i="315" l="1"/>
  <c r="P164" i="327" s="1"/>
  <c r="F164" i="327" s="1"/>
  <c r="U164" i="327" s="1"/>
  <c r="F155" i="327"/>
  <c r="U155" i="327" s="1"/>
  <c r="F172" i="327"/>
  <c r="U172" i="327" s="1"/>
  <c r="P18" i="315"/>
  <c r="P21" i="315"/>
  <c r="P28" i="315"/>
  <c r="P25" i="315"/>
  <c r="P20" i="315"/>
  <c r="P30" i="315"/>
  <c r="P29" i="315"/>
  <c r="P27" i="315"/>
  <c r="P19" i="315"/>
  <c r="P24" i="315"/>
  <c r="P31" i="315"/>
  <c r="P26" i="315"/>
  <c r="P32" i="315"/>
  <c r="P33" i="315"/>
  <c r="P22" i="315"/>
  <c r="AG21" i="200"/>
  <c r="M9" i="315"/>
  <c r="O75" i="315"/>
  <c r="O80" i="315"/>
  <c r="M457" i="315"/>
  <c r="F84" i="327" s="1"/>
  <c r="P84" i="327" s="1"/>
  <c r="O67" i="315"/>
  <c r="O72" i="315"/>
  <c r="O70" i="315"/>
  <c r="O76" i="315"/>
  <c r="O78" i="315"/>
  <c r="O73" i="315"/>
  <c r="O79" i="315"/>
  <c r="O74" i="315"/>
  <c r="O71" i="315"/>
  <c r="O77" i="315"/>
  <c r="O66" i="315"/>
  <c r="O65" i="315"/>
  <c r="O69" i="315"/>
  <c r="O68" i="315"/>
  <c r="O64" i="315"/>
  <c r="O60" i="315"/>
  <c r="P23" i="315"/>
  <c r="B67" i="311"/>
  <c r="B79" i="311" s="1"/>
  <c r="R48" i="200"/>
  <c r="R58" i="200" s="1"/>
  <c r="R61" i="200" s="1"/>
  <c r="R62" i="200" s="1"/>
  <c r="M442" i="315" l="1"/>
  <c r="F76" i="327" s="1"/>
  <c r="F97" i="327"/>
  <c r="P97" i="327" s="1"/>
  <c r="AG45" i="200"/>
  <c r="M16" i="315"/>
  <c r="F104" i="327" s="1"/>
  <c r="P104" i="327" s="1"/>
  <c r="B92" i="311"/>
  <c r="R49" i="200"/>
  <c r="R59" i="200"/>
  <c r="P76" i="327" l="1"/>
  <c r="AG48" i="200"/>
  <c r="M36" i="315"/>
  <c r="AG46" i="200"/>
  <c r="M37" i="315" s="1"/>
  <c r="F125" i="327" s="1"/>
  <c r="P125" i="327" s="1"/>
  <c r="M64" i="200"/>
  <c r="R64" i="200" s="1"/>
  <c r="M443" i="315" l="1"/>
  <c r="F77" i="327" s="1"/>
  <c r="P77" i="327" s="1"/>
  <c r="F124" i="327"/>
  <c r="P124" i="327" s="1"/>
  <c r="M40" i="315"/>
  <c r="F128" i="327" s="1"/>
  <c r="P128" i="327" s="1"/>
  <c r="AG49" i="200"/>
  <c r="M41" i="315" s="1"/>
  <c r="F129" i="327" s="1"/>
  <c r="P129" i="327" s="1"/>
  <c r="AG58" i="200"/>
  <c r="M50" i="315" l="1"/>
  <c r="F138" i="327" s="1"/>
  <c r="P138" i="327" s="1"/>
  <c r="AG59" i="200"/>
  <c r="M51" i="315" s="1"/>
  <c r="F139" i="327" s="1"/>
  <c r="P139" i="327" s="1"/>
  <c r="AG61" i="200"/>
  <c r="AG62" i="200" l="1"/>
  <c r="M54" i="315" s="1"/>
  <c r="F142" i="327" s="1"/>
  <c r="P142" i="327" s="1"/>
  <c r="M53" i="315"/>
  <c r="M444" i="315" l="1"/>
  <c r="F78" i="327" s="1"/>
  <c r="P78" i="327" s="1"/>
  <c r="F141" i="327"/>
  <c r="P141" i="327" s="1"/>
  <c r="N96" i="311" l="1"/>
  <c r="M95" i="311" l="1"/>
  <c r="W95" i="311" s="1"/>
  <c r="W20" i="311"/>
  <c r="N95" i="311"/>
  <c r="W27" i="311"/>
  <c r="M96" i="311"/>
  <c r="W96" i="311" s="1"/>
  <c r="O96" i="311" l="1"/>
  <c r="O95" i="311"/>
  <c r="H191" i="56"/>
  <c r="P95" i="311" l="1"/>
  <c r="P96" i="311"/>
  <c r="G49" i="311"/>
  <c r="G58" i="311"/>
  <c r="H184" i="56" l="1"/>
  <c r="H183" i="56"/>
  <c r="H182" i="56"/>
  <c r="H179" i="56"/>
  <c r="H272" i="312" s="1"/>
  <c r="H178" i="56"/>
  <c r="H267" i="312" s="1"/>
  <c r="H177" i="56"/>
  <c r="H266" i="312" s="1"/>
  <c r="H174" i="56"/>
  <c r="H255" i="312" s="1"/>
  <c r="H173" i="56"/>
  <c r="H250" i="312" s="1"/>
  <c r="H172" i="56"/>
  <c r="H249" i="312" s="1"/>
  <c r="H169" i="56"/>
  <c r="H168" i="56"/>
  <c r="H167" i="56"/>
  <c r="H164" i="56"/>
  <c r="H221" i="312" s="1"/>
  <c r="H163" i="56"/>
  <c r="H216" i="312" s="1"/>
  <c r="H162" i="56"/>
  <c r="H215" i="312" s="1"/>
  <c r="H74" i="56"/>
  <c r="H73" i="56"/>
  <c r="H70" i="56"/>
  <c r="H100" i="305" s="1"/>
  <c r="H69" i="56"/>
  <c r="H66" i="56"/>
  <c r="H65" i="56"/>
  <c r="H62" i="56"/>
  <c r="H61" i="56"/>
  <c r="H58" i="56"/>
  <c r="H57" i="56"/>
  <c r="H54" i="56"/>
  <c r="H53" i="56"/>
  <c r="H50" i="56"/>
  <c r="H49" i="56"/>
  <c r="H46" i="56"/>
  <c r="H45" i="56"/>
  <c r="H42" i="56"/>
  <c r="H60" i="305" s="1"/>
  <c r="H41" i="56"/>
  <c r="H38" i="56"/>
  <c r="H37" i="56"/>
  <c r="H30" i="56"/>
  <c r="H29" i="56"/>
  <c r="H26" i="56"/>
  <c r="H25" i="56"/>
  <c r="H22" i="56"/>
  <c r="H21" i="56"/>
  <c r="H232" i="312" l="1"/>
  <c r="H283" i="312"/>
  <c r="H233" i="312"/>
  <c r="H284" i="312"/>
  <c r="G64" i="305"/>
  <c r="G62" i="305"/>
  <c r="G63" i="305"/>
  <c r="G61" i="305"/>
  <c r="H238" i="312"/>
  <c r="H289" i="312"/>
  <c r="H80" i="305"/>
  <c r="H20" i="305"/>
  <c r="H90" i="305"/>
  <c r="H70" i="305"/>
  <c r="H110" i="305"/>
  <c r="H50" i="305"/>
  <c r="H30" i="305"/>
  <c r="G293" i="312" l="1"/>
  <c r="G292" i="312"/>
  <c r="G290" i="312"/>
  <c r="G291" i="312"/>
  <c r="G257" i="312"/>
  <c r="G258" i="312"/>
  <c r="G259" i="312"/>
  <c r="G256" i="312"/>
  <c r="G222" i="312"/>
  <c r="G224" i="312"/>
  <c r="G223" i="312"/>
  <c r="G225" i="312"/>
  <c r="G273" i="312"/>
  <c r="G274" i="312"/>
  <c r="G275" i="312"/>
  <c r="G276" i="312"/>
  <c r="G242" i="312"/>
  <c r="G239" i="312"/>
  <c r="G240" i="312"/>
  <c r="G241" i="312"/>
  <c r="G54" i="305"/>
  <c r="G51" i="305"/>
  <c r="G53" i="305"/>
  <c r="G52" i="305"/>
  <c r="G104" i="305"/>
  <c r="G101" i="305"/>
  <c r="G103" i="305"/>
  <c r="G102" i="305"/>
  <c r="G112" i="305"/>
  <c r="G113" i="305"/>
  <c r="G111" i="305"/>
  <c r="G114" i="305"/>
  <c r="G73" i="305"/>
  <c r="G72" i="305"/>
  <c r="G71" i="305"/>
  <c r="G74" i="305"/>
  <c r="G94" i="305"/>
  <c r="G92" i="305"/>
  <c r="G91" i="305"/>
  <c r="G93" i="305"/>
  <c r="G21" i="305"/>
  <c r="G24" i="305"/>
  <c r="G23" i="305"/>
  <c r="G22" i="305"/>
  <c r="G84" i="305"/>
  <c r="G82" i="305"/>
  <c r="G81" i="305"/>
  <c r="G83" i="305"/>
  <c r="G33" i="305"/>
  <c r="G32" i="305"/>
  <c r="G31" i="305"/>
  <c r="G34" i="305"/>
  <c r="C197" i="312" l="1"/>
  <c r="D202" i="312" s="1"/>
  <c r="D212" i="312" s="1"/>
  <c r="D313" i="312" s="1"/>
  <c r="C155" i="56"/>
  <c r="C265" i="312"/>
  <c r="D270" i="312" s="1"/>
  <c r="D280" i="312" s="1"/>
  <c r="D317" i="312" s="1"/>
  <c r="C175" i="56"/>
  <c r="C214" i="312"/>
  <c r="D219" i="312" s="1"/>
  <c r="D229" i="312" s="1"/>
  <c r="D314" i="312" s="1"/>
  <c r="C160" i="56"/>
  <c r="C231" i="312"/>
  <c r="D236" i="312" s="1"/>
  <c r="D246" i="312" s="1"/>
  <c r="D315" i="312" s="1"/>
  <c r="C165" i="56"/>
  <c r="C248" i="312"/>
  <c r="D253" i="312" s="1"/>
  <c r="D263" i="312" s="1"/>
  <c r="D316" i="312" s="1"/>
  <c r="C170" i="56"/>
  <c r="R63" i="199"/>
  <c r="R64" i="199"/>
  <c r="R65" i="199"/>
  <c r="R62" i="199"/>
  <c r="R66" i="199"/>
  <c r="AG62" i="199" l="1"/>
  <c r="M114" i="315" s="1"/>
  <c r="P178" i="327" s="1"/>
  <c r="AG65" i="199"/>
  <c r="M117" i="315" s="1"/>
  <c r="AG64" i="199"/>
  <c r="M116" i="315" s="1"/>
  <c r="P180" i="327" s="1"/>
  <c r="F180" i="327" s="1"/>
  <c r="U180" i="327" s="1"/>
  <c r="AG63" i="199"/>
  <c r="M115" i="315" s="1"/>
  <c r="P179" i="327" s="1"/>
  <c r="F179" i="327" s="1"/>
  <c r="U179" i="327" s="1"/>
  <c r="F178" i="327"/>
  <c r="U178" i="327" s="1"/>
  <c r="AG66" i="199"/>
  <c r="M118" i="315" s="1"/>
  <c r="P181" i="327" s="1"/>
  <c r="F181" i="327" s="1"/>
  <c r="U181" i="327" s="1"/>
  <c r="M80" i="199" l="1"/>
  <c r="M81" i="199" s="1"/>
  <c r="M83" i="199" s="1"/>
  <c r="R59" i="199"/>
  <c r="R72" i="199" s="1"/>
  <c r="R80" i="199" l="1"/>
  <c r="R81" i="199" s="1"/>
  <c r="R83" i="199" s="1"/>
  <c r="AG59" i="199"/>
  <c r="AG72" i="199" s="1"/>
  <c r="F62" i="200"/>
  <c r="F59" i="200"/>
  <c r="F49" i="200"/>
  <c r="F46" i="200"/>
  <c r="AA45" i="200"/>
  <c r="Q7" i="200"/>
  <c r="Q20" i="200" s="1"/>
  <c r="P7" i="200"/>
  <c r="P20" i="200" s="1"/>
  <c r="O7" i="200"/>
  <c r="O20" i="200" s="1"/>
  <c r="A2" i="200"/>
  <c r="A1" i="200"/>
  <c r="V79" i="199"/>
  <c r="U79" i="199"/>
  <c r="T79" i="199"/>
  <c r="V72" i="199"/>
  <c r="U72" i="199"/>
  <c r="T72" i="199"/>
  <c r="V52" i="199"/>
  <c r="U52" i="199"/>
  <c r="T52" i="199"/>
  <c r="V40" i="199"/>
  <c r="U40" i="199"/>
  <c r="T40" i="199"/>
  <c r="V28" i="199"/>
  <c r="U28" i="199"/>
  <c r="T28" i="199"/>
  <c r="M111" i="315" l="1"/>
  <c r="P175" i="327" s="1"/>
  <c r="L16" i="308"/>
  <c r="AF20" i="200"/>
  <c r="L15" i="315" s="1"/>
  <c r="E103" i="327" s="1"/>
  <c r="O103" i="327" s="1"/>
  <c r="J16" i="308"/>
  <c r="AD20" i="200"/>
  <c r="J15" i="315" s="1"/>
  <c r="C103" i="327" s="1"/>
  <c r="M103" i="327" s="1"/>
  <c r="K16" i="308"/>
  <c r="AE20" i="200"/>
  <c r="K15" i="315" s="1"/>
  <c r="D103" i="327" s="1"/>
  <c r="N103" i="327" s="1"/>
  <c r="O40" i="200"/>
  <c r="O18" i="200"/>
  <c r="O53" i="200"/>
  <c r="J120" i="305" s="1"/>
  <c r="O32" i="200"/>
  <c r="O31" i="200"/>
  <c r="O56" i="200"/>
  <c r="J130" i="305" s="1"/>
  <c r="O36" i="200"/>
  <c r="P40" i="200"/>
  <c r="P18" i="200"/>
  <c r="P53" i="200"/>
  <c r="K120" i="305" s="1"/>
  <c r="P32" i="200"/>
  <c r="P56" i="200"/>
  <c r="K130" i="305" s="1"/>
  <c r="P36" i="200"/>
  <c r="P31" i="200"/>
  <c r="Q40" i="200"/>
  <c r="Q53" i="200"/>
  <c r="L120" i="305" s="1"/>
  <c r="X120" i="305" s="1"/>
  <c r="Q32" i="200"/>
  <c r="Q18" i="200"/>
  <c r="Q31" i="200"/>
  <c r="Q56" i="200"/>
  <c r="L130" i="305" s="1"/>
  <c r="X130" i="305" s="1"/>
  <c r="Q36" i="200"/>
  <c r="T41" i="199"/>
  <c r="T80" i="199"/>
  <c r="T81" i="199" s="1"/>
  <c r="V41" i="199"/>
  <c r="U80" i="199"/>
  <c r="U81" i="199" s="1"/>
  <c r="Y45" i="200"/>
  <c r="Y48" i="200" s="1"/>
  <c r="U45" i="200"/>
  <c r="U46" i="200" s="1"/>
  <c r="T45" i="200"/>
  <c r="T48" i="200" s="1"/>
  <c r="Z45" i="200"/>
  <c r="Z46" i="200" s="1"/>
  <c r="V45" i="200"/>
  <c r="V48" i="200" s="1"/>
  <c r="P13" i="200"/>
  <c r="P14" i="200"/>
  <c r="Q14" i="200"/>
  <c r="O13" i="200"/>
  <c r="Q13" i="200"/>
  <c r="O14" i="200"/>
  <c r="AA48" i="200"/>
  <c r="AA46" i="200"/>
  <c r="U41" i="199"/>
  <c r="V80" i="199"/>
  <c r="V81" i="199" s="1"/>
  <c r="AA79" i="199"/>
  <c r="Z79" i="199"/>
  <c r="Y79" i="199"/>
  <c r="C79" i="199"/>
  <c r="AA72" i="199"/>
  <c r="Z72" i="199"/>
  <c r="Z80" i="199" s="1"/>
  <c r="Y72" i="199"/>
  <c r="Y80" i="199" s="1"/>
  <c r="C72" i="199"/>
  <c r="AA52" i="199"/>
  <c r="Z52" i="199"/>
  <c r="Y52" i="199"/>
  <c r="C52" i="199"/>
  <c r="AA40" i="199"/>
  <c r="Z40" i="199"/>
  <c r="Y40" i="199"/>
  <c r="C40" i="199"/>
  <c r="AA28" i="199"/>
  <c r="Z28" i="199"/>
  <c r="Y28" i="199"/>
  <c r="C28" i="199"/>
  <c r="Q7" i="199"/>
  <c r="P7" i="199"/>
  <c r="O7" i="199"/>
  <c r="A2" i="199"/>
  <c r="A1" i="199"/>
  <c r="O31" i="199" l="1"/>
  <c r="Q31" i="199"/>
  <c r="P31" i="199"/>
  <c r="Y41" i="199"/>
  <c r="Y81" i="199"/>
  <c r="Z41" i="199"/>
  <c r="F175" i="327"/>
  <c r="U175" i="327" s="1"/>
  <c r="AG80" i="199"/>
  <c r="M123" i="315"/>
  <c r="P185" i="327" s="1"/>
  <c r="F185" i="327" s="1"/>
  <c r="U185" i="327" s="1"/>
  <c r="O15" i="315"/>
  <c r="Q23" i="199"/>
  <c r="Q18" i="199"/>
  <c r="Q20" i="199"/>
  <c r="Q38" i="199"/>
  <c r="Q19" i="199"/>
  <c r="Q17" i="199"/>
  <c r="Q32" i="199"/>
  <c r="L32" i="314" s="1"/>
  <c r="Q33" i="199"/>
  <c r="L33" i="314" s="1"/>
  <c r="L14" i="308"/>
  <c r="W14" i="308" s="1"/>
  <c r="AF18" i="200"/>
  <c r="L13" i="315" s="1"/>
  <c r="E101" i="327" s="1"/>
  <c r="O101" i="327" s="1"/>
  <c r="K48" i="305"/>
  <c r="AE31" i="200"/>
  <c r="K24" i="315" s="1"/>
  <c r="D112" i="327" s="1"/>
  <c r="N112" i="327" s="1"/>
  <c r="K46" i="308"/>
  <c r="AE53" i="200"/>
  <c r="K45" i="315" s="1"/>
  <c r="D133" i="327" s="1"/>
  <c r="N133" i="327" s="1"/>
  <c r="J49" i="308"/>
  <c r="AD56" i="200"/>
  <c r="J48" i="315" s="1"/>
  <c r="C136" i="327" s="1"/>
  <c r="M136" i="327" s="1"/>
  <c r="J14" i="308"/>
  <c r="AD18" i="200"/>
  <c r="J13" i="315" s="1"/>
  <c r="C101" i="327" s="1"/>
  <c r="M101" i="327" s="1"/>
  <c r="AF36" i="200"/>
  <c r="L26" i="315" s="1"/>
  <c r="L58" i="305"/>
  <c r="AF32" i="200"/>
  <c r="L25" i="315" s="1"/>
  <c r="AE36" i="200"/>
  <c r="K26" i="315" s="1"/>
  <c r="D114" i="327" s="1"/>
  <c r="N114" i="327" s="1"/>
  <c r="K14" i="308"/>
  <c r="AE18" i="200"/>
  <c r="K13" i="315" s="1"/>
  <c r="D101" i="327" s="1"/>
  <c r="N101" i="327" s="1"/>
  <c r="J48" i="305"/>
  <c r="AD31" i="200"/>
  <c r="J24" i="315" s="1"/>
  <c r="C112" i="327" s="1"/>
  <c r="M112" i="327" s="1"/>
  <c r="O78" i="199"/>
  <c r="O60" i="199"/>
  <c r="J60" i="314" s="1"/>
  <c r="O19" i="199"/>
  <c r="O17" i="199"/>
  <c r="O23" i="199"/>
  <c r="O18" i="199"/>
  <c r="O20" i="199"/>
  <c r="O38" i="199"/>
  <c r="O32" i="199"/>
  <c r="J32" i="314" s="1"/>
  <c r="O33" i="199"/>
  <c r="J33" i="314" s="1"/>
  <c r="L49" i="308"/>
  <c r="AF56" i="200"/>
  <c r="L48" i="315" s="1"/>
  <c r="E136" i="327" s="1"/>
  <c r="O136" i="327" s="1"/>
  <c r="L46" i="308"/>
  <c r="AF53" i="200"/>
  <c r="L45" i="315" s="1"/>
  <c r="E133" i="327" s="1"/>
  <c r="O133" i="327" s="1"/>
  <c r="K49" i="308"/>
  <c r="AE56" i="200"/>
  <c r="K48" i="315" s="1"/>
  <c r="D136" i="327" s="1"/>
  <c r="N136" i="327" s="1"/>
  <c r="J58" i="305"/>
  <c r="AD32" i="200"/>
  <c r="J25" i="315" s="1"/>
  <c r="C113" i="327" s="1"/>
  <c r="M113" i="327" s="1"/>
  <c r="P20" i="199"/>
  <c r="P38" i="199"/>
  <c r="P19" i="199"/>
  <c r="P17" i="199"/>
  <c r="P23" i="199"/>
  <c r="P18" i="199"/>
  <c r="P32" i="199"/>
  <c r="K32" i="314" s="1"/>
  <c r="P33" i="199"/>
  <c r="K33" i="314" s="1"/>
  <c r="L48" i="305"/>
  <c r="AF31" i="200"/>
  <c r="L24" i="315" s="1"/>
  <c r="K58" i="305"/>
  <c r="AE32" i="200"/>
  <c r="K25" i="315" s="1"/>
  <c r="D113" i="327" s="1"/>
  <c r="N113" i="327" s="1"/>
  <c r="AD36" i="200"/>
  <c r="J26" i="315" s="1"/>
  <c r="C114" i="327" s="1"/>
  <c r="M114" i="327" s="1"/>
  <c r="J46" i="308"/>
  <c r="AD53" i="200"/>
  <c r="J45" i="315" s="1"/>
  <c r="C133" i="327" s="1"/>
  <c r="M133" i="327" s="1"/>
  <c r="AF40" i="200"/>
  <c r="L30" i="315" s="1"/>
  <c r="AE40" i="200"/>
  <c r="K30" i="315" s="1"/>
  <c r="D118" i="327" s="1"/>
  <c r="N118" i="327" s="1"/>
  <c r="AD40" i="200"/>
  <c r="J30" i="315" s="1"/>
  <c r="C118" i="327" s="1"/>
  <c r="M118" i="327" s="1"/>
  <c r="AF14" i="200"/>
  <c r="L12" i="315" s="1"/>
  <c r="E100" i="327" s="1"/>
  <c r="O100" i="327" s="1"/>
  <c r="L17" i="304"/>
  <c r="AD14" i="200"/>
  <c r="J12" i="315" s="1"/>
  <c r="C100" i="327" s="1"/>
  <c r="M100" i="327" s="1"/>
  <c r="J17" i="304"/>
  <c r="J12" i="308" s="1"/>
  <c r="AE14" i="200"/>
  <c r="K12" i="315" s="1"/>
  <c r="D100" i="327" s="1"/>
  <c r="N100" i="327" s="1"/>
  <c r="K17" i="304"/>
  <c r="K12" i="308" s="1"/>
  <c r="AF13" i="200"/>
  <c r="L11" i="315" s="1"/>
  <c r="E99" i="327" s="1"/>
  <c r="O99" i="327" s="1"/>
  <c r="L14" i="304"/>
  <c r="AE13" i="200"/>
  <c r="K11" i="315" s="1"/>
  <c r="D99" i="327" s="1"/>
  <c r="N99" i="327" s="1"/>
  <c r="K14" i="304"/>
  <c r="K11" i="308" s="1"/>
  <c r="AD13" i="200"/>
  <c r="J11" i="315" s="1"/>
  <c r="C99" i="327" s="1"/>
  <c r="M99" i="327" s="1"/>
  <c r="J14" i="304"/>
  <c r="J11" i="308" s="1"/>
  <c r="V83" i="199"/>
  <c r="Y46" i="200"/>
  <c r="T83" i="199"/>
  <c r="Z48" i="200"/>
  <c r="Z58" i="200" s="1"/>
  <c r="T46" i="200"/>
  <c r="U48" i="200"/>
  <c r="U49" i="200" s="1"/>
  <c r="T49" i="200"/>
  <c r="T58" i="200"/>
  <c r="T59" i="200" s="1"/>
  <c r="V46" i="200"/>
  <c r="V49" i="200"/>
  <c r="V58" i="200"/>
  <c r="P12" i="199"/>
  <c r="P70" i="199"/>
  <c r="AA49" i="200"/>
  <c r="AA58" i="200"/>
  <c r="Y58" i="200"/>
  <c r="Y49" i="200"/>
  <c r="Z81" i="199"/>
  <c r="AA41" i="199"/>
  <c r="U83" i="199"/>
  <c r="O56" i="199"/>
  <c r="P26" i="199"/>
  <c r="O36" i="199"/>
  <c r="Q12" i="199"/>
  <c r="O26" i="199"/>
  <c r="P58" i="199"/>
  <c r="O58" i="199"/>
  <c r="L69" i="199"/>
  <c r="Q69" i="199" s="1"/>
  <c r="AF69" i="199" s="1"/>
  <c r="L120" i="315" s="1"/>
  <c r="O183" i="327" s="1"/>
  <c r="K69" i="199"/>
  <c r="P69" i="199" s="1"/>
  <c r="AE69" i="199" s="1"/>
  <c r="K120" i="315" s="1"/>
  <c r="N183" i="327" s="1"/>
  <c r="D183" i="327" s="1"/>
  <c r="S183" i="327" s="1"/>
  <c r="Q26" i="199"/>
  <c r="Q45" i="199"/>
  <c r="O70" i="199"/>
  <c r="J69" i="199"/>
  <c r="P76" i="199"/>
  <c r="P45" i="199"/>
  <c r="P57" i="199"/>
  <c r="P51" i="199"/>
  <c r="P36" i="199"/>
  <c r="P47" i="199"/>
  <c r="O12" i="199"/>
  <c r="Q47" i="199"/>
  <c r="P56" i="199"/>
  <c r="Q57" i="199"/>
  <c r="Q51" i="199"/>
  <c r="Q71" i="199"/>
  <c r="Q36" i="199"/>
  <c r="Q78" i="199"/>
  <c r="Q77" i="199"/>
  <c r="Q76" i="199"/>
  <c r="Q70" i="199"/>
  <c r="P71" i="199"/>
  <c r="O51" i="199"/>
  <c r="O57" i="199"/>
  <c r="O71" i="199"/>
  <c r="O76" i="199"/>
  <c r="O77" i="199"/>
  <c r="O45" i="199"/>
  <c r="O47" i="199"/>
  <c r="Q56" i="199"/>
  <c r="AA80" i="199"/>
  <c r="AA81" i="199" s="1"/>
  <c r="P77" i="199"/>
  <c r="P78" i="199"/>
  <c r="AD31" i="199" l="1"/>
  <c r="J31" i="314"/>
  <c r="L11" i="308"/>
  <c r="AF31" i="199"/>
  <c r="L31" i="314"/>
  <c r="L12" i="308"/>
  <c r="L11" i="312" s="1"/>
  <c r="AE31" i="199"/>
  <c r="K31" i="314"/>
  <c r="Z83" i="199"/>
  <c r="Y83" i="199"/>
  <c r="J38" i="314"/>
  <c r="AD38" i="199"/>
  <c r="J90" i="315" s="1"/>
  <c r="K38" i="314"/>
  <c r="AE38" i="199"/>
  <c r="K90" i="315" s="1"/>
  <c r="L38" i="314"/>
  <c r="AF38" i="199"/>
  <c r="L90" i="315" s="1"/>
  <c r="E183" i="327"/>
  <c r="T183" i="327" s="1"/>
  <c r="E118" i="327"/>
  <c r="O118" i="327" s="1"/>
  <c r="E112" i="327"/>
  <c r="O112" i="327" s="1"/>
  <c r="E113" i="327"/>
  <c r="O113" i="327" s="1"/>
  <c r="E114" i="327"/>
  <c r="O114" i="327" s="1"/>
  <c r="M462" i="315"/>
  <c r="F89" i="327" s="1"/>
  <c r="P88" i="327" s="1"/>
  <c r="O123" i="315"/>
  <c r="O110" i="315"/>
  <c r="O112" i="315"/>
  <c r="O122" i="315"/>
  <c r="O113" i="315"/>
  <c r="O106" i="315"/>
  <c r="O119" i="315"/>
  <c r="O120" i="315"/>
  <c r="O121" i="315"/>
  <c r="O114" i="315"/>
  <c r="O117" i="315"/>
  <c r="O116" i="315"/>
  <c r="O115" i="315"/>
  <c r="O118" i="315"/>
  <c r="AG81" i="199"/>
  <c r="AG83" i="199" s="1"/>
  <c r="M131" i="315"/>
  <c r="O111" i="315"/>
  <c r="O30" i="315"/>
  <c r="O11" i="315"/>
  <c r="O48" i="315"/>
  <c r="O25" i="315"/>
  <c r="O13" i="315"/>
  <c r="O12" i="315"/>
  <c r="O24" i="315"/>
  <c r="O45" i="315"/>
  <c r="O26" i="315"/>
  <c r="X48" i="305"/>
  <c r="X68" i="305"/>
  <c r="X58" i="305"/>
  <c r="AF77" i="199"/>
  <c r="L128" i="315" s="1"/>
  <c r="L77" i="314"/>
  <c r="M77" i="314" s="1"/>
  <c r="AD70" i="199"/>
  <c r="J70" i="314"/>
  <c r="AF12" i="199"/>
  <c r="L63" i="315" s="1"/>
  <c r="W12" i="314"/>
  <c r="AE12" i="199"/>
  <c r="K63" i="315" s="1"/>
  <c r="AE33" i="199"/>
  <c r="K85" i="315" s="1"/>
  <c r="N158" i="327" s="1"/>
  <c r="K36" i="311"/>
  <c r="K85" i="311" s="1"/>
  <c r="K23" i="314"/>
  <c r="AD32" i="199"/>
  <c r="J83" i="315" s="1"/>
  <c r="J36" i="311"/>
  <c r="J23" i="314"/>
  <c r="AF32" i="199"/>
  <c r="L83" i="315" s="1"/>
  <c r="AD51" i="199"/>
  <c r="J103" i="315" s="1"/>
  <c r="M171" i="327" s="1"/>
  <c r="J51" i="314"/>
  <c r="AE57" i="199"/>
  <c r="K109" i="315" s="1"/>
  <c r="K57" i="314"/>
  <c r="AF56" i="199"/>
  <c r="L108" i="315" s="1"/>
  <c r="L56" i="314"/>
  <c r="M56" i="314" s="1"/>
  <c r="AD76" i="199"/>
  <c r="J127" i="315" s="1"/>
  <c r="J76" i="314"/>
  <c r="AE71" i="199"/>
  <c r="K122" i="315" s="1"/>
  <c r="K71" i="314"/>
  <c r="AF78" i="199"/>
  <c r="L129" i="315" s="1"/>
  <c r="L78" i="314"/>
  <c r="M78" i="314" s="1"/>
  <c r="AF57" i="199"/>
  <c r="L109" i="315" s="1"/>
  <c r="L57" i="314"/>
  <c r="M57" i="314" s="1"/>
  <c r="AE47" i="199"/>
  <c r="K99" i="315" s="1"/>
  <c r="K47" i="314"/>
  <c r="AE45" i="199"/>
  <c r="K97" i="315" s="1"/>
  <c r="K45" i="314"/>
  <c r="AF45" i="199"/>
  <c r="L97" i="315" s="1"/>
  <c r="L45" i="314"/>
  <c r="M45" i="314" s="1"/>
  <c r="AD58" i="199"/>
  <c r="J110" i="315" s="1"/>
  <c r="M174" i="327" s="1"/>
  <c r="J58" i="314"/>
  <c r="AD36" i="199"/>
  <c r="J88" i="315" s="1"/>
  <c r="J36" i="314"/>
  <c r="K84" i="315"/>
  <c r="N157" i="327" s="1"/>
  <c r="K73" i="315"/>
  <c r="N153" i="327" s="1"/>
  <c r="AE20" i="199"/>
  <c r="K71" i="315" s="1"/>
  <c r="J73" i="315"/>
  <c r="M153" i="327" s="1"/>
  <c r="AD78" i="199"/>
  <c r="J129" i="315" s="1"/>
  <c r="J78" i="314"/>
  <c r="L73" i="315"/>
  <c r="O153" i="327" s="1"/>
  <c r="AF20" i="199"/>
  <c r="L71" i="315" s="1"/>
  <c r="W20" i="314"/>
  <c r="AD77" i="199"/>
  <c r="J128" i="315" s="1"/>
  <c r="J77" i="314"/>
  <c r="AD12" i="199"/>
  <c r="J63" i="315" s="1"/>
  <c r="AE78" i="199"/>
  <c r="K129" i="315" s="1"/>
  <c r="K78" i="314"/>
  <c r="AD47" i="199"/>
  <c r="J99" i="315" s="1"/>
  <c r="J47" i="314"/>
  <c r="AD71" i="199"/>
  <c r="J122" i="315" s="1"/>
  <c r="J71" i="314"/>
  <c r="AF70" i="199"/>
  <c r="L70" i="314"/>
  <c r="AF36" i="199"/>
  <c r="L88" i="315" s="1"/>
  <c r="L36" i="314"/>
  <c r="AE56" i="199"/>
  <c r="K108" i="315" s="1"/>
  <c r="K56" i="314"/>
  <c r="AE36" i="199"/>
  <c r="K88" i="315" s="1"/>
  <c r="K36" i="314"/>
  <c r="AE76" i="199"/>
  <c r="K127" i="315" s="1"/>
  <c r="K76" i="314"/>
  <c r="AF26" i="199"/>
  <c r="L78" i="315" s="1"/>
  <c r="L26" i="314"/>
  <c r="M26" i="314" s="1"/>
  <c r="AE58" i="199"/>
  <c r="K110" i="315" s="1"/>
  <c r="N174" i="327" s="1"/>
  <c r="K58" i="314"/>
  <c r="AE26" i="199"/>
  <c r="K78" i="315" s="1"/>
  <c r="K26" i="314"/>
  <c r="AE32" i="199"/>
  <c r="K83" i="315" s="1"/>
  <c r="AE17" i="199"/>
  <c r="K68" i="315" s="1"/>
  <c r="J84" i="315"/>
  <c r="M157" i="327" s="1"/>
  <c r="AD20" i="199"/>
  <c r="J71" i="315" s="1"/>
  <c r="AD17" i="199"/>
  <c r="J68" i="315" s="1"/>
  <c r="L84" i="315"/>
  <c r="O157" i="327" s="1"/>
  <c r="AF17" i="199"/>
  <c r="L68" i="315" s="1"/>
  <c r="W17" i="314"/>
  <c r="AF18" i="199"/>
  <c r="L69" i="315" s="1"/>
  <c r="W18" i="314"/>
  <c r="AF51" i="199"/>
  <c r="L103" i="315" s="1"/>
  <c r="O171" i="327" s="1"/>
  <c r="L51" i="314"/>
  <c r="M51" i="314" s="1"/>
  <c r="AE77" i="199"/>
  <c r="K128" i="315" s="1"/>
  <c r="K77" i="314"/>
  <c r="AD45" i="199"/>
  <c r="J97" i="315" s="1"/>
  <c r="J45" i="314"/>
  <c r="AD57" i="199"/>
  <c r="J109" i="315" s="1"/>
  <c r="J57" i="314"/>
  <c r="AF76" i="199"/>
  <c r="L127" i="315" s="1"/>
  <c r="L76" i="314"/>
  <c r="M76" i="314" s="1"/>
  <c r="AF71" i="199"/>
  <c r="L122" i="315" s="1"/>
  <c r="L71" i="314"/>
  <c r="AF47" i="199"/>
  <c r="L99" i="315" s="1"/>
  <c r="L47" i="314"/>
  <c r="M47" i="314" s="1"/>
  <c r="AE51" i="199"/>
  <c r="K103" i="315" s="1"/>
  <c r="N171" i="327" s="1"/>
  <c r="D171" i="327" s="1"/>
  <c r="S171" i="327" s="1"/>
  <c r="K51" i="314"/>
  <c r="AD26" i="199"/>
  <c r="J78" i="315" s="1"/>
  <c r="J26" i="314"/>
  <c r="AD56" i="199"/>
  <c r="J108" i="315" s="1"/>
  <c r="J56" i="314"/>
  <c r="AE70" i="199"/>
  <c r="K70" i="314"/>
  <c r="AE18" i="199"/>
  <c r="K69" i="315" s="1"/>
  <c r="AE19" i="199"/>
  <c r="K70" i="315" s="1"/>
  <c r="AD33" i="199"/>
  <c r="J85" i="315" s="1"/>
  <c r="M158" i="327" s="1"/>
  <c r="AD18" i="199"/>
  <c r="J69" i="315" s="1"/>
  <c r="AD19" i="199"/>
  <c r="J70" i="315" s="1"/>
  <c r="AF33" i="199"/>
  <c r="L85" i="315" s="1"/>
  <c r="O158" i="327" s="1"/>
  <c r="AF19" i="199"/>
  <c r="L70" i="315" s="1"/>
  <c r="W19" i="314"/>
  <c r="L36" i="311"/>
  <c r="M36" i="311" s="1"/>
  <c r="L23" i="314"/>
  <c r="L144" i="312"/>
  <c r="L125" i="312"/>
  <c r="L106" i="312"/>
  <c r="J126" i="312"/>
  <c r="J107" i="312"/>
  <c r="J145" i="312"/>
  <c r="K144" i="312"/>
  <c r="K125" i="312"/>
  <c r="K106" i="312"/>
  <c r="J125" i="312"/>
  <c r="J106" i="312"/>
  <c r="J144" i="312"/>
  <c r="K126" i="312"/>
  <c r="K107" i="312"/>
  <c r="K145" i="312"/>
  <c r="L145" i="312"/>
  <c r="L126" i="312"/>
  <c r="L107" i="312"/>
  <c r="J68" i="312"/>
  <c r="J49" i="312"/>
  <c r="J30" i="312"/>
  <c r="J87" i="312"/>
  <c r="J10" i="312"/>
  <c r="K88" i="312"/>
  <c r="K69" i="312"/>
  <c r="K50" i="312"/>
  <c r="K11" i="312"/>
  <c r="K31" i="312"/>
  <c r="J31" i="312"/>
  <c r="J88" i="312"/>
  <c r="J69" i="312"/>
  <c r="J50" i="312"/>
  <c r="J11" i="312"/>
  <c r="K68" i="312"/>
  <c r="K49" i="312"/>
  <c r="K30" i="312"/>
  <c r="K87" i="312"/>
  <c r="K10" i="312"/>
  <c r="L31" i="312"/>
  <c r="L88" i="312"/>
  <c r="L69" i="312"/>
  <c r="L50" i="312"/>
  <c r="L87" i="312"/>
  <c r="L10" i="312"/>
  <c r="L68" i="312"/>
  <c r="L49" i="312"/>
  <c r="L30" i="312"/>
  <c r="U58" i="200"/>
  <c r="U61" i="200" s="1"/>
  <c r="U62" i="200" s="1"/>
  <c r="Z49" i="200"/>
  <c r="AA83" i="199"/>
  <c r="T61" i="200"/>
  <c r="T62" i="200" s="1"/>
  <c r="V59" i="200"/>
  <c r="V61" i="200"/>
  <c r="V62" i="200" s="1"/>
  <c r="AA59" i="200"/>
  <c r="AA61" i="200"/>
  <c r="AA62" i="200" s="1"/>
  <c r="Z59" i="200"/>
  <c r="Z61" i="200"/>
  <c r="Z62" i="200" s="1"/>
  <c r="Y61" i="200"/>
  <c r="Y62" i="200" s="1"/>
  <c r="Y59" i="200"/>
  <c r="O69" i="199"/>
  <c r="AD69" i="199" s="1"/>
  <c r="J120" i="315" s="1"/>
  <c r="M183" i="327" s="1"/>
  <c r="Q58" i="199"/>
  <c r="K69" i="314" l="1"/>
  <c r="C183" i="327"/>
  <c r="R183" i="327" s="1"/>
  <c r="E158" i="327"/>
  <c r="T158" i="327" s="1"/>
  <c r="C158" i="327"/>
  <c r="R158" i="327" s="1"/>
  <c r="E171" i="327"/>
  <c r="T171" i="327" s="1"/>
  <c r="E157" i="327"/>
  <c r="T157" i="327" s="1"/>
  <c r="C157" i="327"/>
  <c r="R157" i="327" s="1"/>
  <c r="D174" i="327"/>
  <c r="S174" i="327" s="1"/>
  <c r="E153" i="327"/>
  <c r="T153" i="327" s="1"/>
  <c r="C153" i="327"/>
  <c r="R153" i="327" s="1"/>
  <c r="D153" i="327"/>
  <c r="S153" i="327" s="1"/>
  <c r="D157" i="327"/>
  <c r="S157" i="327" s="1"/>
  <c r="C174" i="327"/>
  <c r="R174" i="327" s="1"/>
  <c r="C171" i="327"/>
  <c r="R171" i="327" s="1"/>
  <c r="D158" i="327"/>
  <c r="S158" i="327" s="1"/>
  <c r="M132" i="315"/>
  <c r="P188" i="327" s="1"/>
  <c r="J63" i="311"/>
  <c r="K59" i="311" s="1"/>
  <c r="J121" i="315"/>
  <c r="M184" i="327" s="1"/>
  <c r="C184" i="327" s="1"/>
  <c r="R184" i="327" s="1"/>
  <c r="K63" i="311"/>
  <c r="K121" i="315"/>
  <c r="N184" i="327" s="1"/>
  <c r="N47" i="314"/>
  <c r="J228" i="315"/>
  <c r="W47" i="314"/>
  <c r="N76" i="314"/>
  <c r="J256" i="315"/>
  <c r="W76" i="314"/>
  <c r="N51" i="314"/>
  <c r="J232" i="315"/>
  <c r="M301" i="327" s="1"/>
  <c r="C301" i="327" s="1"/>
  <c r="W51" i="314"/>
  <c r="L63" i="311"/>
  <c r="L121" i="315"/>
  <c r="O184" i="327" s="1"/>
  <c r="N45" i="314"/>
  <c r="J226" i="315"/>
  <c r="W45" i="314"/>
  <c r="N78" i="314"/>
  <c r="J258" i="315"/>
  <c r="W78" i="314"/>
  <c r="N77" i="314"/>
  <c r="J257" i="315"/>
  <c r="W77" i="314"/>
  <c r="N71" i="314"/>
  <c r="J251" i="315"/>
  <c r="W71" i="314"/>
  <c r="N26" i="314"/>
  <c r="J207" i="315"/>
  <c r="W26" i="314"/>
  <c r="N57" i="314"/>
  <c r="J238" i="315"/>
  <c r="W57" i="314"/>
  <c r="N56" i="314"/>
  <c r="J237" i="315"/>
  <c r="W56" i="314"/>
  <c r="AF58" i="199"/>
  <c r="L110" i="315" s="1"/>
  <c r="O174" i="327" s="1"/>
  <c r="E174" i="327" s="1"/>
  <c r="T174" i="327" s="1"/>
  <c r="L58" i="314"/>
  <c r="M58" i="314" s="1"/>
  <c r="J69" i="314"/>
  <c r="L69" i="314"/>
  <c r="J85" i="311"/>
  <c r="K32" i="311"/>
  <c r="L85" i="311"/>
  <c r="M32" i="311"/>
  <c r="W36" i="311"/>
  <c r="U59" i="200"/>
  <c r="L59" i="311" l="1"/>
  <c r="E184" i="327"/>
  <c r="T184" i="327" s="1"/>
  <c r="D184" i="327"/>
  <c r="S184" i="327" s="1"/>
  <c r="F188" i="327"/>
  <c r="U188" i="327" s="1"/>
  <c r="N58" i="314"/>
  <c r="J239" i="315"/>
  <c r="M304" i="327" s="1"/>
  <c r="C304" i="327" s="1"/>
  <c r="W58" i="314"/>
  <c r="O26" i="314"/>
  <c r="K207" i="315"/>
  <c r="O45" i="314"/>
  <c r="K226" i="315"/>
  <c r="O76" i="314"/>
  <c r="K256" i="315"/>
  <c r="O77" i="314"/>
  <c r="K257" i="315"/>
  <c r="O71" i="314"/>
  <c r="K251" i="315"/>
  <c r="O57" i="314"/>
  <c r="K238" i="315"/>
  <c r="O78" i="314"/>
  <c r="K258" i="315"/>
  <c r="O51" i="314"/>
  <c r="K232" i="315"/>
  <c r="N301" i="327" s="1"/>
  <c r="D301" i="327" s="1"/>
  <c r="O56" i="314"/>
  <c r="K237" i="315"/>
  <c r="M59" i="311"/>
  <c r="O47" i="314"/>
  <c r="K228" i="315"/>
  <c r="M85" i="311"/>
  <c r="M23" i="314" s="1"/>
  <c r="N36" i="311"/>
  <c r="N32" i="311"/>
  <c r="Q26" i="200"/>
  <c r="L28" i="305" s="1"/>
  <c r="P25" i="200"/>
  <c r="P26" i="200"/>
  <c r="O26" i="200"/>
  <c r="O25" i="200"/>
  <c r="Q25" i="200"/>
  <c r="P47" i="314" l="1"/>
  <c r="L228" i="315"/>
  <c r="P56" i="314"/>
  <c r="L237" i="315"/>
  <c r="P78" i="314"/>
  <c r="L258" i="315"/>
  <c r="P71" i="314"/>
  <c r="L251" i="315"/>
  <c r="P76" i="314"/>
  <c r="L256" i="315"/>
  <c r="P26" i="314"/>
  <c r="L207" i="315"/>
  <c r="W59" i="311"/>
  <c r="P51" i="314"/>
  <c r="L232" i="315"/>
  <c r="O301" i="327" s="1"/>
  <c r="E301" i="327" s="1"/>
  <c r="P57" i="314"/>
  <c r="L238" i="315"/>
  <c r="P77" i="314"/>
  <c r="L257" i="315"/>
  <c r="P45" i="314"/>
  <c r="L226" i="315"/>
  <c r="O58" i="314"/>
  <c r="K239" i="315"/>
  <c r="N304" i="327" s="1"/>
  <c r="D304" i="327" s="1"/>
  <c r="W23" i="314"/>
  <c r="J204" i="315"/>
  <c r="J202" i="315"/>
  <c r="M283" i="327" s="1"/>
  <c r="C283" i="327" s="1"/>
  <c r="X28" i="305"/>
  <c r="N85" i="311"/>
  <c r="N23" i="314" s="1"/>
  <c r="K204" i="315" s="1"/>
  <c r="O32" i="311"/>
  <c r="O36" i="311"/>
  <c r="AF26" i="200"/>
  <c r="L21" i="315" s="1"/>
  <c r="E109" i="327" s="1"/>
  <c r="O109" i="327" s="1"/>
  <c r="AE26" i="200"/>
  <c r="K21" i="315" s="1"/>
  <c r="D109" i="327" s="1"/>
  <c r="N109" i="327" s="1"/>
  <c r="K28" i="305"/>
  <c r="AD26" i="200"/>
  <c r="J21" i="315" s="1"/>
  <c r="C109" i="327" s="1"/>
  <c r="M109" i="327" s="1"/>
  <c r="J28" i="305"/>
  <c r="AF25" i="200"/>
  <c r="L20" i="315" s="1"/>
  <c r="E108" i="327" s="1"/>
  <c r="O108" i="327" s="1"/>
  <c r="L18" i="305"/>
  <c r="AE25" i="200"/>
  <c r="K20" i="315" s="1"/>
  <c r="D108" i="327" s="1"/>
  <c r="N108" i="327" s="1"/>
  <c r="K18" i="305"/>
  <c r="AD25" i="200"/>
  <c r="J20" i="315" s="1"/>
  <c r="C108" i="327" s="1"/>
  <c r="M108" i="327" s="1"/>
  <c r="J18" i="305"/>
  <c r="Q54" i="200"/>
  <c r="P54" i="200"/>
  <c r="P51" i="200"/>
  <c r="Q51" i="200"/>
  <c r="M226" i="315" l="1"/>
  <c r="Q45" i="314"/>
  <c r="R45" i="314" s="1"/>
  <c r="M238" i="315"/>
  <c r="Q57" i="314"/>
  <c r="R57" i="314" s="1"/>
  <c r="M207" i="315"/>
  <c r="Q26" i="314"/>
  <c r="R26" i="314" s="1"/>
  <c r="M251" i="315"/>
  <c r="Q71" i="314"/>
  <c r="R71" i="314" s="1"/>
  <c r="M237" i="315"/>
  <c r="Q56" i="314"/>
  <c r="R56" i="314" s="1"/>
  <c r="M257" i="315"/>
  <c r="Q77" i="314"/>
  <c r="R77" i="314" s="1"/>
  <c r="M232" i="315"/>
  <c r="P301" i="327" s="1"/>
  <c r="F301" i="327" s="1"/>
  <c r="Q51" i="314"/>
  <c r="R51" i="314" s="1"/>
  <c r="M256" i="315"/>
  <c r="Q76" i="314"/>
  <c r="R76" i="314" s="1"/>
  <c r="M258" i="315"/>
  <c r="Q78" i="314"/>
  <c r="R78" i="314" s="1"/>
  <c r="M228" i="315"/>
  <c r="Q47" i="314"/>
  <c r="R47" i="314" s="1"/>
  <c r="O21" i="315"/>
  <c r="O20" i="315"/>
  <c r="P58" i="314"/>
  <c r="L239" i="315"/>
  <c r="O304" i="327" s="1"/>
  <c r="E304" i="327" s="1"/>
  <c r="K202" i="315"/>
  <c r="N283" i="327" s="1"/>
  <c r="D283" i="327" s="1"/>
  <c r="X18" i="305"/>
  <c r="O85" i="311"/>
  <c r="O23" i="314" s="1"/>
  <c r="L204" i="315" s="1"/>
  <c r="P32" i="311"/>
  <c r="P36" i="311"/>
  <c r="AE51" i="200"/>
  <c r="K43" i="315" s="1"/>
  <c r="D131" i="327" s="1"/>
  <c r="N131" i="327" s="1"/>
  <c r="K44" i="308"/>
  <c r="AE54" i="200"/>
  <c r="K46" i="315" s="1"/>
  <c r="D134" i="327" s="1"/>
  <c r="N134" i="327" s="1"/>
  <c r="K47" i="308"/>
  <c r="AF51" i="200"/>
  <c r="L43" i="315" s="1"/>
  <c r="E131" i="327" s="1"/>
  <c r="O131" i="327" s="1"/>
  <c r="L44" i="308"/>
  <c r="W44" i="308" s="1"/>
  <c r="AF54" i="200"/>
  <c r="L46" i="315" s="1"/>
  <c r="E134" i="327" s="1"/>
  <c r="O134" i="327" s="1"/>
  <c r="L47" i="308"/>
  <c r="W47" i="308" s="1"/>
  <c r="P22" i="199"/>
  <c r="K22" i="314" s="1"/>
  <c r="P27" i="199"/>
  <c r="M239" i="315" l="1"/>
  <c r="P304" i="327" s="1"/>
  <c r="F304" i="327" s="1"/>
  <c r="Q58" i="314"/>
  <c r="R58" i="314" s="1"/>
  <c r="P85" i="311"/>
  <c r="P23" i="314" s="1"/>
  <c r="M204" i="315" s="1"/>
  <c r="Q32" i="311"/>
  <c r="Q36" i="311"/>
  <c r="O46" i="315"/>
  <c r="O43" i="315"/>
  <c r="L202" i="315"/>
  <c r="O283" i="327" s="1"/>
  <c r="E283" i="327" s="1"/>
  <c r="AE27" i="199"/>
  <c r="K79" i="315" s="1"/>
  <c r="K27" i="314"/>
  <c r="AE22" i="199"/>
  <c r="K74" i="315" s="1"/>
  <c r="N154" i="327" s="1"/>
  <c r="P25" i="199"/>
  <c r="K24" i="199"/>
  <c r="P24" i="199" s="1"/>
  <c r="P48" i="199"/>
  <c r="P64" i="199"/>
  <c r="P75" i="199"/>
  <c r="P62" i="199"/>
  <c r="P16" i="199"/>
  <c r="K16" i="314" s="1"/>
  <c r="P61" i="199"/>
  <c r="P66" i="199"/>
  <c r="P15" i="199"/>
  <c r="K15" i="314" s="1"/>
  <c r="P49" i="199"/>
  <c r="P46" i="199"/>
  <c r="P65" i="199"/>
  <c r="O27" i="199"/>
  <c r="O62" i="199"/>
  <c r="O16" i="199"/>
  <c r="J16" i="314" s="1"/>
  <c r="O61" i="199"/>
  <c r="O66" i="199"/>
  <c r="O15" i="199"/>
  <c r="J15" i="314" s="1"/>
  <c r="O50" i="199"/>
  <c r="O65" i="199"/>
  <c r="O46" i="199"/>
  <c r="O48" i="199"/>
  <c r="O22" i="199"/>
  <c r="J22" i="314" s="1"/>
  <c r="O64" i="199"/>
  <c r="O75" i="199"/>
  <c r="O54" i="200"/>
  <c r="Q65" i="199"/>
  <c r="L65" i="314" s="1"/>
  <c r="Q66" i="199"/>
  <c r="L66" i="314" s="1"/>
  <c r="Q62" i="199"/>
  <c r="L62" i="314" s="1"/>
  <c r="Q64" i="199"/>
  <c r="L64" i="314" s="1"/>
  <c r="O51" i="200"/>
  <c r="J21" i="200"/>
  <c r="P50" i="199"/>
  <c r="AD60" i="199"/>
  <c r="J112" i="315" s="1"/>
  <c r="M176" i="327" s="1"/>
  <c r="C176" i="327" s="1"/>
  <c r="R176" i="327" s="1"/>
  <c r="P14" i="199"/>
  <c r="O44" i="199"/>
  <c r="Q60" i="199"/>
  <c r="Q44" i="199"/>
  <c r="Q15" i="199"/>
  <c r="L15" i="314" s="1"/>
  <c r="M15" i="314" s="1"/>
  <c r="N15" i="314" s="1"/>
  <c r="O15" i="314" s="1"/>
  <c r="P15" i="314" s="1"/>
  <c r="Q15" i="314" s="1"/>
  <c r="R15" i="314" s="1"/>
  <c r="Q74" i="199"/>
  <c r="L79" i="199"/>
  <c r="O14" i="199"/>
  <c r="Q50" i="199"/>
  <c r="Q16" i="199"/>
  <c r="L16" i="314" s="1"/>
  <c r="Q14" i="199"/>
  <c r="Q48" i="199"/>
  <c r="K54" i="199"/>
  <c r="P55" i="199"/>
  <c r="Q22" i="199"/>
  <c r="L22" i="314" s="1"/>
  <c r="M22" i="314" s="1"/>
  <c r="N22" i="314" s="1"/>
  <c r="O22" i="314" s="1"/>
  <c r="P22" i="314" s="1"/>
  <c r="Q22" i="314" s="1"/>
  <c r="R22" i="314" s="1"/>
  <c r="L24" i="199"/>
  <c r="Q25" i="199"/>
  <c r="Q27" i="199"/>
  <c r="K79" i="199"/>
  <c r="P74" i="199"/>
  <c r="O74" i="199"/>
  <c r="J79" i="199"/>
  <c r="O55" i="199"/>
  <c r="J54" i="199"/>
  <c r="P60" i="199"/>
  <c r="Q46" i="199"/>
  <c r="K52" i="199"/>
  <c r="P44" i="199"/>
  <c r="Q55" i="199"/>
  <c r="L54" i="199"/>
  <c r="Q75" i="199"/>
  <c r="H102" i="56"/>
  <c r="H37" i="312" s="1"/>
  <c r="Q85" i="311" l="1"/>
  <c r="Q23" i="314" s="1"/>
  <c r="R36" i="311"/>
  <c r="R85" i="311" s="1"/>
  <c r="R23" i="314" s="1"/>
  <c r="R32" i="311"/>
  <c r="M202" i="315"/>
  <c r="P283" i="327" s="1"/>
  <c r="F283" i="327" s="1"/>
  <c r="D154" i="327"/>
  <c r="S154" i="327" s="1"/>
  <c r="AF46" i="199"/>
  <c r="L98" i="315" s="1"/>
  <c r="O167" i="327" s="1"/>
  <c r="L46" i="314"/>
  <c r="M46" i="314" s="1"/>
  <c r="AE44" i="199"/>
  <c r="K96" i="315" s="1"/>
  <c r="N166" i="327" s="1"/>
  <c r="K44" i="314"/>
  <c r="AE74" i="199"/>
  <c r="K125" i="315" s="1"/>
  <c r="K74" i="314"/>
  <c r="AF48" i="199"/>
  <c r="L100" i="315" s="1"/>
  <c r="O168" i="327" s="1"/>
  <c r="L48" i="314"/>
  <c r="M48" i="314" s="1"/>
  <c r="AD14" i="199"/>
  <c r="J65" i="315" s="1"/>
  <c r="M149" i="327" s="1"/>
  <c r="J14" i="314"/>
  <c r="AF44" i="199"/>
  <c r="L96" i="315" s="1"/>
  <c r="O166" i="327" s="1"/>
  <c r="E166" i="327" s="1"/>
  <c r="T166" i="327" s="1"/>
  <c r="L44" i="314"/>
  <c r="M44" i="314" s="1"/>
  <c r="AD50" i="199"/>
  <c r="J102" i="315" s="1"/>
  <c r="M170" i="327" s="1"/>
  <c r="J50" i="314"/>
  <c r="AE46" i="199"/>
  <c r="K98" i="315" s="1"/>
  <c r="N167" i="327" s="1"/>
  <c r="D167" i="327" s="1"/>
  <c r="S167" i="327" s="1"/>
  <c r="K46" i="314"/>
  <c r="AE61" i="199"/>
  <c r="K113" i="315" s="1"/>
  <c r="N177" i="327" s="1"/>
  <c r="K61" i="314"/>
  <c r="AD55" i="199"/>
  <c r="J107" i="315" s="1"/>
  <c r="J55" i="314"/>
  <c r="J54" i="314" s="1"/>
  <c r="AF14" i="199"/>
  <c r="L65" i="315" s="1"/>
  <c r="O149" i="327" s="1"/>
  <c r="E149" i="327" s="1"/>
  <c r="T149" i="327" s="1"/>
  <c r="L14" i="314"/>
  <c r="M14" i="314" s="1"/>
  <c r="AF60" i="199"/>
  <c r="L60" i="314"/>
  <c r="AE50" i="199"/>
  <c r="K102" i="315" s="1"/>
  <c r="N170" i="327" s="1"/>
  <c r="K50" i="314"/>
  <c r="AD48" i="199"/>
  <c r="J100" i="315" s="1"/>
  <c r="M168" i="327" s="1"/>
  <c r="C168" i="327" s="1"/>
  <c r="R168" i="327" s="1"/>
  <c r="J48" i="314"/>
  <c r="AE49" i="199"/>
  <c r="K101" i="315" s="1"/>
  <c r="N169" i="327" s="1"/>
  <c r="K49" i="314"/>
  <c r="AE48" i="199"/>
  <c r="K100" i="315" s="1"/>
  <c r="N168" i="327" s="1"/>
  <c r="K48" i="314"/>
  <c r="AF27" i="199"/>
  <c r="L79" i="315" s="1"/>
  <c r="L27" i="314"/>
  <c r="M27" i="314" s="1"/>
  <c r="AF74" i="199"/>
  <c r="L125" i="315" s="1"/>
  <c r="L74" i="314"/>
  <c r="M74" i="314" s="1"/>
  <c r="AD44" i="199"/>
  <c r="J96" i="315" s="1"/>
  <c r="M166" i="327" s="1"/>
  <c r="J44" i="314"/>
  <c r="AD75" i="199"/>
  <c r="J126" i="315" s="1"/>
  <c r="J75" i="314"/>
  <c r="AD46" i="199"/>
  <c r="J98" i="315" s="1"/>
  <c r="M167" i="327" s="1"/>
  <c r="J46" i="314"/>
  <c r="AD27" i="199"/>
  <c r="J79" i="315" s="1"/>
  <c r="J27" i="314"/>
  <c r="AE24" i="199"/>
  <c r="K76" i="315" s="1"/>
  <c r="K24" i="314"/>
  <c r="AF75" i="199"/>
  <c r="L126" i="315" s="1"/>
  <c r="L75" i="314"/>
  <c r="AE55" i="199"/>
  <c r="K107" i="315" s="1"/>
  <c r="K55" i="314"/>
  <c r="K54" i="314" s="1"/>
  <c r="AF55" i="199"/>
  <c r="L107" i="315" s="1"/>
  <c r="L55" i="314"/>
  <c r="M54" i="314" s="1"/>
  <c r="AE60" i="199"/>
  <c r="K112" i="315" s="1"/>
  <c r="N176" i="327" s="1"/>
  <c r="K60" i="314"/>
  <c r="AD74" i="199"/>
  <c r="J125" i="315" s="1"/>
  <c r="J74" i="314"/>
  <c r="AF25" i="199"/>
  <c r="L77" i="315" s="1"/>
  <c r="L25" i="314"/>
  <c r="M25" i="314" s="1"/>
  <c r="AF50" i="199"/>
  <c r="L102" i="315" s="1"/>
  <c r="O170" i="327" s="1"/>
  <c r="E170" i="327" s="1"/>
  <c r="T170" i="327" s="1"/>
  <c r="L50" i="314"/>
  <c r="AE14" i="199"/>
  <c r="K65" i="315" s="1"/>
  <c r="N149" i="327" s="1"/>
  <c r="K14" i="314"/>
  <c r="AD61" i="199"/>
  <c r="J113" i="315" s="1"/>
  <c r="M177" i="327" s="1"/>
  <c r="J61" i="314"/>
  <c r="AE75" i="199"/>
  <c r="K126" i="315" s="1"/>
  <c r="K75" i="314"/>
  <c r="AE25" i="199"/>
  <c r="K77" i="315" s="1"/>
  <c r="K25" i="314"/>
  <c r="AD62" i="199"/>
  <c r="J114" i="315" s="1"/>
  <c r="M178" i="327" s="1"/>
  <c r="J62" i="314"/>
  <c r="AD66" i="199"/>
  <c r="J118" i="315" s="1"/>
  <c r="M181" i="327" s="1"/>
  <c r="J66" i="314"/>
  <c r="AE62" i="199"/>
  <c r="K114" i="315" s="1"/>
  <c r="N178" i="327" s="1"/>
  <c r="K62" i="314"/>
  <c r="AD64" i="199"/>
  <c r="J116" i="315" s="1"/>
  <c r="M180" i="327" s="1"/>
  <c r="C180" i="327" s="1"/>
  <c r="R180" i="327" s="1"/>
  <c r="J64" i="314"/>
  <c r="AD65" i="199"/>
  <c r="J117" i="315" s="1"/>
  <c r="J65" i="314"/>
  <c r="AE65" i="199"/>
  <c r="K117" i="315" s="1"/>
  <c r="K65" i="314"/>
  <c r="AE66" i="199"/>
  <c r="K118" i="315" s="1"/>
  <c r="N181" i="327" s="1"/>
  <c r="K66" i="314"/>
  <c r="AE64" i="199"/>
  <c r="K116" i="315" s="1"/>
  <c r="N180" i="327" s="1"/>
  <c r="K64" i="314"/>
  <c r="AD16" i="199"/>
  <c r="J67" i="315" s="1"/>
  <c r="M151" i="327" s="1"/>
  <c r="J22" i="311"/>
  <c r="AE15" i="199"/>
  <c r="K66" i="315" s="1"/>
  <c r="N150" i="327" s="1"/>
  <c r="AE16" i="199"/>
  <c r="K67" i="315" s="1"/>
  <c r="N151" i="327" s="1"/>
  <c r="K22" i="311"/>
  <c r="K83" i="311" s="1"/>
  <c r="AD22" i="199"/>
  <c r="J74" i="315" s="1"/>
  <c r="M154" i="327" s="1"/>
  <c r="AD15" i="199"/>
  <c r="J66" i="315" s="1"/>
  <c r="M150" i="327" s="1"/>
  <c r="C150" i="327" s="1"/>
  <c r="R150" i="327" s="1"/>
  <c r="AF16" i="199"/>
  <c r="L67" i="315" s="1"/>
  <c r="O151" i="327" s="1"/>
  <c r="L22" i="311"/>
  <c r="M22" i="311" s="1"/>
  <c r="N22" i="311" s="1"/>
  <c r="AF22" i="199"/>
  <c r="L74" i="315" s="1"/>
  <c r="O154" i="327" s="1"/>
  <c r="AF15" i="199"/>
  <c r="L66" i="315" s="1"/>
  <c r="O150" i="327" s="1"/>
  <c r="L32" i="311"/>
  <c r="W32" i="311" s="1"/>
  <c r="AD54" i="200"/>
  <c r="J46" i="315" s="1"/>
  <c r="C134" i="327" s="1"/>
  <c r="M134" i="327" s="1"/>
  <c r="J47" i="308"/>
  <c r="AD51" i="200"/>
  <c r="J43" i="315" s="1"/>
  <c r="C131" i="327" s="1"/>
  <c r="M131" i="327" s="1"/>
  <c r="J44" i="308"/>
  <c r="Q42" i="200"/>
  <c r="L98" i="305" s="1"/>
  <c r="Q37" i="200"/>
  <c r="P28" i="200"/>
  <c r="Q41" i="200"/>
  <c r="Q24" i="200"/>
  <c r="Q13" i="199"/>
  <c r="AF13" i="199" s="1"/>
  <c r="L64" i="315" s="1"/>
  <c r="O148" i="327" s="1"/>
  <c r="Q11" i="199"/>
  <c r="Q39" i="200"/>
  <c r="L57" i="200"/>
  <c r="L23" i="200"/>
  <c r="Q23" i="200" s="1"/>
  <c r="Q47" i="200"/>
  <c r="L52" i="199"/>
  <c r="Q61" i="199"/>
  <c r="Q38" i="200"/>
  <c r="Q60" i="200"/>
  <c r="Q28" i="200"/>
  <c r="P35" i="199"/>
  <c r="K35" i="314" s="1"/>
  <c r="P39" i="199"/>
  <c r="P43" i="200"/>
  <c r="P38" i="200"/>
  <c r="P63" i="199"/>
  <c r="P11" i="199"/>
  <c r="P10" i="199"/>
  <c r="P37" i="200"/>
  <c r="K23" i="200"/>
  <c r="K57" i="200"/>
  <c r="P42" i="200"/>
  <c r="P21" i="199"/>
  <c r="K21" i="314" s="1"/>
  <c r="P19" i="200"/>
  <c r="P34" i="199"/>
  <c r="P40" i="199" s="1"/>
  <c r="P60" i="200"/>
  <c r="P41" i="200"/>
  <c r="P55" i="200"/>
  <c r="P37" i="199"/>
  <c r="P67" i="199"/>
  <c r="P10" i="200"/>
  <c r="K10" i="304" s="1"/>
  <c r="P39" i="200"/>
  <c r="P47" i="200"/>
  <c r="J57" i="200"/>
  <c r="O39" i="199"/>
  <c r="O67" i="199"/>
  <c r="O34" i="199"/>
  <c r="O19" i="200"/>
  <c r="O24" i="200"/>
  <c r="J42" i="304" s="1"/>
  <c r="O60" i="200"/>
  <c r="O47" i="200"/>
  <c r="O28" i="200"/>
  <c r="O38" i="200"/>
  <c r="O10" i="200"/>
  <c r="J10" i="304" s="1"/>
  <c r="O39" i="200"/>
  <c r="O49" i="199"/>
  <c r="O52" i="199" s="1"/>
  <c r="O25" i="199"/>
  <c r="O35" i="199"/>
  <c r="J35" i="314" s="1"/>
  <c r="O37" i="199"/>
  <c r="O41" i="200"/>
  <c r="O52" i="200"/>
  <c r="O21" i="199"/>
  <c r="J21" i="314" s="1"/>
  <c r="O11" i="199"/>
  <c r="O43" i="200"/>
  <c r="O42" i="200"/>
  <c r="O55" i="200"/>
  <c r="O37" i="200"/>
  <c r="O63" i="199"/>
  <c r="Q52" i="200"/>
  <c r="P52" i="200"/>
  <c r="AF64" i="199"/>
  <c r="AF66" i="199"/>
  <c r="Q63" i="199"/>
  <c r="J23" i="200"/>
  <c r="AF65" i="199"/>
  <c r="AF62" i="199"/>
  <c r="P24" i="200"/>
  <c r="K42" i="304" s="1"/>
  <c r="Q10" i="200"/>
  <c r="L10" i="304" s="1"/>
  <c r="M21" i="304" s="1"/>
  <c r="M20" i="304" s="1"/>
  <c r="Q55" i="200"/>
  <c r="Q19" i="200"/>
  <c r="Q43" i="200"/>
  <c r="L108" i="305" s="1"/>
  <c r="K59" i="199"/>
  <c r="J24" i="199"/>
  <c r="O24" i="199" s="1"/>
  <c r="P9" i="199"/>
  <c r="K9" i="314" s="1"/>
  <c r="Q54" i="199"/>
  <c r="P52" i="199"/>
  <c r="O54" i="199"/>
  <c r="O79" i="199"/>
  <c r="P79" i="199"/>
  <c r="Q35" i="199"/>
  <c r="L35" i="314" s="1"/>
  <c r="Q79" i="199"/>
  <c r="Q37" i="199"/>
  <c r="J52" i="199"/>
  <c r="P13" i="199"/>
  <c r="AE13" i="199" s="1"/>
  <c r="K64" i="315" s="1"/>
  <c r="N148" i="327" s="1"/>
  <c r="Q67" i="199"/>
  <c r="Q39" i="199"/>
  <c r="M43" i="313" s="1"/>
  <c r="Q34" i="199"/>
  <c r="Q30" i="199"/>
  <c r="O10" i="199"/>
  <c r="P54" i="199"/>
  <c r="Q21" i="199"/>
  <c r="L21" i="314" s="1"/>
  <c r="Q10" i="199"/>
  <c r="L59" i="199"/>
  <c r="L72" i="199" s="1"/>
  <c r="O30" i="199"/>
  <c r="Q49" i="199"/>
  <c r="Q24" i="199"/>
  <c r="P30" i="199"/>
  <c r="O13" i="199"/>
  <c r="AD13" i="199" s="1"/>
  <c r="J64" i="315" s="1"/>
  <c r="M148" i="327" s="1"/>
  <c r="C148" i="327" s="1"/>
  <c r="R148" i="327" s="1"/>
  <c r="J59" i="199"/>
  <c r="M24" i="314" l="1"/>
  <c r="O40" i="199"/>
  <c r="Q40" i="199"/>
  <c r="AF24" i="200"/>
  <c r="L19" i="315" s="1"/>
  <c r="E107" i="327" s="1"/>
  <c r="O107" i="327" s="1"/>
  <c r="L42" i="304"/>
  <c r="M13" i="308"/>
  <c r="N20" i="304"/>
  <c r="M79" i="314"/>
  <c r="L21" i="304"/>
  <c r="K21" i="304"/>
  <c r="K18" i="304"/>
  <c r="O59" i="199"/>
  <c r="J72" i="199"/>
  <c r="J80" i="199" s="1"/>
  <c r="J81" i="199" s="1"/>
  <c r="P59" i="199"/>
  <c r="K72" i="199"/>
  <c r="AE9" i="199"/>
  <c r="K60" i="315" s="1"/>
  <c r="N147" i="327" s="1"/>
  <c r="D147" i="327" s="1"/>
  <c r="S147" i="327" s="1"/>
  <c r="K15" i="311"/>
  <c r="K82" i="311" s="1"/>
  <c r="AF37" i="200"/>
  <c r="L27" i="315" s="1"/>
  <c r="E115" i="327" s="1"/>
  <c r="O115" i="327" s="1"/>
  <c r="AE52" i="199"/>
  <c r="K104" i="315" s="1"/>
  <c r="K461" i="315" s="1"/>
  <c r="D88" i="327" s="1"/>
  <c r="N89" i="327" s="1"/>
  <c r="K79" i="314"/>
  <c r="K270" i="315" s="1"/>
  <c r="AD79" i="199"/>
  <c r="J130" i="315" s="1"/>
  <c r="AE79" i="199"/>
  <c r="K130" i="315" s="1"/>
  <c r="D148" i="327"/>
  <c r="S148" i="327" s="1"/>
  <c r="E148" i="327"/>
  <c r="T148" i="327" s="1"/>
  <c r="E150" i="327"/>
  <c r="T150" i="327" s="1"/>
  <c r="E154" i="327"/>
  <c r="T154" i="327" s="1"/>
  <c r="E151" i="327"/>
  <c r="T151" i="327" s="1"/>
  <c r="C154" i="327"/>
  <c r="R154" i="327" s="1"/>
  <c r="D151" i="327"/>
  <c r="S151" i="327" s="1"/>
  <c r="D150" i="327"/>
  <c r="S150" i="327" s="1"/>
  <c r="C151" i="327"/>
  <c r="R151" i="327" s="1"/>
  <c r="D180" i="327"/>
  <c r="S180" i="327" s="1"/>
  <c r="D181" i="327"/>
  <c r="S181" i="327" s="1"/>
  <c r="D178" i="327"/>
  <c r="S178" i="327" s="1"/>
  <c r="C181" i="327"/>
  <c r="R181" i="327" s="1"/>
  <c r="C178" i="327"/>
  <c r="R178" i="327" s="1"/>
  <c r="C177" i="327"/>
  <c r="R177" i="327" s="1"/>
  <c r="D149" i="327"/>
  <c r="S149" i="327" s="1"/>
  <c r="D176" i="327"/>
  <c r="S176" i="327" s="1"/>
  <c r="C167" i="327"/>
  <c r="R167" i="327" s="1"/>
  <c r="C166" i="327"/>
  <c r="R166" i="327" s="1"/>
  <c r="D168" i="327"/>
  <c r="S168" i="327" s="1"/>
  <c r="D169" i="327"/>
  <c r="S169" i="327" s="1"/>
  <c r="D170" i="327"/>
  <c r="S170" i="327" s="1"/>
  <c r="D177" i="327"/>
  <c r="S177" i="327" s="1"/>
  <c r="C170" i="327"/>
  <c r="R170" i="327" s="1"/>
  <c r="C149" i="327"/>
  <c r="R149" i="327" s="1"/>
  <c r="E168" i="327"/>
  <c r="T168" i="327" s="1"/>
  <c r="D166" i="327"/>
  <c r="S166" i="327" s="1"/>
  <c r="E167" i="327"/>
  <c r="T167" i="327" s="1"/>
  <c r="AF42" i="200"/>
  <c r="L32" i="315" s="1"/>
  <c r="O27" i="315"/>
  <c r="J206" i="315"/>
  <c r="W25" i="314"/>
  <c r="N27" i="314"/>
  <c r="J208" i="315"/>
  <c r="W27" i="314"/>
  <c r="N46" i="314"/>
  <c r="J227" i="315"/>
  <c r="M297" i="327" s="1"/>
  <c r="C297" i="327" s="1"/>
  <c r="W46" i="314"/>
  <c r="O19" i="315"/>
  <c r="L114" i="315"/>
  <c r="O178" i="327" s="1"/>
  <c r="E178" i="327" s="1"/>
  <c r="T178" i="327" s="1"/>
  <c r="L118" i="315"/>
  <c r="O181" i="327" s="1"/>
  <c r="N74" i="314"/>
  <c r="K254" i="315" s="1"/>
  <c r="J254" i="315"/>
  <c r="W74" i="314"/>
  <c r="N48" i="314"/>
  <c r="J229" i="315"/>
  <c r="M298" i="327" s="1"/>
  <c r="C298" i="327" s="1"/>
  <c r="W48" i="314"/>
  <c r="L117" i="315"/>
  <c r="L116" i="315"/>
  <c r="O180" i="327" s="1"/>
  <c r="L112" i="315"/>
  <c r="O176" i="327" s="1"/>
  <c r="X108" i="305"/>
  <c r="X98" i="305"/>
  <c r="AF49" i="199"/>
  <c r="L101" i="315" s="1"/>
  <c r="O169" i="327" s="1"/>
  <c r="L49" i="314"/>
  <c r="M49" i="314" s="1"/>
  <c r="AF39" i="199"/>
  <c r="L91" i="315" s="1"/>
  <c r="O162" i="327" s="1"/>
  <c r="L39" i="314"/>
  <c r="AF30" i="199"/>
  <c r="L82" i="315" s="1"/>
  <c r="O156" i="327" s="1"/>
  <c r="L30" i="314"/>
  <c r="AD49" i="199"/>
  <c r="J49" i="314"/>
  <c r="J52" i="314" s="1"/>
  <c r="J23" i="304"/>
  <c r="J25" i="304" s="1"/>
  <c r="AD19" i="200"/>
  <c r="J14" i="315" s="1"/>
  <c r="C102" i="327" s="1"/>
  <c r="M102" i="327" s="1"/>
  <c r="AE67" i="199"/>
  <c r="K119" i="315" s="1"/>
  <c r="N182" i="327" s="1"/>
  <c r="K67" i="314"/>
  <c r="L54" i="314"/>
  <c r="L79" i="314"/>
  <c r="L270" i="315" s="1"/>
  <c r="J79" i="314"/>
  <c r="J270" i="315" s="1"/>
  <c r="K52" i="314"/>
  <c r="AF24" i="199"/>
  <c r="L76" i="315" s="1"/>
  <c r="L24" i="314"/>
  <c r="AF34" i="199"/>
  <c r="L34" i="314"/>
  <c r="L40" i="314" s="1"/>
  <c r="AD37" i="199"/>
  <c r="J89" i="315" s="1"/>
  <c r="M161" i="327" s="1"/>
  <c r="J37" i="314"/>
  <c r="AD34" i="199"/>
  <c r="J34" i="314"/>
  <c r="J40" i="314" s="1"/>
  <c r="AE37" i="199"/>
  <c r="K89" i="315" s="1"/>
  <c r="N161" i="327" s="1"/>
  <c r="K37" i="314"/>
  <c r="AE34" i="199"/>
  <c r="K34" i="314"/>
  <c r="AD67" i="199"/>
  <c r="J119" i="315" s="1"/>
  <c r="M182" i="327" s="1"/>
  <c r="J67" i="314"/>
  <c r="K23" i="304"/>
  <c r="K25" i="304" s="1"/>
  <c r="K26" i="304" s="1"/>
  <c r="AE19" i="200"/>
  <c r="K14" i="315" s="1"/>
  <c r="D102" i="327" s="1"/>
  <c r="N102" i="327" s="1"/>
  <c r="AE39" i="199"/>
  <c r="K91" i="315" s="1"/>
  <c r="N162" i="327" s="1"/>
  <c r="K39" i="314"/>
  <c r="K13" i="314"/>
  <c r="N25" i="314"/>
  <c r="K206" i="315" s="1"/>
  <c r="L13" i="314"/>
  <c r="J13" i="314"/>
  <c r="AF37" i="199"/>
  <c r="L89" i="315" s="1"/>
  <c r="O161" i="327" s="1"/>
  <c r="L37" i="314"/>
  <c r="AD24" i="199"/>
  <c r="J76" i="315" s="1"/>
  <c r="J24" i="314"/>
  <c r="AE30" i="199"/>
  <c r="K82" i="315" s="1"/>
  <c r="N156" i="327" s="1"/>
  <c r="K30" i="314"/>
  <c r="AD30" i="199"/>
  <c r="J82" i="315" s="1"/>
  <c r="M156" i="327" s="1"/>
  <c r="J30" i="314"/>
  <c r="AF67" i="199"/>
  <c r="L67" i="314"/>
  <c r="L23" i="304"/>
  <c r="L25" i="304" s="1"/>
  <c r="L26" i="304" s="1"/>
  <c r="AF19" i="200"/>
  <c r="L14" i="315" s="1"/>
  <c r="E102" i="327" s="1"/>
  <c r="O102" i="327" s="1"/>
  <c r="AD25" i="199"/>
  <c r="J77" i="315" s="1"/>
  <c r="J25" i="314"/>
  <c r="AD39" i="199"/>
  <c r="J91" i="315" s="1"/>
  <c r="M162" i="327" s="1"/>
  <c r="J39" i="314"/>
  <c r="AF61" i="199"/>
  <c r="L61" i="314"/>
  <c r="AE63" i="199"/>
  <c r="K115" i="315" s="1"/>
  <c r="N179" i="327" s="1"/>
  <c r="D179" i="327" s="1"/>
  <c r="S179" i="327" s="1"/>
  <c r="K63" i="314"/>
  <c r="AD63" i="199"/>
  <c r="J115" i="315" s="1"/>
  <c r="M179" i="327" s="1"/>
  <c r="J63" i="314"/>
  <c r="AF63" i="199"/>
  <c r="L63" i="314"/>
  <c r="AD21" i="199"/>
  <c r="J72" i="315" s="1"/>
  <c r="M152" i="327" s="1"/>
  <c r="J29" i="311"/>
  <c r="AD35" i="199"/>
  <c r="J87" i="315" s="1"/>
  <c r="M160" i="327" s="1"/>
  <c r="AE21" i="199"/>
  <c r="K72" i="315" s="1"/>
  <c r="N152" i="327" s="1"/>
  <c r="K29" i="311"/>
  <c r="K84" i="311" s="1"/>
  <c r="AE11" i="199"/>
  <c r="K62" i="315" s="1"/>
  <c r="AE35" i="199"/>
  <c r="K87" i="315" s="1"/>
  <c r="N160" i="327" s="1"/>
  <c r="AD10" i="199"/>
  <c r="J61" i="315" s="1"/>
  <c r="AD11" i="199"/>
  <c r="J62" i="315" s="1"/>
  <c r="AE10" i="199"/>
  <c r="K61" i="315" s="1"/>
  <c r="J83" i="311"/>
  <c r="K18" i="311"/>
  <c r="AF10" i="199"/>
  <c r="L61" i="315" s="1"/>
  <c r="AF21" i="199"/>
  <c r="L72" i="315" s="1"/>
  <c r="O152" i="327" s="1"/>
  <c r="L29" i="311"/>
  <c r="M29" i="311" s="1"/>
  <c r="L83" i="311"/>
  <c r="M18" i="311"/>
  <c r="W22" i="311"/>
  <c r="AF35" i="199"/>
  <c r="L87" i="315" s="1"/>
  <c r="O160" i="327" s="1"/>
  <c r="AF11" i="199"/>
  <c r="L62" i="315" s="1"/>
  <c r="G41" i="312"/>
  <c r="G40" i="312"/>
  <c r="G39" i="312"/>
  <c r="G38" i="312"/>
  <c r="L18" i="311"/>
  <c r="AF55" i="200"/>
  <c r="L47" i="315" s="1"/>
  <c r="E135" i="327" s="1"/>
  <c r="O135" i="327" s="1"/>
  <c r="L48" i="308"/>
  <c r="W48" i="308" s="1"/>
  <c r="AD37" i="200"/>
  <c r="J27" i="315" s="1"/>
  <c r="C115" i="327" s="1"/>
  <c r="M115" i="327" s="1"/>
  <c r="AD42" i="200"/>
  <c r="J32" i="315" s="1"/>
  <c r="C120" i="327" s="1"/>
  <c r="M120" i="327" s="1"/>
  <c r="J98" i="305"/>
  <c r="AD28" i="200"/>
  <c r="J23" i="315" s="1"/>
  <c r="C111" i="327" s="1"/>
  <c r="M111" i="327" s="1"/>
  <c r="J38" i="305"/>
  <c r="AD60" i="200"/>
  <c r="J52" i="315" s="1"/>
  <c r="C140" i="327" s="1"/>
  <c r="M140" i="327" s="1"/>
  <c r="J53" i="308"/>
  <c r="AE47" i="200"/>
  <c r="K38" i="315" s="1"/>
  <c r="D126" i="327" s="1"/>
  <c r="N126" i="327" s="1"/>
  <c r="K40" i="308"/>
  <c r="K9" i="304"/>
  <c r="K10" i="308"/>
  <c r="K267" i="315" s="1"/>
  <c r="AF28" i="200"/>
  <c r="L23" i="315" s="1"/>
  <c r="L38" i="305"/>
  <c r="AE28" i="200"/>
  <c r="K23" i="315" s="1"/>
  <c r="D111" i="327" s="1"/>
  <c r="N111" i="327" s="1"/>
  <c r="K38" i="305"/>
  <c r="L9" i="304"/>
  <c r="L10" i="308"/>
  <c r="L267" i="315" s="1"/>
  <c r="AD52" i="200"/>
  <c r="J45" i="308"/>
  <c r="AD39" i="200"/>
  <c r="J29" i="315" s="1"/>
  <c r="C117" i="327" s="1"/>
  <c r="M117" i="327" s="1"/>
  <c r="AD38" i="200"/>
  <c r="J28" i="315" s="1"/>
  <c r="C116" i="327" s="1"/>
  <c r="M116" i="327" s="1"/>
  <c r="J78" i="305"/>
  <c r="AE55" i="200"/>
  <c r="K47" i="315" s="1"/>
  <c r="D135" i="327" s="1"/>
  <c r="N135" i="327" s="1"/>
  <c r="K48" i="308"/>
  <c r="AE60" i="200"/>
  <c r="K52" i="315" s="1"/>
  <c r="D140" i="327" s="1"/>
  <c r="N140" i="327" s="1"/>
  <c r="K53" i="308"/>
  <c r="AE42" i="200"/>
  <c r="K32" i="315" s="1"/>
  <c r="D120" i="327" s="1"/>
  <c r="N120" i="327" s="1"/>
  <c r="K98" i="305"/>
  <c r="AF38" i="200"/>
  <c r="L28" i="315" s="1"/>
  <c r="L78" i="305"/>
  <c r="K45" i="308"/>
  <c r="P57" i="200"/>
  <c r="AD55" i="200"/>
  <c r="J47" i="315" s="1"/>
  <c r="C135" i="327" s="1"/>
  <c r="M135" i="327" s="1"/>
  <c r="J48" i="308"/>
  <c r="AD47" i="200"/>
  <c r="J38" i="315" s="1"/>
  <c r="C126" i="327" s="1"/>
  <c r="M126" i="327" s="1"/>
  <c r="J40" i="308"/>
  <c r="AE39" i="200"/>
  <c r="K29" i="315" s="1"/>
  <c r="D117" i="327" s="1"/>
  <c r="N117" i="327" s="1"/>
  <c r="AF47" i="200"/>
  <c r="L38" i="315" s="1"/>
  <c r="E126" i="327" s="1"/>
  <c r="O126" i="327" s="1"/>
  <c r="L40" i="308"/>
  <c r="AF39" i="200"/>
  <c r="L29" i="315" s="1"/>
  <c r="AF52" i="200"/>
  <c r="L45" i="308"/>
  <c r="W45" i="308" s="1"/>
  <c r="Q57" i="200"/>
  <c r="AD43" i="200"/>
  <c r="J33" i="315" s="1"/>
  <c r="C121" i="327" s="1"/>
  <c r="M121" i="327" s="1"/>
  <c r="J108" i="305"/>
  <c r="AD41" i="200"/>
  <c r="J31" i="315" s="1"/>
  <c r="C119" i="327" s="1"/>
  <c r="M119" i="327" s="1"/>
  <c r="J88" i="305"/>
  <c r="J9" i="304"/>
  <c r="J10" i="308"/>
  <c r="J267" i="315" s="1"/>
  <c r="AE41" i="200"/>
  <c r="K31" i="315" s="1"/>
  <c r="D119" i="327" s="1"/>
  <c r="N119" i="327" s="1"/>
  <c r="K88" i="305"/>
  <c r="AE37" i="200"/>
  <c r="K27" i="315" s="1"/>
  <c r="D115" i="327" s="1"/>
  <c r="N115" i="327" s="1"/>
  <c r="AE38" i="200"/>
  <c r="K28" i="315" s="1"/>
  <c r="D116" i="327" s="1"/>
  <c r="N116" i="327" s="1"/>
  <c r="K78" i="305"/>
  <c r="AE43" i="200"/>
  <c r="K33" i="315" s="1"/>
  <c r="D121" i="327" s="1"/>
  <c r="N121" i="327" s="1"/>
  <c r="K108" i="305"/>
  <c r="AF60" i="200"/>
  <c r="L52" i="315" s="1"/>
  <c r="E140" i="327" s="1"/>
  <c r="O140" i="327" s="1"/>
  <c r="L53" i="308"/>
  <c r="AF41" i="200"/>
  <c r="L31" i="315" s="1"/>
  <c r="L88" i="305"/>
  <c r="O57" i="200"/>
  <c r="AE54" i="199"/>
  <c r="K106" i="315" s="1"/>
  <c r="N173" i="327" s="1"/>
  <c r="AF54" i="199"/>
  <c r="L106" i="315" s="1"/>
  <c r="O173" i="327" s="1"/>
  <c r="AD54" i="199"/>
  <c r="J106" i="315" s="1"/>
  <c r="M173" i="327" s="1"/>
  <c r="AE24" i="200"/>
  <c r="K19" i="315" s="1"/>
  <c r="D107" i="327" s="1"/>
  <c r="N107" i="327" s="1"/>
  <c r="K11" i="305"/>
  <c r="AD24" i="200"/>
  <c r="J19" i="315" s="1"/>
  <c r="C107" i="327" s="1"/>
  <c r="M107" i="327" s="1"/>
  <c r="J11" i="305"/>
  <c r="L11" i="305"/>
  <c r="X11" i="305" s="1"/>
  <c r="K15" i="304"/>
  <c r="L15" i="304"/>
  <c r="L18" i="304"/>
  <c r="O23" i="200"/>
  <c r="AD23" i="200" s="1"/>
  <c r="J18" i="315" s="1"/>
  <c r="C106" i="327" s="1"/>
  <c r="M106" i="327" s="1"/>
  <c r="J44" i="200"/>
  <c r="L44" i="200"/>
  <c r="L45" i="200" s="1"/>
  <c r="P23" i="200"/>
  <c r="AE23" i="200" s="1"/>
  <c r="K44" i="200"/>
  <c r="K45" i="200" s="1"/>
  <c r="P27" i="200"/>
  <c r="AE27" i="200" s="1"/>
  <c r="K22" i="315" s="1"/>
  <c r="D110" i="327" s="1"/>
  <c r="N110" i="327" s="1"/>
  <c r="O27" i="200"/>
  <c r="AD27" i="200" s="1"/>
  <c r="J22" i="315" s="1"/>
  <c r="C110" i="327" s="1"/>
  <c r="M110" i="327" s="1"/>
  <c r="Q27" i="200"/>
  <c r="Q44" i="200" s="1"/>
  <c r="AD10" i="200"/>
  <c r="J10" i="315" s="1"/>
  <c r="C98" i="327" s="1"/>
  <c r="M98" i="327" s="1"/>
  <c r="AE10" i="200"/>
  <c r="K10" i="315" s="1"/>
  <c r="D98" i="327" s="1"/>
  <c r="N98" i="327" s="1"/>
  <c r="AF10" i="200"/>
  <c r="L10" i="315" s="1"/>
  <c r="E98" i="327" s="1"/>
  <c r="O98" i="327" s="1"/>
  <c r="P9" i="200"/>
  <c r="P21" i="200" s="1"/>
  <c r="O9" i="200"/>
  <c r="O21" i="200" s="1"/>
  <c r="AE52" i="200"/>
  <c r="Q9" i="200"/>
  <c r="Q21" i="200" s="1"/>
  <c r="AF43" i="200"/>
  <c r="L33" i="315" s="1"/>
  <c r="AF23" i="200"/>
  <c r="L18" i="315" s="1"/>
  <c r="E106" i="327" s="1"/>
  <c r="O106" i="327" s="1"/>
  <c r="K80" i="199"/>
  <c r="K81" i="199" s="1"/>
  <c r="L80" i="199"/>
  <c r="AF79" i="199"/>
  <c r="L130" i="315" s="1"/>
  <c r="AE28" i="199"/>
  <c r="K80" i="315" s="1"/>
  <c r="P28" i="199"/>
  <c r="L28" i="199"/>
  <c r="Q9" i="199"/>
  <c r="L9" i="314" s="1"/>
  <c r="Q59" i="199"/>
  <c r="Q72" i="199" s="1"/>
  <c r="K28" i="199"/>
  <c r="K41" i="199" s="1"/>
  <c r="Q52" i="199"/>
  <c r="O9" i="199"/>
  <c r="J9" i="314" s="1"/>
  <c r="J28" i="199"/>
  <c r="J41" i="199" s="1"/>
  <c r="J86" i="315" l="1"/>
  <c r="M159" i="327" s="1"/>
  <c r="AD40" i="199"/>
  <c r="L86" i="315"/>
  <c r="O159" i="327" s="1"/>
  <c r="AF40" i="199"/>
  <c r="O20" i="304"/>
  <c r="N13" i="308"/>
  <c r="K86" i="315"/>
  <c r="N159" i="327" s="1"/>
  <c r="AE40" i="199"/>
  <c r="K92" i="315" s="1"/>
  <c r="N163" i="327" s="1"/>
  <c r="D163" i="327" s="1"/>
  <c r="S163" i="327" s="1"/>
  <c r="N172" i="327"/>
  <c r="K40" i="314"/>
  <c r="AE59" i="199"/>
  <c r="P72" i="199"/>
  <c r="P80" i="199" s="1"/>
  <c r="P81" i="199" s="1"/>
  <c r="AD59" i="199"/>
  <c r="O72" i="199"/>
  <c r="O80" i="199" s="1"/>
  <c r="O81" i="199" s="1"/>
  <c r="K28" i="314"/>
  <c r="AD9" i="199"/>
  <c r="J60" i="315" s="1"/>
  <c r="M147" i="327" s="1"/>
  <c r="C147" i="327" s="1"/>
  <c r="R147" i="327" s="1"/>
  <c r="J15" i="311"/>
  <c r="AF9" i="199"/>
  <c r="L60" i="315" s="1"/>
  <c r="O147" i="327" s="1"/>
  <c r="E147" i="327" s="1"/>
  <c r="T147" i="327" s="1"/>
  <c r="L15" i="311"/>
  <c r="M15" i="311" s="1"/>
  <c r="J92" i="315"/>
  <c r="M163" i="327" s="1"/>
  <c r="C163" i="327" s="1"/>
  <c r="R163" i="327" s="1"/>
  <c r="AF27" i="200"/>
  <c r="L22" i="315" s="1"/>
  <c r="E110" i="327" s="1"/>
  <c r="O110" i="327" s="1"/>
  <c r="K59" i="314"/>
  <c r="J59" i="314"/>
  <c r="K457" i="315"/>
  <c r="D84" i="327" s="1"/>
  <c r="N84" i="327" s="1"/>
  <c r="N155" i="327"/>
  <c r="E121" i="327"/>
  <c r="O121" i="327" s="1"/>
  <c r="C173" i="327"/>
  <c r="R173" i="327" s="1"/>
  <c r="E173" i="327"/>
  <c r="T173" i="327" s="1"/>
  <c r="D173" i="327"/>
  <c r="S173" i="327" s="1"/>
  <c r="E119" i="327"/>
  <c r="O119" i="327" s="1"/>
  <c r="E117" i="327"/>
  <c r="O117" i="327" s="1"/>
  <c r="E116" i="327"/>
  <c r="O116" i="327" s="1"/>
  <c r="E111" i="327"/>
  <c r="O111" i="327" s="1"/>
  <c r="E160" i="327"/>
  <c r="T160" i="327" s="1"/>
  <c r="E152" i="327"/>
  <c r="T152" i="327" s="1"/>
  <c r="D160" i="327"/>
  <c r="S160" i="327" s="1"/>
  <c r="D152" i="327"/>
  <c r="S152" i="327" s="1"/>
  <c r="C160" i="327"/>
  <c r="R160" i="327" s="1"/>
  <c r="C152" i="327"/>
  <c r="R152" i="327" s="1"/>
  <c r="C179" i="327"/>
  <c r="R179" i="327" s="1"/>
  <c r="C162" i="327"/>
  <c r="R162" i="327" s="1"/>
  <c r="C156" i="327"/>
  <c r="R156" i="327" s="1"/>
  <c r="D156" i="327"/>
  <c r="S156" i="327" s="1"/>
  <c r="E161" i="327"/>
  <c r="T161" i="327" s="1"/>
  <c r="D162" i="327"/>
  <c r="S162" i="327" s="1"/>
  <c r="C182" i="327"/>
  <c r="R182" i="327" s="1"/>
  <c r="D159" i="327"/>
  <c r="S159" i="327" s="1"/>
  <c r="D161" i="327"/>
  <c r="S161" i="327" s="1"/>
  <c r="C159" i="327"/>
  <c r="R159" i="327" s="1"/>
  <c r="C161" i="327"/>
  <c r="R161" i="327" s="1"/>
  <c r="E159" i="327"/>
  <c r="T159" i="327" s="1"/>
  <c r="D182" i="327"/>
  <c r="S182" i="327" s="1"/>
  <c r="E156" i="327"/>
  <c r="T156" i="327" s="1"/>
  <c r="E162" i="327"/>
  <c r="T162" i="327" s="1"/>
  <c r="E169" i="327"/>
  <c r="T169" i="327" s="1"/>
  <c r="E176" i="327"/>
  <c r="T176" i="327" s="1"/>
  <c r="E180" i="327"/>
  <c r="T180" i="327" s="1"/>
  <c r="E181" i="327"/>
  <c r="T181" i="327" s="1"/>
  <c r="O32" i="315"/>
  <c r="E120" i="327"/>
  <c r="O120" i="327" s="1"/>
  <c r="D172" i="327"/>
  <c r="S172" i="327" s="1"/>
  <c r="J292" i="315"/>
  <c r="C13" i="327" s="1"/>
  <c r="M13" i="327" s="1"/>
  <c r="M5" i="327"/>
  <c r="C5" i="327"/>
  <c r="O8" i="327"/>
  <c r="E8" i="327"/>
  <c r="AD52" i="199"/>
  <c r="J104" i="315" s="1"/>
  <c r="J101" i="315"/>
  <c r="M169" i="327" s="1"/>
  <c r="N8" i="327"/>
  <c r="D8" i="327"/>
  <c r="AE44" i="200"/>
  <c r="K34" i="315" s="1"/>
  <c r="D122" i="327" s="1"/>
  <c r="N122" i="327" s="1"/>
  <c r="K18" i="315"/>
  <c r="D106" i="327" s="1"/>
  <c r="N106" i="327" s="1"/>
  <c r="K292" i="315"/>
  <c r="D13" i="327" s="1"/>
  <c r="N13" i="327" s="1"/>
  <c r="N5" i="327"/>
  <c r="D5" i="327"/>
  <c r="AD57" i="200"/>
  <c r="J49" i="315" s="1"/>
  <c r="C137" i="327" s="1"/>
  <c r="M137" i="327" s="1"/>
  <c r="J44" i="315"/>
  <c r="C132" i="327" s="1"/>
  <c r="M132" i="327" s="1"/>
  <c r="M8" i="327"/>
  <c r="C8" i="327"/>
  <c r="AE57" i="200"/>
  <c r="K49" i="315" s="1"/>
  <c r="D137" i="327" s="1"/>
  <c r="N137" i="327" s="1"/>
  <c r="K44" i="315"/>
  <c r="D132" i="327" s="1"/>
  <c r="N132" i="327" s="1"/>
  <c r="O5" i="327"/>
  <c r="E5" i="327"/>
  <c r="J28" i="314"/>
  <c r="L292" i="315"/>
  <c r="E13" i="327" s="1"/>
  <c r="O13" i="327" s="1"/>
  <c r="L52" i="314"/>
  <c r="O74" i="314"/>
  <c r="L254" i="315" s="1"/>
  <c r="O52" i="315"/>
  <c r="O14" i="315"/>
  <c r="AF57" i="200"/>
  <c r="L49" i="315" s="1"/>
  <c r="E137" i="327" s="1"/>
  <c r="O137" i="327" s="1"/>
  <c r="L44" i="315"/>
  <c r="E132" i="327" s="1"/>
  <c r="O132" i="327" s="1"/>
  <c r="O38" i="315"/>
  <c r="O23" i="315"/>
  <c r="L115" i="315"/>
  <c r="O179" i="327" s="1"/>
  <c r="J205" i="315"/>
  <c r="W24" i="314"/>
  <c r="J236" i="315"/>
  <c r="W55" i="314"/>
  <c r="J230" i="315"/>
  <c r="M299" i="327" s="1"/>
  <c r="C299" i="327" s="1"/>
  <c r="W49" i="314"/>
  <c r="O27" i="314"/>
  <c r="K208" i="315"/>
  <c r="O10" i="315"/>
  <c r="O33" i="315"/>
  <c r="O31" i="315"/>
  <c r="L28" i="314"/>
  <c r="N44" i="314"/>
  <c r="J225" i="315"/>
  <c r="M296" i="327" s="1"/>
  <c r="C296" i="327" s="1"/>
  <c r="W44" i="314"/>
  <c r="J255" i="315"/>
  <c r="W75" i="314"/>
  <c r="O48" i="314"/>
  <c r="K229" i="315"/>
  <c r="N298" i="327" s="1"/>
  <c r="D298" i="327" s="1"/>
  <c r="O46" i="314"/>
  <c r="K227" i="315"/>
  <c r="N297" i="327" s="1"/>
  <c r="D297" i="327" s="1"/>
  <c r="O18" i="315"/>
  <c r="O29" i="315"/>
  <c r="O28" i="315"/>
  <c r="O47" i="315"/>
  <c r="L113" i="315"/>
  <c r="O177" i="327" s="1"/>
  <c r="L119" i="315"/>
  <c r="O182" i="327" s="1"/>
  <c r="E182" i="327" s="1"/>
  <c r="T182" i="327" s="1"/>
  <c r="W18" i="311"/>
  <c r="N14" i="314"/>
  <c r="J194" i="315"/>
  <c r="M279" i="327" s="1"/>
  <c r="C279" i="327" s="1"/>
  <c r="W14" i="314"/>
  <c r="W43" i="313"/>
  <c r="X78" i="305"/>
  <c r="X88" i="305"/>
  <c r="X38" i="305"/>
  <c r="AD44" i="200"/>
  <c r="J34" i="315" s="1"/>
  <c r="C122" i="327" s="1"/>
  <c r="M122" i="327" s="1"/>
  <c r="L59" i="314"/>
  <c r="N24" i="314"/>
  <c r="K205" i="315" s="1"/>
  <c r="O25" i="314"/>
  <c r="L206" i="315" s="1"/>
  <c r="AF44" i="200"/>
  <c r="L34" i="315" s="1"/>
  <c r="Q29" i="315" s="1"/>
  <c r="K255" i="315"/>
  <c r="L124" i="312"/>
  <c r="L105" i="312"/>
  <c r="L143" i="312"/>
  <c r="J143" i="312"/>
  <c r="J124" i="312"/>
  <c r="J105" i="312"/>
  <c r="K124" i="312"/>
  <c r="K105" i="312"/>
  <c r="K143" i="312"/>
  <c r="J82" i="311"/>
  <c r="K11" i="311"/>
  <c r="J9" i="308"/>
  <c r="J29" i="312"/>
  <c r="J86" i="312"/>
  <c r="J67" i="312"/>
  <c r="J48" i="312"/>
  <c r="J52" i="312" s="1"/>
  <c r="J9" i="312"/>
  <c r="J13" i="312" s="1"/>
  <c r="J84" i="311"/>
  <c r="K25" i="311"/>
  <c r="J50" i="308"/>
  <c r="K9" i="308"/>
  <c r="K86" i="312"/>
  <c r="K67" i="312"/>
  <c r="K48" i="312"/>
  <c r="K52" i="312" s="1"/>
  <c r="K9" i="312"/>
  <c r="K13" i="312" s="1"/>
  <c r="K29" i="312"/>
  <c r="L67" i="312"/>
  <c r="L48" i="312"/>
  <c r="L9" i="312"/>
  <c r="L29" i="312"/>
  <c r="L86" i="312"/>
  <c r="L84" i="311"/>
  <c r="M25" i="311"/>
  <c r="W29" i="311"/>
  <c r="M83" i="311"/>
  <c r="W83" i="311" s="1"/>
  <c r="N18" i="311"/>
  <c r="L82" i="311"/>
  <c r="M11" i="311"/>
  <c r="W15" i="311"/>
  <c r="L25" i="311"/>
  <c r="L50" i="308"/>
  <c r="L9" i="308"/>
  <c r="K50" i="308"/>
  <c r="AF9" i="200"/>
  <c r="L43" i="304"/>
  <c r="L45" i="304"/>
  <c r="J43" i="304"/>
  <c r="J14" i="305" s="1"/>
  <c r="J12" i="305" s="1"/>
  <c r="J45" i="304"/>
  <c r="AD9" i="200"/>
  <c r="J26" i="304"/>
  <c r="J27" i="304"/>
  <c r="J29" i="304"/>
  <c r="L28" i="304"/>
  <c r="K29" i="304"/>
  <c r="L29" i="304"/>
  <c r="J28" i="304"/>
  <c r="L27" i="304"/>
  <c r="K28" i="304"/>
  <c r="K27" i="304"/>
  <c r="AE9" i="200"/>
  <c r="K43" i="304"/>
  <c r="K14" i="305" s="1"/>
  <c r="K12" i="305" s="1"/>
  <c r="K45" i="304"/>
  <c r="P44" i="200"/>
  <c r="P45" i="200" s="1"/>
  <c r="P46" i="200" s="1"/>
  <c r="O44" i="200"/>
  <c r="O45" i="200" s="1"/>
  <c r="Q45" i="200"/>
  <c r="J45" i="200"/>
  <c r="K83" i="199"/>
  <c r="L46" i="200"/>
  <c r="L48" i="200"/>
  <c r="K48" i="200"/>
  <c r="K46" i="200"/>
  <c r="Q80" i="199"/>
  <c r="AF59" i="199"/>
  <c r="J83" i="199"/>
  <c r="AF52" i="199"/>
  <c r="L104" i="315" s="1"/>
  <c r="L81" i="199"/>
  <c r="L92" i="315"/>
  <c r="O163" i="327" s="1"/>
  <c r="L41" i="199"/>
  <c r="P41" i="199"/>
  <c r="O28" i="199"/>
  <c r="O41" i="199" s="1"/>
  <c r="Q28" i="199"/>
  <c r="K236" i="315" l="1"/>
  <c r="N146" i="305"/>
  <c r="N148" i="305" s="1"/>
  <c r="K173" i="315" s="1"/>
  <c r="D247" i="327" s="1"/>
  <c r="N247" i="327" s="1"/>
  <c r="O22" i="315"/>
  <c r="J72" i="314"/>
  <c r="J80" i="314" s="1"/>
  <c r="J81" i="314" s="1"/>
  <c r="AD28" i="199"/>
  <c r="AD41" i="199" s="1"/>
  <c r="P20" i="304"/>
  <c r="O13" i="308"/>
  <c r="L30" i="304"/>
  <c r="L72" i="314"/>
  <c r="L80" i="314" s="1"/>
  <c r="L81" i="314" s="1"/>
  <c r="K72" i="314"/>
  <c r="K80" i="314" s="1"/>
  <c r="K81" i="314" s="1"/>
  <c r="K41" i="314"/>
  <c r="P83" i="199"/>
  <c r="O83" i="199"/>
  <c r="J111" i="315"/>
  <c r="M175" i="327" s="1"/>
  <c r="C175" i="327" s="1"/>
  <c r="R175" i="327" s="1"/>
  <c r="AD72" i="199"/>
  <c r="AD80" i="199" s="1"/>
  <c r="J131" i="315" s="1"/>
  <c r="M187" i="327" s="1"/>
  <c r="L111" i="315"/>
  <c r="O175" i="327" s="1"/>
  <c r="E175" i="327" s="1"/>
  <c r="T175" i="327" s="1"/>
  <c r="AF72" i="199"/>
  <c r="L123" i="315" s="1"/>
  <c r="K111" i="315"/>
  <c r="N175" i="327" s="1"/>
  <c r="D175" i="327" s="1"/>
  <c r="S175" i="327" s="1"/>
  <c r="AE72" i="199"/>
  <c r="K123" i="315" s="1"/>
  <c r="K462" i="315" s="1"/>
  <c r="D89" i="327" s="1"/>
  <c r="N88" i="327" s="1"/>
  <c r="O92" i="315"/>
  <c r="J458" i="315"/>
  <c r="C83" i="327" s="1"/>
  <c r="M83" i="327" s="1"/>
  <c r="L14" i="305"/>
  <c r="M43" i="304"/>
  <c r="P92" i="315"/>
  <c r="AE41" i="199"/>
  <c r="K93" i="315" s="1"/>
  <c r="N164" i="327" s="1"/>
  <c r="K458" i="315"/>
  <c r="D83" i="327" s="1"/>
  <c r="N83" i="327" s="1"/>
  <c r="P74" i="314"/>
  <c r="M254" i="315" s="1"/>
  <c r="L41" i="314"/>
  <c r="J41" i="314"/>
  <c r="Q32" i="315"/>
  <c r="Q23" i="315"/>
  <c r="E122" i="327"/>
  <c r="O122" i="327" s="1"/>
  <c r="Q24" i="315"/>
  <c r="Q26" i="315"/>
  <c r="Q30" i="315"/>
  <c r="Q25" i="315"/>
  <c r="Q27" i="315"/>
  <c r="Q28" i="315"/>
  <c r="Q31" i="315"/>
  <c r="Q33" i="315"/>
  <c r="E163" i="327"/>
  <c r="T163" i="327" s="1"/>
  <c r="L461" i="315"/>
  <c r="E88" i="327" s="1"/>
  <c r="O89" i="327" s="1"/>
  <c r="O172" i="327"/>
  <c r="E177" i="327"/>
  <c r="T177" i="327" s="1"/>
  <c r="E179" i="327"/>
  <c r="T179" i="327" s="1"/>
  <c r="C169" i="327"/>
  <c r="R169" i="327" s="1"/>
  <c r="J461" i="315"/>
  <c r="C88" i="327" s="1"/>
  <c r="M89" i="327" s="1"/>
  <c r="M172" i="327"/>
  <c r="C172" i="327" s="1"/>
  <c r="R172" i="327" s="1"/>
  <c r="D155" i="327"/>
  <c r="S155" i="327" s="1"/>
  <c r="AE21" i="200"/>
  <c r="K9" i="315"/>
  <c r="AD21" i="200"/>
  <c r="J9" i="315"/>
  <c r="O44" i="314"/>
  <c r="K225" i="315"/>
  <c r="N296" i="327" s="1"/>
  <c r="D296" i="327" s="1"/>
  <c r="O44" i="315"/>
  <c r="J259" i="315"/>
  <c r="W79" i="314"/>
  <c r="J235" i="315"/>
  <c r="M303" i="327" s="1"/>
  <c r="C303" i="327" s="1"/>
  <c r="W54" i="314"/>
  <c r="P46" i="314"/>
  <c r="L227" i="315"/>
  <c r="O297" i="327" s="1"/>
  <c r="E297" i="327" s="1"/>
  <c r="P27" i="314"/>
  <c r="L208" i="315"/>
  <c r="O49" i="315"/>
  <c r="AF21" i="200"/>
  <c r="L16" i="315" s="1"/>
  <c r="E104" i="327" s="1"/>
  <c r="O104" i="327" s="1"/>
  <c r="L9" i="315"/>
  <c r="E97" i="327" s="1"/>
  <c r="O97" i="327" s="1"/>
  <c r="L458" i="315"/>
  <c r="E83" i="327" s="1"/>
  <c r="O83" i="327" s="1"/>
  <c r="R92" i="315"/>
  <c r="O34" i="315"/>
  <c r="P48" i="314"/>
  <c r="L229" i="315"/>
  <c r="O298" i="327" s="1"/>
  <c r="E298" i="327" s="1"/>
  <c r="W22" i="314"/>
  <c r="J203" i="315"/>
  <c r="M284" i="327" s="1"/>
  <c r="C284" i="327" s="1"/>
  <c r="W25" i="311"/>
  <c r="O14" i="314"/>
  <c r="K194" i="315"/>
  <c r="N279" i="327" s="1"/>
  <c r="D279" i="327" s="1"/>
  <c r="L12" i="305"/>
  <c r="L255" i="315"/>
  <c r="N79" i="314"/>
  <c r="K259" i="315" s="1"/>
  <c r="N54" i="314"/>
  <c r="K235" i="315" s="1"/>
  <c r="N303" i="327" s="1"/>
  <c r="D303" i="327" s="1"/>
  <c r="O24" i="314"/>
  <c r="L205" i="315" s="1"/>
  <c r="P25" i="314"/>
  <c r="Q25" i="314" s="1"/>
  <c r="M82" i="311"/>
  <c r="N11" i="311"/>
  <c r="N15" i="311"/>
  <c r="L13" i="312"/>
  <c r="K195" i="315"/>
  <c r="N280" i="327" s="1"/>
  <c r="D280" i="327" s="1"/>
  <c r="L52" i="312"/>
  <c r="N83" i="311"/>
  <c r="O18" i="311"/>
  <c r="O22" i="311"/>
  <c r="K203" i="315"/>
  <c r="N284" i="327" s="1"/>
  <c r="D284" i="327" s="1"/>
  <c r="M84" i="311"/>
  <c r="M21" i="314" s="1"/>
  <c r="N25" i="311"/>
  <c r="N29" i="311"/>
  <c r="L11" i="311"/>
  <c r="W11" i="311" s="1"/>
  <c r="P48" i="200"/>
  <c r="P58" i="200" s="1"/>
  <c r="Q48" i="200"/>
  <c r="Q58" i="200" s="1"/>
  <c r="O46" i="200"/>
  <c r="O48" i="200"/>
  <c r="O58" i="200" s="1"/>
  <c r="Q46" i="200"/>
  <c r="J46" i="200"/>
  <c r="J48" i="200"/>
  <c r="K49" i="200"/>
  <c r="K58" i="200"/>
  <c r="L58" i="200"/>
  <c r="L49" i="200"/>
  <c r="AF28" i="199"/>
  <c r="L80" i="315" s="1"/>
  <c r="Q41" i="199"/>
  <c r="L83" i="199"/>
  <c r="L84" i="199" s="1"/>
  <c r="Q81" i="199"/>
  <c r="R93" i="315" l="1"/>
  <c r="J80" i="315"/>
  <c r="L236" i="315"/>
  <c r="O146" i="305"/>
  <c r="O148" i="305" s="1"/>
  <c r="J83" i="314"/>
  <c r="J123" i="315"/>
  <c r="J462" i="315" s="1"/>
  <c r="C89" i="327" s="1"/>
  <c r="M88" i="327" s="1"/>
  <c r="K83" i="314"/>
  <c r="Q20" i="304"/>
  <c r="P13" i="308"/>
  <c r="W82" i="311"/>
  <c r="M9" i="314"/>
  <c r="AD81" i="199"/>
  <c r="J132" i="315" s="1"/>
  <c r="M188" i="327" s="1"/>
  <c r="C188" i="327" s="1"/>
  <c r="R188" i="327" s="1"/>
  <c r="N185" i="327"/>
  <c r="D185" i="327" s="1"/>
  <c r="S185" i="327" s="1"/>
  <c r="AE80" i="199"/>
  <c r="K131" i="315" s="1"/>
  <c r="L83" i="314"/>
  <c r="N43" i="304"/>
  <c r="M14" i="305"/>
  <c r="M45" i="304"/>
  <c r="Q74" i="314"/>
  <c r="R74" i="314" s="1"/>
  <c r="AF45" i="200"/>
  <c r="L36" i="315" s="1"/>
  <c r="F33" i="327" s="1"/>
  <c r="O33" i="327" s="1"/>
  <c r="P49" i="200"/>
  <c r="M227" i="315"/>
  <c r="P297" i="327" s="1"/>
  <c r="F297" i="327" s="1"/>
  <c r="Q46" i="314"/>
  <c r="R46" i="314" s="1"/>
  <c r="R25" i="314"/>
  <c r="M229" i="315"/>
  <c r="P298" i="327" s="1"/>
  <c r="F298" i="327" s="1"/>
  <c r="Q48" i="314"/>
  <c r="R48" i="314" s="1"/>
  <c r="M208" i="315"/>
  <c r="Q27" i="314"/>
  <c r="R27" i="314" s="1"/>
  <c r="L457" i="315"/>
  <c r="E84" i="327" s="1"/>
  <c r="O84" i="327" s="1"/>
  <c r="O155" i="327"/>
  <c r="L462" i="315"/>
  <c r="E89" i="327" s="1"/>
  <c r="O88" i="327" s="1"/>
  <c r="O185" i="327"/>
  <c r="J442" i="315"/>
  <c r="C76" i="327" s="1"/>
  <c r="M76" i="327" s="1"/>
  <c r="C97" i="327"/>
  <c r="M97" i="327" s="1"/>
  <c r="J457" i="315"/>
  <c r="C84" i="327" s="1"/>
  <c r="M84" i="327" s="1"/>
  <c r="M155" i="327"/>
  <c r="D164" i="327"/>
  <c r="S164" i="327" s="1"/>
  <c r="K442" i="315"/>
  <c r="D76" i="327" s="1"/>
  <c r="N76" i="327" s="1"/>
  <c r="D97" i="327"/>
  <c r="N97" i="327" s="1"/>
  <c r="C187" i="327"/>
  <c r="R187" i="327" s="1"/>
  <c r="E172" i="327"/>
  <c r="T172" i="327" s="1"/>
  <c r="J93" i="315"/>
  <c r="M164" i="327" s="1"/>
  <c r="K16" i="315"/>
  <c r="D104" i="327" s="1"/>
  <c r="N104" i="327" s="1"/>
  <c r="AE45" i="200"/>
  <c r="J16" i="315"/>
  <c r="C104" i="327" s="1"/>
  <c r="M104" i="327" s="1"/>
  <c r="AD45" i="200"/>
  <c r="P9" i="315"/>
  <c r="L442" i="315"/>
  <c r="E76" i="327" s="1"/>
  <c r="O9" i="315"/>
  <c r="O16" i="315"/>
  <c r="P24" i="314"/>
  <c r="M205" i="315" s="1"/>
  <c r="M206" i="315"/>
  <c r="P44" i="314"/>
  <c r="L225" i="315"/>
  <c r="O296" i="327" s="1"/>
  <c r="E296" i="327" s="1"/>
  <c r="W15" i="314"/>
  <c r="J195" i="315"/>
  <c r="M280" i="327" s="1"/>
  <c r="C280" i="327" s="1"/>
  <c r="P14" i="314"/>
  <c r="L194" i="315"/>
  <c r="O279" i="327" s="1"/>
  <c r="E279" i="327" s="1"/>
  <c r="W84" i="311"/>
  <c r="O54" i="314"/>
  <c r="L235" i="315" s="1"/>
  <c r="O303" i="327" s="1"/>
  <c r="E303" i="327" s="1"/>
  <c r="P75" i="314"/>
  <c r="Q75" i="314" s="1"/>
  <c r="O79" i="314"/>
  <c r="L259" i="315" s="1"/>
  <c r="O49" i="200"/>
  <c r="N82" i="311"/>
  <c r="O11" i="311"/>
  <c r="O15" i="311"/>
  <c r="L195" i="315"/>
  <c r="O280" i="327" s="1"/>
  <c r="E280" i="327" s="1"/>
  <c r="N84" i="311"/>
  <c r="N21" i="314" s="1"/>
  <c r="K201" i="315" s="1"/>
  <c r="N282" i="327" s="1"/>
  <c r="D282" i="327" s="1"/>
  <c r="O25" i="311"/>
  <c r="O29" i="311"/>
  <c r="L203" i="315"/>
  <c r="O284" i="327" s="1"/>
  <c r="E284" i="327" s="1"/>
  <c r="K191" i="315"/>
  <c r="O83" i="311"/>
  <c r="P18" i="311"/>
  <c r="P22" i="311"/>
  <c r="Q49" i="200"/>
  <c r="J58" i="200"/>
  <c r="J49" i="200"/>
  <c r="P61" i="200"/>
  <c r="P59" i="200"/>
  <c r="K59" i="200"/>
  <c r="K61" i="200"/>
  <c r="L59" i="200"/>
  <c r="L61" i="200"/>
  <c r="O61" i="200"/>
  <c r="O59" i="200"/>
  <c r="Q61" i="200"/>
  <c r="Q59" i="200"/>
  <c r="AF80" i="199"/>
  <c r="Q83" i="199"/>
  <c r="AF41" i="199"/>
  <c r="L93" i="315" s="1"/>
  <c r="O164" i="327" s="1"/>
  <c r="O45" i="308" l="1"/>
  <c r="L173" i="315" s="1"/>
  <c r="E247" i="327" s="1"/>
  <c r="O247" i="327" s="1"/>
  <c r="Q146" i="305"/>
  <c r="Q148" i="305" s="1"/>
  <c r="Q45" i="308" s="1"/>
  <c r="P146" i="305"/>
  <c r="P148" i="305" s="1"/>
  <c r="P45" i="308" s="1"/>
  <c r="M173" i="315" s="1"/>
  <c r="M185" i="327"/>
  <c r="C185" i="327" s="1"/>
  <c r="R185" i="327" s="1"/>
  <c r="AF46" i="200"/>
  <c r="L37" i="315" s="1"/>
  <c r="O36" i="315"/>
  <c r="AD83" i="199"/>
  <c r="K190" i="315"/>
  <c r="N9" i="314"/>
  <c r="K189" i="315" s="1"/>
  <c r="N277" i="327" s="1"/>
  <c r="D277" i="327" s="1"/>
  <c r="L443" i="315"/>
  <c r="E77" i="327" s="1"/>
  <c r="O77" i="327" s="1"/>
  <c r="AF48" i="200"/>
  <c r="L40" i="315" s="1"/>
  <c r="E128" i="327" s="1"/>
  <c r="O128" i="327" s="1"/>
  <c r="R20" i="304"/>
  <c r="R13" i="308" s="1"/>
  <c r="Q13" i="308"/>
  <c r="AE81" i="199"/>
  <c r="K132" i="315" s="1"/>
  <c r="N188" i="327" s="1"/>
  <c r="D188" i="327" s="1"/>
  <c r="S188" i="327" s="1"/>
  <c r="M12" i="305"/>
  <c r="X12" i="305" s="1"/>
  <c r="X14" i="305"/>
  <c r="O43" i="304"/>
  <c r="N14" i="305"/>
  <c r="N12" i="305" s="1"/>
  <c r="N16" i="305" s="1"/>
  <c r="N45" i="304"/>
  <c r="E124" i="327"/>
  <c r="O124" i="327" s="1"/>
  <c r="Q79" i="314"/>
  <c r="R75" i="314"/>
  <c r="R79" i="314" s="1"/>
  <c r="R24" i="314"/>
  <c r="Q24" i="314"/>
  <c r="Q54" i="314"/>
  <c r="M194" i="315"/>
  <c r="P279" i="327" s="1"/>
  <c r="F279" i="327" s="1"/>
  <c r="Q14" i="314"/>
  <c r="R14" i="314" s="1"/>
  <c r="M225" i="315"/>
  <c r="P296" i="327" s="1"/>
  <c r="F296" i="327" s="1"/>
  <c r="Q44" i="314"/>
  <c r="R44" i="314" s="1"/>
  <c r="P83" i="311"/>
  <c r="Q18" i="311"/>
  <c r="Q22" i="311"/>
  <c r="M195" i="315"/>
  <c r="P280" i="327" s="1"/>
  <c r="F280" i="327" s="1"/>
  <c r="O76" i="327"/>
  <c r="G76" i="327"/>
  <c r="E164" i="327"/>
  <c r="T164" i="327" s="1"/>
  <c r="F34" i="327"/>
  <c r="O34" i="327" s="1"/>
  <c r="E125" i="327"/>
  <c r="O125" i="327" s="1"/>
  <c r="C164" i="327"/>
  <c r="R164" i="327" s="1"/>
  <c r="C155" i="327"/>
  <c r="R155" i="327" s="1"/>
  <c r="E185" i="327"/>
  <c r="T185" i="327" s="1"/>
  <c r="E155" i="327"/>
  <c r="T155" i="327" s="1"/>
  <c r="AD48" i="200"/>
  <c r="J36" i="315"/>
  <c r="C124" i="327" s="1"/>
  <c r="M124" i="327" s="1"/>
  <c r="AD46" i="200"/>
  <c r="J37" i="315" s="1"/>
  <c r="K36" i="315"/>
  <c r="D124" i="327" s="1"/>
  <c r="N124" i="327" s="1"/>
  <c r="AE46" i="200"/>
  <c r="K37" i="315" s="1"/>
  <c r="AE48" i="200"/>
  <c r="P79" i="314"/>
  <c r="M259" i="315" s="1"/>
  <c r="M255" i="315"/>
  <c r="AF81" i="199"/>
  <c r="L132" i="315" s="1"/>
  <c r="O188" i="327" s="1"/>
  <c r="L131" i="315"/>
  <c r="P54" i="314"/>
  <c r="M235" i="315" s="1"/>
  <c r="P303" i="327" s="1"/>
  <c r="F303" i="327" s="1"/>
  <c r="M236" i="315"/>
  <c r="O37" i="315"/>
  <c r="W10" i="314"/>
  <c r="J190" i="315"/>
  <c r="W11" i="314"/>
  <c r="J191" i="315"/>
  <c r="W21" i="314"/>
  <c r="J201" i="315"/>
  <c r="M282" i="327" s="1"/>
  <c r="C282" i="327" s="1"/>
  <c r="L191" i="315"/>
  <c r="M203" i="315"/>
  <c r="P284" i="327" s="1"/>
  <c r="F284" i="327" s="1"/>
  <c r="O82" i="311"/>
  <c r="O9" i="314" s="1"/>
  <c r="P11" i="311"/>
  <c r="P15" i="311"/>
  <c r="O84" i="311"/>
  <c r="O21" i="314" s="1"/>
  <c r="L201" i="315" s="1"/>
  <c r="O282" i="327" s="1"/>
  <c r="E282" i="327" s="1"/>
  <c r="P25" i="311"/>
  <c r="P29" i="311"/>
  <c r="J61" i="200"/>
  <c r="J59" i="200"/>
  <c r="K64" i="200"/>
  <c r="P64" i="200" s="1"/>
  <c r="K62" i="200"/>
  <c r="Q62" i="200"/>
  <c r="O62" i="200"/>
  <c r="L64" i="200"/>
  <c r="Q64" i="200" s="1"/>
  <c r="L62" i="200"/>
  <c r="P62" i="200"/>
  <c r="F247" i="327" l="1"/>
  <c r="P247" i="327" s="1"/>
  <c r="O173" i="315"/>
  <c r="R54" i="314"/>
  <c r="R146" i="305"/>
  <c r="R148" i="305" s="1"/>
  <c r="R45" i="308" s="1"/>
  <c r="AF58" i="200"/>
  <c r="L50" i="315" s="1"/>
  <c r="E138" i="327" s="1"/>
  <c r="O138" i="327" s="1"/>
  <c r="AF49" i="200"/>
  <c r="L41" i="315" s="1"/>
  <c r="E129" i="327" s="1"/>
  <c r="O129" i="327" s="1"/>
  <c r="AE83" i="199"/>
  <c r="O40" i="315"/>
  <c r="P43" i="304"/>
  <c r="O14" i="305"/>
  <c r="O12" i="305" s="1"/>
  <c r="O45" i="304"/>
  <c r="N20" i="308"/>
  <c r="N19" i="305"/>
  <c r="N29" i="305"/>
  <c r="AF83" i="199"/>
  <c r="P84" i="311"/>
  <c r="P21" i="314" s="1"/>
  <c r="M201" i="315" s="1"/>
  <c r="P282" i="327" s="1"/>
  <c r="F282" i="327" s="1"/>
  <c r="Q25" i="311"/>
  <c r="Q29" i="311"/>
  <c r="Q83" i="311"/>
  <c r="R22" i="311"/>
  <c r="R83" i="311" s="1"/>
  <c r="R18" i="311"/>
  <c r="M191" i="315"/>
  <c r="P82" i="311"/>
  <c r="Q15" i="311"/>
  <c r="Q11" i="311"/>
  <c r="E188" i="327"/>
  <c r="T188" i="327" s="1"/>
  <c r="E34" i="327"/>
  <c r="N34" i="327" s="1"/>
  <c r="D125" i="327"/>
  <c r="N125" i="327" s="1"/>
  <c r="D34" i="327"/>
  <c r="M34" i="327" s="1"/>
  <c r="C125" i="327"/>
  <c r="M125" i="327" s="1"/>
  <c r="AE49" i="200"/>
  <c r="K41" i="315" s="1"/>
  <c r="D129" i="327" s="1"/>
  <c r="N129" i="327" s="1"/>
  <c r="K40" i="315"/>
  <c r="D128" i="327" s="1"/>
  <c r="N128" i="327" s="1"/>
  <c r="AE58" i="200"/>
  <c r="J443" i="315"/>
  <c r="C77" i="327" s="1"/>
  <c r="M77" i="327" s="1"/>
  <c r="D33" i="327"/>
  <c r="M33" i="327" s="1"/>
  <c r="Q33" i="327" s="1"/>
  <c r="P36" i="315"/>
  <c r="J40" i="315"/>
  <c r="C128" i="327" s="1"/>
  <c r="M128" i="327" s="1"/>
  <c r="AD49" i="200"/>
  <c r="J41" i="315" s="1"/>
  <c r="C129" i="327" s="1"/>
  <c r="M129" i="327" s="1"/>
  <c r="AD58" i="200"/>
  <c r="K443" i="315"/>
  <c r="D77" i="327" s="1"/>
  <c r="N77" i="327" s="1"/>
  <c r="E33" i="327"/>
  <c r="N33" i="327" s="1"/>
  <c r="W9" i="314"/>
  <c r="J189" i="315"/>
  <c r="M277" i="327" s="1"/>
  <c r="C277" i="327" s="1"/>
  <c r="L189" i="315"/>
  <c r="O277" i="327" s="1"/>
  <c r="E277" i="327" s="1"/>
  <c r="L190" i="315"/>
  <c r="J64" i="200"/>
  <c r="O64" i="200" s="1"/>
  <c r="J62" i="200"/>
  <c r="AF61" i="200" l="1"/>
  <c r="L53" i="315" s="1"/>
  <c r="E141" i="327" s="1"/>
  <c r="O141" i="327" s="1"/>
  <c r="O41" i="315"/>
  <c r="AF59" i="200"/>
  <c r="L51" i="315" s="1"/>
  <c r="E139" i="327" s="1"/>
  <c r="O139" i="327" s="1"/>
  <c r="O50" i="315"/>
  <c r="M190" i="315"/>
  <c r="P9" i="314"/>
  <c r="M189" i="315" s="1"/>
  <c r="P277" i="327" s="1"/>
  <c r="F277" i="327" s="1"/>
  <c r="Q43" i="304"/>
  <c r="P14" i="305"/>
  <c r="P12" i="305" s="1"/>
  <c r="P45" i="304"/>
  <c r="R29" i="311"/>
  <c r="R84" i="311" s="1"/>
  <c r="R21" i="314" s="1"/>
  <c r="Q84" i="311"/>
  <c r="Q21" i="314" s="1"/>
  <c r="R25" i="311"/>
  <c r="R15" i="311"/>
  <c r="R82" i="311" s="1"/>
  <c r="R9" i="314" s="1"/>
  <c r="Q82" i="311"/>
  <c r="Q9" i="314" s="1"/>
  <c r="R11" i="311"/>
  <c r="K50" i="315"/>
  <c r="D138" i="327" s="1"/>
  <c r="N138" i="327" s="1"/>
  <c r="AE59" i="200"/>
  <c r="K51" i="315" s="1"/>
  <c r="D139" i="327" s="1"/>
  <c r="N139" i="327" s="1"/>
  <c r="AE61" i="200"/>
  <c r="J50" i="315"/>
  <c r="C138" i="327" s="1"/>
  <c r="M138" i="327" s="1"/>
  <c r="AD61" i="200"/>
  <c r="AD59" i="200"/>
  <c r="J51" i="315" s="1"/>
  <c r="C139" i="327" s="1"/>
  <c r="M139" i="327" s="1"/>
  <c r="O51" i="315"/>
  <c r="L444" i="315"/>
  <c r="E78" i="327" s="1"/>
  <c r="O78" i="327" s="1"/>
  <c r="O53" i="315"/>
  <c r="AF62" i="200"/>
  <c r="L54" i="315" s="1"/>
  <c r="E142" i="327" s="1"/>
  <c r="O142" i="327" s="1"/>
  <c r="R43" i="304" l="1"/>
  <c r="Q14" i="305"/>
  <c r="Q12" i="305" s="1"/>
  <c r="Q45" i="304"/>
  <c r="AD62" i="200"/>
  <c r="J54" i="315" s="1"/>
  <c r="C142" i="327" s="1"/>
  <c r="M142" i="327" s="1"/>
  <c r="J53" i="315"/>
  <c r="C141" i="327" s="1"/>
  <c r="M141" i="327" s="1"/>
  <c r="AE62" i="200"/>
  <c r="K54" i="315" s="1"/>
  <c r="D142" i="327" s="1"/>
  <c r="N142" i="327" s="1"/>
  <c r="K53" i="315"/>
  <c r="O54" i="315"/>
  <c r="H190" i="56"/>
  <c r="H189" i="56"/>
  <c r="G40" i="311" s="1"/>
  <c r="R14" i="305" l="1"/>
  <c r="R12" i="305" s="1"/>
  <c r="R45" i="304"/>
  <c r="K444" i="315"/>
  <c r="D78" i="327" s="1"/>
  <c r="N78" i="327" s="1"/>
  <c r="D141" i="327"/>
  <c r="N141" i="327" s="1"/>
  <c r="J444" i="315"/>
  <c r="C78" i="327" s="1"/>
  <c r="M78" i="327" s="1"/>
  <c r="P53" i="315"/>
  <c r="H159" i="56"/>
  <c r="H204" i="312" s="1"/>
  <c r="H158" i="56"/>
  <c r="H199" i="312" s="1"/>
  <c r="H157" i="56"/>
  <c r="H198" i="312" s="1"/>
  <c r="H154" i="56"/>
  <c r="H187" i="312" s="1"/>
  <c r="H153" i="56"/>
  <c r="H182" i="312" s="1"/>
  <c r="H152" i="56"/>
  <c r="H181" i="312" s="1"/>
  <c r="H149" i="56"/>
  <c r="H170" i="312" s="1"/>
  <c r="H148" i="56"/>
  <c r="H165" i="312" s="1"/>
  <c r="H147" i="56"/>
  <c r="H164" i="312" s="1"/>
  <c r="H143" i="56"/>
  <c r="H146" i="312" s="1"/>
  <c r="H144" i="56"/>
  <c r="H151" i="312" s="1"/>
  <c r="H141" i="56"/>
  <c r="H144" i="312" s="1"/>
  <c r="H140" i="56"/>
  <c r="H143" i="312" s="1"/>
  <c r="H137" i="56"/>
  <c r="H132" i="312" s="1"/>
  <c r="H136" i="56"/>
  <c r="H127" i="312" s="1"/>
  <c r="H134" i="56"/>
  <c r="H125" i="312" s="1"/>
  <c r="H133" i="56"/>
  <c r="H124" i="312" s="1"/>
  <c r="H130" i="56"/>
  <c r="H113" i="312" s="1"/>
  <c r="H129" i="56"/>
  <c r="H108" i="312" s="1"/>
  <c r="H127" i="56"/>
  <c r="H106" i="312" s="1"/>
  <c r="H126" i="56"/>
  <c r="H105" i="312" s="1"/>
  <c r="H123" i="56"/>
  <c r="H94" i="312" s="1"/>
  <c r="H122" i="56"/>
  <c r="H89" i="312" s="1"/>
  <c r="H120" i="56"/>
  <c r="H87" i="312" s="1"/>
  <c r="H119" i="56"/>
  <c r="H86" i="312" s="1"/>
  <c r="H116" i="56"/>
  <c r="H75" i="312" s="1"/>
  <c r="H115" i="56"/>
  <c r="H70" i="312" s="1"/>
  <c r="H113" i="56"/>
  <c r="H68" i="312" s="1"/>
  <c r="H112" i="56"/>
  <c r="H67" i="312" s="1"/>
  <c r="H101" i="56"/>
  <c r="H32" i="312" s="1"/>
  <c r="H99" i="56"/>
  <c r="H30" i="312" s="1"/>
  <c r="H98" i="56"/>
  <c r="H29" i="312" s="1"/>
  <c r="K33" i="312" l="1"/>
  <c r="L33" i="312"/>
  <c r="J33" i="312"/>
  <c r="G155" i="312"/>
  <c r="G153" i="312"/>
  <c r="G152" i="312"/>
  <c r="G154" i="312"/>
  <c r="G172" i="312"/>
  <c r="G173" i="312"/>
  <c r="G171" i="312"/>
  <c r="G174" i="312"/>
  <c r="G188" i="312"/>
  <c r="G191" i="312"/>
  <c r="G189" i="312"/>
  <c r="G190" i="312"/>
  <c r="G205" i="312"/>
  <c r="G208" i="312"/>
  <c r="G206" i="312"/>
  <c r="G207" i="312"/>
  <c r="G133" i="312" l="1"/>
  <c r="G134" i="312"/>
  <c r="G136" i="312"/>
  <c r="G135" i="312"/>
  <c r="G115" i="312"/>
  <c r="G116" i="312"/>
  <c r="G117" i="312"/>
  <c r="G114" i="312"/>
  <c r="G95" i="312"/>
  <c r="G97" i="312"/>
  <c r="G96" i="312"/>
  <c r="G98" i="312"/>
  <c r="G77" i="312"/>
  <c r="G76" i="312"/>
  <c r="G78" i="312"/>
  <c r="G79" i="312"/>
  <c r="H199" i="56" l="1"/>
  <c r="H198" i="56"/>
  <c r="H197" i="56"/>
  <c r="H196" i="56"/>
  <c r="H14" i="56"/>
  <c r="H13" i="56"/>
  <c r="H12" i="56"/>
  <c r="H11" i="56"/>
  <c r="H10" i="56"/>
  <c r="H9" i="56"/>
  <c r="H8" i="56"/>
  <c r="A2" i="56"/>
  <c r="A1" i="56"/>
  <c r="M2" i="315" l="1"/>
  <c r="M2" i="200"/>
  <c r="H15" i="56"/>
  <c r="G27" i="308" l="1"/>
  <c r="G13" i="308"/>
  <c r="G62" i="311"/>
  <c r="G59" i="311"/>
  <c r="G61" i="311"/>
  <c r="G63" i="311"/>
  <c r="G60" i="311"/>
  <c r="G130" i="305"/>
  <c r="G128" i="305"/>
  <c r="G138" i="305"/>
  <c r="G121" i="305"/>
  <c r="G120" i="305"/>
  <c r="G131" i="305"/>
  <c r="G74" i="311"/>
  <c r="G71" i="311"/>
  <c r="G69" i="311"/>
  <c r="G77" i="311"/>
  <c r="G76" i="311"/>
  <c r="G72" i="311"/>
  <c r="G70" i="311"/>
  <c r="G75" i="311"/>
  <c r="G318" i="312"/>
  <c r="G314" i="312"/>
  <c r="G309" i="312"/>
  <c r="G305" i="312"/>
  <c r="G302" i="312"/>
  <c r="G315" i="312"/>
  <c r="G303" i="312"/>
  <c r="G310" i="312"/>
  <c r="G317" i="312"/>
  <c r="G313" i="312"/>
  <c r="G308" i="312"/>
  <c r="G304" i="312"/>
  <c r="G319" i="312"/>
  <c r="G306" i="312"/>
  <c r="G320" i="312"/>
  <c r="G316" i="312"/>
  <c r="G312" i="312"/>
  <c r="G307" i="312"/>
  <c r="G311" i="312"/>
  <c r="G159" i="312"/>
  <c r="G149" i="312"/>
  <c r="G143" i="312"/>
  <c r="G126" i="312"/>
  <c r="G145" i="312"/>
  <c r="G147" i="312"/>
  <c r="G144" i="312"/>
  <c r="G107" i="312"/>
  <c r="G146" i="312"/>
  <c r="G50" i="312"/>
  <c r="G88" i="312"/>
  <c r="G13" i="312"/>
  <c r="G10" i="312"/>
  <c r="G51" i="312"/>
  <c r="G25" i="312"/>
  <c r="G11" i="312"/>
  <c r="G12" i="312"/>
  <c r="G64" i="312"/>
  <c r="G54" i="312"/>
  <c r="G52" i="312"/>
  <c r="G48" i="312"/>
  <c r="G69" i="312"/>
  <c r="G15" i="312"/>
  <c r="G9" i="312"/>
  <c r="G31" i="312"/>
  <c r="G49" i="312"/>
  <c r="G285" i="312"/>
  <c r="G283" i="312"/>
  <c r="G250" i="312"/>
  <c r="G217" i="312"/>
  <c r="G215" i="312"/>
  <c r="G195" i="312"/>
  <c r="G185" i="312"/>
  <c r="G182" i="312"/>
  <c r="G140" i="312"/>
  <c r="G109" i="312"/>
  <c r="G105" i="312"/>
  <c r="G92" i="312"/>
  <c r="G87" i="312"/>
  <c r="G83" i="312"/>
  <c r="G33" i="312"/>
  <c r="G85" i="311"/>
  <c r="G90" i="311"/>
  <c r="G267" i="312"/>
  <c r="G246" i="312"/>
  <c r="G168" i="312"/>
  <c r="G130" i="312"/>
  <c r="G90" i="312"/>
  <c r="G70" i="312"/>
  <c r="G280" i="312"/>
  <c r="G268" i="312"/>
  <c r="G266" i="312"/>
  <c r="G234" i="312"/>
  <c r="G232" i="312"/>
  <c r="G212" i="312"/>
  <c r="G202" i="312"/>
  <c r="G199" i="312"/>
  <c r="G166" i="312"/>
  <c r="G164" i="312"/>
  <c r="G128" i="312"/>
  <c r="G124" i="312"/>
  <c r="G111" i="312"/>
  <c r="G106" i="312"/>
  <c r="G102" i="312"/>
  <c r="G89" i="312"/>
  <c r="G71" i="312"/>
  <c r="G67" i="312"/>
  <c r="G35" i="312"/>
  <c r="G32" i="312"/>
  <c r="G253" i="312"/>
  <c r="G233" i="312"/>
  <c r="G200" i="312"/>
  <c r="G198" i="312"/>
  <c r="G178" i="312"/>
  <c r="G165" i="312"/>
  <c r="G127" i="312"/>
  <c r="G73" i="312"/>
  <c r="G30" i="312"/>
  <c r="G297" i="312"/>
  <c r="G287" i="312"/>
  <c r="G284" i="312"/>
  <c r="G270" i="312"/>
  <c r="G263" i="312"/>
  <c r="G251" i="312"/>
  <c r="G249" i="312"/>
  <c r="G229" i="312"/>
  <c r="G219" i="312"/>
  <c r="G216" i="312"/>
  <c r="G183" i="312"/>
  <c r="G181" i="312"/>
  <c r="G125" i="312"/>
  <c r="G121" i="312"/>
  <c r="G108" i="312"/>
  <c r="G68" i="312"/>
  <c r="G45" i="312"/>
  <c r="G29" i="312"/>
  <c r="G236" i="312"/>
  <c r="G86" i="312"/>
  <c r="G99" i="311"/>
  <c r="G95" i="311"/>
  <c r="G89" i="311"/>
  <c r="G83" i="311"/>
  <c r="G53" i="311"/>
  <c r="G52" i="311"/>
  <c r="G42" i="311"/>
  <c r="G34" i="311"/>
  <c r="G32" i="311"/>
  <c r="G26" i="311"/>
  <c r="G19" i="311"/>
  <c r="G13" i="311"/>
  <c r="G31" i="308"/>
  <c r="G51" i="308"/>
  <c r="G48" i="308"/>
  <c r="G44" i="308"/>
  <c r="G38" i="308"/>
  <c r="G33" i="308"/>
  <c r="G24" i="308"/>
  <c r="G20" i="308"/>
  <c r="G12" i="308"/>
  <c r="G46" i="305"/>
  <c r="G32" i="308"/>
  <c r="G45" i="308"/>
  <c r="G25" i="308"/>
  <c r="G15" i="308"/>
  <c r="G102" i="311"/>
  <c r="G88" i="311"/>
  <c r="G51" i="311"/>
  <c r="G45" i="311"/>
  <c r="G36" i="311"/>
  <c r="G28" i="311"/>
  <c r="G21" i="311"/>
  <c r="G15" i="311"/>
  <c r="G11" i="311"/>
  <c r="G30" i="308"/>
  <c r="G14" i="308"/>
  <c r="G54" i="308"/>
  <c r="G47" i="308"/>
  <c r="G36" i="308"/>
  <c r="G28" i="308"/>
  <c r="G23" i="308"/>
  <c r="G19" i="308"/>
  <c r="G10" i="308"/>
  <c r="G39" i="305"/>
  <c r="G49" i="308"/>
  <c r="G34" i="308"/>
  <c r="G21" i="308"/>
  <c r="G101" i="311"/>
  <c r="G97" i="311"/>
  <c r="G96" i="311"/>
  <c r="G94" i="311"/>
  <c r="G87" i="311"/>
  <c r="G84" i="311"/>
  <c r="G82" i="311"/>
  <c r="G80" i="311"/>
  <c r="G44" i="311"/>
  <c r="G43" i="311"/>
  <c r="G41" i="311"/>
  <c r="G33" i="311"/>
  <c r="G27" i="311"/>
  <c r="G20" i="311"/>
  <c r="G12" i="311"/>
  <c r="G29" i="308"/>
  <c r="G11" i="308"/>
  <c r="G53" i="308"/>
  <c r="G50" i="308"/>
  <c r="G46" i="308"/>
  <c r="G41" i="308"/>
  <c r="G35" i="308"/>
  <c r="G26" i="308"/>
  <c r="G22" i="308"/>
  <c r="G17" i="308"/>
  <c r="G9" i="308"/>
  <c r="G38" i="305"/>
  <c r="G100" i="311"/>
  <c r="G54" i="311"/>
  <c r="G50" i="311"/>
  <c r="G35" i="311"/>
  <c r="G29" i="311"/>
  <c r="G25" i="311"/>
  <c r="G22" i="311"/>
  <c r="G18" i="311"/>
  <c r="G14" i="311"/>
  <c r="G16" i="308"/>
  <c r="G99" i="305"/>
  <c r="G98" i="305"/>
  <c r="G89" i="305"/>
  <c r="G79" i="305"/>
  <c r="G66" i="305"/>
  <c r="G56" i="305"/>
  <c r="G19" i="305"/>
  <c r="G16" i="305"/>
  <c r="G11" i="305"/>
  <c r="G108" i="305"/>
  <c r="G106" i="305"/>
  <c r="G68" i="305"/>
  <c r="G28" i="305"/>
  <c r="G116" i="305"/>
  <c r="G88" i="305"/>
  <c r="G78" i="305"/>
  <c r="G76" i="305"/>
  <c r="G59" i="305"/>
  <c r="G36" i="305"/>
  <c r="G18" i="305"/>
  <c r="M6" i="200"/>
  <c r="W6" i="199"/>
  <c r="G109" i="305"/>
  <c r="G86" i="305"/>
  <c r="G69" i="305"/>
  <c r="G58" i="305"/>
  <c r="G49" i="305"/>
  <c r="G48" i="305"/>
  <c r="G29" i="305"/>
  <c r="G26" i="305"/>
  <c r="G14" i="305"/>
  <c r="AB6" i="199"/>
  <c r="G96" i="305"/>
  <c r="G12" i="305"/>
  <c r="R6" i="200"/>
  <c r="R6" i="199"/>
  <c r="AG6" i="199"/>
  <c r="AB2" i="200"/>
  <c r="R2" i="200"/>
  <c r="AG2" i="200" s="1"/>
  <c r="W2" i="200"/>
  <c r="U6" i="200"/>
  <c r="AF6" i="200"/>
  <c r="Z6" i="200"/>
  <c r="O6" i="200"/>
  <c r="T6" i="199"/>
  <c r="T6" i="200"/>
  <c r="AE6" i="200"/>
  <c r="Y6" i="200"/>
  <c r="L6" i="200"/>
  <c r="AD6" i="200"/>
  <c r="Q6" i="200"/>
  <c r="K6" i="200"/>
  <c r="V6" i="200"/>
  <c r="AA6" i="200"/>
  <c r="P6" i="200"/>
  <c r="J6" i="200"/>
  <c r="U6" i="199"/>
  <c r="V6" i="199"/>
  <c r="AE6" i="199"/>
  <c r="Y6" i="199"/>
  <c r="L6" i="199"/>
  <c r="AD6" i="199"/>
  <c r="Q6" i="199"/>
  <c r="K6" i="199"/>
  <c r="AA6" i="199"/>
  <c r="P6" i="199"/>
  <c r="J6" i="199"/>
  <c r="AF6" i="199"/>
  <c r="Z6" i="199"/>
  <c r="O6" i="199"/>
  <c r="W10" i="1" l="1"/>
  <c r="W11" i="1" l="1"/>
  <c r="W9" i="1"/>
  <c r="A2" i="1"/>
  <c r="A1" i="1"/>
  <c r="J27" i="3"/>
  <c r="J17" i="3"/>
  <c r="J9" i="3"/>
  <c r="J1" i="315" s="1"/>
  <c r="A2" i="3"/>
  <c r="A1" i="3"/>
  <c r="K43" i="27"/>
  <c r="J1" i="314" l="1"/>
  <c r="J1" i="313"/>
  <c r="J1" i="312"/>
  <c r="J1" i="311"/>
  <c r="J1" i="310"/>
  <c r="J1" i="308"/>
  <c r="J1" i="305"/>
  <c r="J1" i="304"/>
  <c r="J28" i="3"/>
  <c r="W12" i="1"/>
  <c r="J1" i="200"/>
  <c r="J1" i="199"/>
  <c r="N11" i="1"/>
  <c r="J10" i="3"/>
  <c r="J2" i="315" s="1"/>
  <c r="J12" i="3"/>
  <c r="J18" i="3"/>
  <c r="J21" i="3"/>
  <c r="J22" i="3"/>
  <c r="J1" i="1"/>
  <c r="J31" i="3"/>
  <c r="O11" i="1" l="1"/>
  <c r="N12" i="1"/>
  <c r="J2" i="314"/>
  <c r="J2" i="313"/>
  <c r="J2" i="312"/>
  <c r="J2" i="311"/>
  <c r="J2" i="310"/>
  <c r="J2" i="308"/>
  <c r="J2" i="304"/>
  <c r="J2" i="305"/>
  <c r="O1" i="199"/>
  <c r="AD1" i="199" s="1"/>
  <c r="T1" i="199"/>
  <c r="Y1" i="199"/>
  <c r="Y1" i="200"/>
  <c r="T1" i="200"/>
  <c r="O1" i="200"/>
  <c r="AD1" i="200" s="1"/>
  <c r="J2" i="200"/>
  <c r="J2" i="199"/>
  <c r="J11" i="3"/>
  <c r="J2" i="1"/>
  <c r="K9" i="3"/>
  <c r="K1" i="315" s="1"/>
  <c r="J13" i="3"/>
  <c r="K17" i="3"/>
  <c r="J23" i="3"/>
  <c r="J24" i="3" s="1"/>
  <c r="J20" i="3"/>
  <c r="J19" i="3"/>
  <c r="J25" i="3" s="1"/>
  <c r="J32" i="3"/>
  <c r="J33" i="3" s="1"/>
  <c r="J29" i="3"/>
  <c r="J30" i="3"/>
  <c r="K27" i="3"/>
  <c r="P11" i="1" l="1"/>
  <c r="O12" i="1"/>
  <c r="J3" i="311"/>
  <c r="J3" i="315"/>
  <c r="J3" i="313"/>
  <c r="J3" i="314"/>
  <c r="J14" i="3"/>
  <c r="J286" i="315" s="1"/>
  <c r="M203" i="327" s="1"/>
  <c r="C203" i="327" s="1"/>
  <c r="K1" i="314"/>
  <c r="K1" i="313"/>
  <c r="J3" i="312"/>
  <c r="J3" i="308"/>
  <c r="J3" i="310"/>
  <c r="J44" i="311"/>
  <c r="J45" i="311" s="1"/>
  <c r="K41" i="311" s="1"/>
  <c r="J53" i="311"/>
  <c r="K1" i="312"/>
  <c r="K1" i="311"/>
  <c r="K1" i="310"/>
  <c r="K1" i="308"/>
  <c r="J3" i="305"/>
  <c r="J3" i="304"/>
  <c r="K1" i="305"/>
  <c r="K1" i="304"/>
  <c r="J34" i="3"/>
  <c r="J3" i="200"/>
  <c r="J3" i="199"/>
  <c r="T2" i="199"/>
  <c r="Y2" i="199"/>
  <c r="O2" i="199"/>
  <c r="AD2" i="199" s="1"/>
  <c r="K1" i="200"/>
  <c r="K1" i="199"/>
  <c r="O2" i="200"/>
  <c r="AD2" i="200" s="1"/>
  <c r="T2" i="200"/>
  <c r="Y2" i="200"/>
  <c r="J15" i="3"/>
  <c r="J4" i="315" s="1"/>
  <c r="J3" i="1"/>
  <c r="K10" i="3"/>
  <c r="K2" i="315" s="1"/>
  <c r="K12" i="3"/>
  <c r="K3" i="311" s="1"/>
  <c r="K61" i="311" s="1"/>
  <c r="K1" i="1"/>
  <c r="K28" i="3"/>
  <c r="K31" i="3"/>
  <c r="K22" i="3"/>
  <c r="K18" i="3"/>
  <c r="K21" i="3"/>
  <c r="Q11" i="1" l="1"/>
  <c r="P12" i="1"/>
  <c r="C45" i="327"/>
  <c r="M45" i="327" s="1"/>
  <c r="C46" i="327"/>
  <c r="M46" i="327" s="1"/>
  <c r="J61" i="311"/>
  <c r="J347" i="315"/>
  <c r="C208" i="327" s="1"/>
  <c r="M208" i="327" s="1"/>
  <c r="K2" i="314"/>
  <c r="K2" i="313"/>
  <c r="J4" i="313"/>
  <c r="J4" i="314"/>
  <c r="J4" i="312"/>
  <c r="J4" i="308"/>
  <c r="J4" i="310"/>
  <c r="J4" i="311"/>
  <c r="K2" i="312"/>
  <c r="K2" i="311"/>
  <c r="K2" i="310"/>
  <c r="K2" i="308"/>
  <c r="J100" i="311"/>
  <c r="J54" i="311"/>
  <c r="K2" i="305"/>
  <c r="K2" i="304"/>
  <c r="J4" i="304"/>
  <c r="J4" i="305"/>
  <c r="K2" i="200"/>
  <c r="K2" i="199"/>
  <c r="P1" i="199"/>
  <c r="AE1" i="199" s="1"/>
  <c r="Z1" i="199"/>
  <c r="U1" i="199"/>
  <c r="Z1" i="200"/>
  <c r="P1" i="200"/>
  <c r="AE1" i="200" s="1"/>
  <c r="U1" i="200"/>
  <c r="T3" i="199"/>
  <c r="O3" i="199"/>
  <c r="AD3" i="199" s="1"/>
  <c r="Y3" i="199"/>
  <c r="O3" i="200"/>
  <c r="AD3" i="200" s="1"/>
  <c r="T3" i="200"/>
  <c r="Y3" i="200"/>
  <c r="J4" i="200"/>
  <c r="J4" i="199"/>
  <c r="J4" i="1"/>
  <c r="K13" i="3"/>
  <c r="K2" i="1"/>
  <c r="K11" i="3"/>
  <c r="K3" i="315" s="1"/>
  <c r="L9" i="3"/>
  <c r="L1" i="315" s="1"/>
  <c r="L17" i="3"/>
  <c r="K23" i="3"/>
  <c r="K24" i="3" s="1"/>
  <c r="K20" i="3"/>
  <c r="K19" i="3"/>
  <c r="K25" i="3" s="1"/>
  <c r="K32" i="3"/>
  <c r="K33" i="3" s="1"/>
  <c r="K30" i="3"/>
  <c r="K29" i="3"/>
  <c r="L27" i="3"/>
  <c r="J148" i="305" l="1"/>
  <c r="R11" i="1"/>
  <c r="R12" i="1" s="1"/>
  <c r="Q12" i="1"/>
  <c r="J127" i="305"/>
  <c r="J137" i="305"/>
  <c r="J128" i="305"/>
  <c r="J138" i="305"/>
  <c r="L1" i="313"/>
  <c r="L1" i="314"/>
  <c r="J260" i="312"/>
  <c r="J192" i="312"/>
  <c r="J118" i="312"/>
  <c r="J277" i="312"/>
  <c r="J209" i="312"/>
  <c r="J137" i="312"/>
  <c r="J61" i="312"/>
  <c r="J243" i="312"/>
  <c r="J175" i="312"/>
  <c r="J99" i="312"/>
  <c r="J42" i="312"/>
  <c r="J294" i="312"/>
  <c r="J226" i="312"/>
  <c r="J156" i="312"/>
  <c r="J80" i="312"/>
  <c r="J22" i="312"/>
  <c r="K3" i="314"/>
  <c r="K3" i="313"/>
  <c r="K14" i="3"/>
  <c r="K286" i="315" s="1"/>
  <c r="J253" i="312"/>
  <c r="J236" i="312"/>
  <c r="J219" i="312"/>
  <c r="J270" i="312"/>
  <c r="J202" i="312"/>
  <c r="J287" i="312"/>
  <c r="J168" i="312"/>
  <c r="J185" i="312"/>
  <c r="J149" i="312"/>
  <c r="J111" i="312"/>
  <c r="J130" i="312"/>
  <c r="J73" i="312"/>
  <c r="J92" i="312"/>
  <c r="J54" i="312"/>
  <c r="J56" i="312" s="1"/>
  <c r="J35" i="312"/>
  <c r="J15" i="312"/>
  <c r="J17" i="312" s="1"/>
  <c r="L1" i="312"/>
  <c r="L1" i="308"/>
  <c r="L1" i="310"/>
  <c r="L1" i="311"/>
  <c r="K3" i="312"/>
  <c r="K3" i="310"/>
  <c r="K3" i="308"/>
  <c r="K44" i="311"/>
  <c r="K45" i="311" s="1"/>
  <c r="L41" i="311" s="1"/>
  <c r="K53" i="311"/>
  <c r="K100" i="311" s="1"/>
  <c r="J88" i="311"/>
  <c r="K50" i="311"/>
  <c r="J45" i="305"/>
  <c r="J46" i="305"/>
  <c r="J24" i="308" s="1"/>
  <c r="L1" i="305"/>
  <c r="L1" i="304"/>
  <c r="J16" i="305"/>
  <c r="J65" i="305"/>
  <c r="J56" i="305"/>
  <c r="J25" i="308" s="1"/>
  <c r="J75" i="305"/>
  <c r="J55" i="305"/>
  <c r="J105" i="305"/>
  <c r="J35" i="305"/>
  <c r="J106" i="305"/>
  <c r="J34" i="308" s="1"/>
  <c r="J115" i="305"/>
  <c r="J25" i="305"/>
  <c r="J66" i="305"/>
  <c r="J26" i="308" s="1"/>
  <c r="J85" i="305"/>
  <c r="J95" i="305"/>
  <c r="J26" i="305"/>
  <c r="J21" i="308" s="1"/>
  <c r="J36" i="305"/>
  <c r="J22" i="308" s="1"/>
  <c r="J96" i="305"/>
  <c r="J33" i="308" s="1"/>
  <c r="J116" i="305"/>
  <c r="J35" i="308" s="1"/>
  <c r="J86" i="305"/>
  <c r="J30" i="308" s="1"/>
  <c r="J19" i="305"/>
  <c r="J20" i="305" s="1"/>
  <c r="J76" i="305"/>
  <c r="J27" i="308" s="1"/>
  <c r="J29" i="305"/>
  <c r="J30" i="305" s="1"/>
  <c r="K34" i="3"/>
  <c r="K3" i="305"/>
  <c r="K3" i="304"/>
  <c r="J30" i="304"/>
  <c r="J32" i="304"/>
  <c r="P2" i="199"/>
  <c r="AE2" i="199" s="1"/>
  <c r="U2" i="199"/>
  <c r="Z2" i="199"/>
  <c r="T4" i="199"/>
  <c r="O4" i="199"/>
  <c r="AD4" i="199" s="1"/>
  <c r="Y4" i="199"/>
  <c r="P2" i="200"/>
  <c r="AE2" i="200" s="1"/>
  <c r="U2" i="200"/>
  <c r="Z2" i="200"/>
  <c r="Y4" i="200"/>
  <c r="O4" i="200"/>
  <c r="AD4" i="200" s="1"/>
  <c r="T4" i="200"/>
  <c r="L1" i="200"/>
  <c r="L1" i="199"/>
  <c r="K3" i="200"/>
  <c r="K3" i="199"/>
  <c r="L1" i="1"/>
  <c r="L10" i="3"/>
  <c r="L2" i="315" s="1"/>
  <c r="L12" i="3"/>
  <c r="L3" i="311" s="1"/>
  <c r="K15" i="3"/>
  <c r="K4" i="315" s="1"/>
  <c r="K3" i="1"/>
  <c r="L28" i="3"/>
  <c r="L31" i="3"/>
  <c r="L22" i="3"/>
  <c r="L18" i="3"/>
  <c r="L21" i="3"/>
  <c r="J8" i="305" l="1"/>
  <c r="K347" i="315"/>
  <c r="D208" i="327" s="1"/>
  <c r="N208" i="327" s="1"/>
  <c r="N203" i="327"/>
  <c r="D203" i="327" s="1"/>
  <c r="D45" i="327"/>
  <c r="N45" i="327" s="1"/>
  <c r="D46" i="327"/>
  <c r="N46" i="327" s="1"/>
  <c r="L61" i="311"/>
  <c r="V61" i="311" s="1"/>
  <c r="V59" i="311"/>
  <c r="V63" i="311"/>
  <c r="V60" i="311"/>
  <c r="V41" i="311"/>
  <c r="V102" i="311"/>
  <c r="V83" i="311"/>
  <c r="V101" i="311"/>
  <c r="V97" i="311"/>
  <c r="V95" i="311"/>
  <c r="V89" i="311"/>
  <c r="V84" i="311"/>
  <c r="V99" i="311"/>
  <c r="V96" i="311"/>
  <c r="V94" i="311"/>
  <c r="V87" i="311"/>
  <c r="V76" i="311"/>
  <c r="V74" i="311"/>
  <c r="V36" i="311"/>
  <c r="V32" i="311"/>
  <c r="V29" i="311"/>
  <c r="V25" i="311"/>
  <c r="V21" i="311"/>
  <c r="V17" i="311"/>
  <c r="V15" i="311"/>
  <c r="V11" i="311"/>
  <c r="V80" i="311"/>
  <c r="V51" i="311"/>
  <c r="V42" i="311"/>
  <c r="V33" i="311"/>
  <c r="V30" i="311"/>
  <c r="V26" i="311"/>
  <c r="V22" i="311"/>
  <c r="V18" i="311"/>
  <c r="V16" i="311"/>
  <c r="V12" i="311"/>
  <c r="V70" i="311"/>
  <c r="V52" i="311"/>
  <c r="V43" i="311"/>
  <c r="V34" i="311"/>
  <c r="V27" i="311"/>
  <c r="V23" i="311"/>
  <c r="V19" i="311"/>
  <c r="V13" i="311"/>
  <c r="V82" i="311"/>
  <c r="V75" i="311"/>
  <c r="V71" i="311"/>
  <c r="V69" i="311"/>
  <c r="V35" i="311"/>
  <c r="V31" i="311"/>
  <c r="V28" i="311"/>
  <c r="V24" i="311"/>
  <c r="V20" i="311"/>
  <c r="V14" i="311"/>
  <c r="K4" i="313"/>
  <c r="K4" i="314"/>
  <c r="L2" i="313"/>
  <c r="L2" i="314"/>
  <c r="J20" i="308"/>
  <c r="J19" i="308" s="1"/>
  <c r="J23" i="312"/>
  <c r="J25" i="312" s="1"/>
  <c r="J302" i="312" s="1"/>
  <c r="J369" i="315" s="1"/>
  <c r="J21" i="312"/>
  <c r="J18" i="312"/>
  <c r="J19" i="312"/>
  <c r="J20" i="312"/>
  <c r="J62" i="312"/>
  <c r="J64" i="312" s="1"/>
  <c r="J304" i="312" s="1"/>
  <c r="J372" i="315" s="1"/>
  <c r="J371" i="315"/>
  <c r="J59" i="312"/>
  <c r="J58" i="312"/>
  <c r="J57" i="312"/>
  <c r="J60" i="312"/>
  <c r="K54" i="311"/>
  <c r="K88" i="311" s="1"/>
  <c r="K4" i="312"/>
  <c r="K4" i="308"/>
  <c r="K4" i="311"/>
  <c r="K4" i="310"/>
  <c r="L2" i="312"/>
  <c r="L2" i="308"/>
  <c r="L2" i="310"/>
  <c r="L2" i="311"/>
  <c r="L44" i="311"/>
  <c r="V44" i="311" s="1"/>
  <c r="V10" i="311"/>
  <c r="L53" i="311"/>
  <c r="V53" i="311" s="1"/>
  <c r="J8" i="304"/>
  <c r="J15" i="308"/>
  <c r="J23" i="308"/>
  <c r="L2" i="305"/>
  <c r="L2" i="304"/>
  <c r="K4" i="304"/>
  <c r="K4" i="305"/>
  <c r="J33" i="305"/>
  <c r="J31" i="305"/>
  <c r="J32" i="305"/>
  <c r="J34" i="305"/>
  <c r="J21" i="305"/>
  <c r="J23" i="305"/>
  <c r="J24" i="305"/>
  <c r="J22" i="305"/>
  <c r="P3" i="200"/>
  <c r="AE3" i="200" s="1"/>
  <c r="Z3" i="200"/>
  <c r="U3" i="200"/>
  <c r="V1" i="199"/>
  <c r="Q1" i="199"/>
  <c r="AF1" i="199" s="1"/>
  <c r="AA1" i="199"/>
  <c r="K4" i="200"/>
  <c r="K4" i="199"/>
  <c r="L2" i="200"/>
  <c r="L2" i="199"/>
  <c r="P3" i="199"/>
  <c r="AE3" i="199" s="1"/>
  <c r="U3" i="199"/>
  <c r="Z3" i="199"/>
  <c r="Q1" i="200"/>
  <c r="AF1" i="200" s="1"/>
  <c r="AA1" i="200"/>
  <c r="V1" i="200"/>
  <c r="L2" i="1"/>
  <c r="L13" i="3"/>
  <c r="M9" i="3"/>
  <c r="L11" i="3"/>
  <c r="L3" i="315" s="1"/>
  <c r="K4" i="1"/>
  <c r="L23" i="3"/>
  <c r="L24" i="3" s="1"/>
  <c r="L20" i="3"/>
  <c r="L19" i="3"/>
  <c r="L25" i="3" s="1"/>
  <c r="M17" i="3"/>
  <c r="L32" i="3"/>
  <c r="L33" i="3" s="1"/>
  <c r="L30" i="3"/>
  <c r="L29" i="3"/>
  <c r="M27" i="3"/>
  <c r="K148" i="305" l="1"/>
  <c r="M1" i="315"/>
  <c r="M1" i="305"/>
  <c r="N198" i="315"/>
  <c r="N199" i="315"/>
  <c r="N223" i="315"/>
  <c r="N197" i="315"/>
  <c r="N224" i="315"/>
  <c r="N234" i="315"/>
  <c r="N17" i="315"/>
  <c r="N200" i="315"/>
  <c r="N253" i="315"/>
  <c r="Q316" i="327" s="1"/>
  <c r="G316" i="327" s="1"/>
  <c r="N210" i="315"/>
  <c r="N192" i="315"/>
  <c r="N15" i="315"/>
  <c r="G103" i="327" s="1"/>
  <c r="Q103" i="327" s="1"/>
  <c r="N25" i="315"/>
  <c r="G113" i="327" s="1"/>
  <c r="Q113" i="327" s="1"/>
  <c r="N12" i="315"/>
  <c r="G100" i="327" s="1"/>
  <c r="Q100" i="327" s="1"/>
  <c r="N45" i="315"/>
  <c r="G133" i="327" s="1"/>
  <c r="Q133" i="327" s="1"/>
  <c r="N11" i="315"/>
  <c r="G99" i="327" s="1"/>
  <c r="Q99" i="327" s="1"/>
  <c r="N30" i="315"/>
  <c r="G118" i="327" s="1"/>
  <c r="Q118" i="327" s="1"/>
  <c r="N13" i="315"/>
  <c r="G101" i="327" s="1"/>
  <c r="Q101" i="327" s="1"/>
  <c r="N26" i="315"/>
  <c r="G114" i="327" s="1"/>
  <c r="Q114" i="327" s="1"/>
  <c r="N48" i="315"/>
  <c r="G136" i="327" s="1"/>
  <c r="Q136" i="327" s="1"/>
  <c r="N24" i="315"/>
  <c r="G112" i="327" s="1"/>
  <c r="Q112" i="327" s="1"/>
  <c r="N257" i="315"/>
  <c r="N237" i="315"/>
  <c r="N258" i="315"/>
  <c r="N232" i="315"/>
  <c r="Q301" i="327" s="1"/>
  <c r="G301" i="327" s="1"/>
  <c r="N226" i="315"/>
  <c r="N228" i="315"/>
  <c r="N20" i="315"/>
  <c r="G108" i="327" s="1"/>
  <c r="Q108" i="327" s="1"/>
  <c r="N207" i="315"/>
  <c r="N238" i="315"/>
  <c r="N21" i="315"/>
  <c r="G109" i="327" s="1"/>
  <c r="Q109" i="327" s="1"/>
  <c r="N251" i="315"/>
  <c r="N256" i="315"/>
  <c r="N204" i="315"/>
  <c r="N239" i="315"/>
  <c r="Q304" i="327" s="1"/>
  <c r="G304" i="327" s="1"/>
  <c r="N202" i="315"/>
  <c r="Q283" i="327" s="1"/>
  <c r="G283" i="327" s="1"/>
  <c r="N46" i="315"/>
  <c r="G134" i="327" s="1"/>
  <c r="Q134" i="327" s="1"/>
  <c r="N43" i="315"/>
  <c r="G131" i="327" s="1"/>
  <c r="Q131" i="327" s="1"/>
  <c r="N19" i="315"/>
  <c r="G107" i="327" s="1"/>
  <c r="Q107" i="327" s="1"/>
  <c r="N52" i="315"/>
  <c r="G140" i="327" s="1"/>
  <c r="Q140" i="327" s="1"/>
  <c r="N27" i="315"/>
  <c r="G115" i="327" s="1"/>
  <c r="Q115" i="327" s="1"/>
  <c r="N23" i="315"/>
  <c r="G111" i="327" s="1"/>
  <c r="Q111" i="327" s="1"/>
  <c r="N33" i="315"/>
  <c r="G121" i="327" s="1"/>
  <c r="Q121" i="327" s="1"/>
  <c r="N29" i="315"/>
  <c r="G117" i="327" s="1"/>
  <c r="Q117" i="327" s="1"/>
  <c r="N47" i="315"/>
  <c r="G135" i="327" s="1"/>
  <c r="Q135" i="327" s="1"/>
  <c r="N22" i="315"/>
  <c r="G110" i="327" s="1"/>
  <c r="Q110" i="327" s="1"/>
  <c r="N38" i="315"/>
  <c r="G126" i="327" s="1"/>
  <c r="Q126" i="327" s="1"/>
  <c r="N18" i="315"/>
  <c r="G106" i="327" s="1"/>
  <c r="Q106" i="327" s="1"/>
  <c r="N32" i="315"/>
  <c r="G120" i="327" s="1"/>
  <c r="Q120" i="327" s="1"/>
  <c r="N14" i="315"/>
  <c r="G102" i="327" s="1"/>
  <c r="Q102" i="327" s="1"/>
  <c r="N10" i="315"/>
  <c r="G98" i="327" s="1"/>
  <c r="Q98" i="327" s="1"/>
  <c r="N31" i="315"/>
  <c r="G119" i="327" s="1"/>
  <c r="Q119" i="327" s="1"/>
  <c r="N28" i="315"/>
  <c r="G116" i="327" s="1"/>
  <c r="Q116" i="327" s="1"/>
  <c r="N206" i="315"/>
  <c r="N44" i="315"/>
  <c r="G132" i="327" s="1"/>
  <c r="Q132" i="327" s="1"/>
  <c r="N34" i="315"/>
  <c r="G122" i="327" s="1"/>
  <c r="Q122" i="327" s="1"/>
  <c r="N254" i="315"/>
  <c r="N49" i="315"/>
  <c r="G137" i="327" s="1"/>
  <c r="Q137" i="327" s="1"/>
  <c r="N229" i="315"/>
  <c r="Q298" i="327" s="1"/>
  <c r="G298" i="327" s="1"/>
  <c r="N227" i="315"/>
  <c r="Q297" i="327" s="1"/>
  <c r="G297" i="327" s="1"/>
  <c r="N205" i="315"/>
  <c r="N236" i="315"/>
  <c r="N208" i="315"/>
  <c r="N255" i="315"/>
  <c r="N16" i="315"/>
  <c r="G104" i="327" s="1"/>
  <c r="Q104" i="327" s="1"/>
  <c r="N9" i="315"/>
  <c r="G97" i="327" s="1"/>
  <c r="Q97" i="327" s="1"/>
  <c r="N235" i="315"/>
  <c r="Q303" i="327" s="1"/>
  <c r="G303" i="327" s="1"/>
  <c r="N259" i="315"/>
  <c r="N37" i="315"/>
  <c r="G125" i="327" s="1"/>
  <c r="Q125" i="327" s="1"/>
  <c r="N203" i="315"/>
  <c r="Q284" i="327" s="1"/>
  <c r="G284" i="327" s="1"/>
  <c r="N195" i="315"/>
  <c r="Q280" i="327" s="1"/>
  <c r="G280" i="327" s="1"/>
  <c r="N194" i="315"/>
  <c r="Q279" i="327" s="1"/>
  <c r="G279" i="327" s="1"/>
  <c r="N225" i="315"/>
  <c r="Q296" i="327" s="1"/>
  <c r="G296" i="327" s="1"/>
  <c r="N201" i="315"/>
  <c r="Q282" i="327" s="1"/>
  <c r="G282" i="327" s="1"/>
  <c r="N191" i="315"/>
  <c r="N36" i="315"/>
  <c r="G124" i="327" s="1"/>
  <c r="Q124" i="327" s="1"/>
  <c r="N41" i="315"/>
  <c r="G129" i="327" s="1"/>
  <c r="Q129" i="327" s="1"/>
  <c r="N40" i="315"/>
  <c r="G128" i="327" s="1"/>
  <c r="Q128" i="327" s="1"/>
  <c r="N190" i="315"/>
  <c r="N51" i="315"/>
  <c r="G139" i="327" s="1"/>
  <c r="Q139" i="327" s="1"/>
  <c r="N189" i="315"/>
  <c r="Q277" i="327" s="1"/>
  <c r="G277" i="327" s="1"/>
  <c r="N54" i="315"/>
  <c r="G142" i="327" s="1"/>
  <c r="Q142" i="327" s="1"/>
  <c r="N50" i="315"/>
  <c r="G138" i="327" s="1"/>
  <c r="Q138" i="327" s="1"/>
  <c r="N53" i="315"/>
  <c r="G141" i="327" s="1"/>
  <c r="Q141" i="327" s="1"/>
  <c r="J131" i="305"/>
  <c r="J132" i="305" s="1"/>
  <c r="J109" i="305"/>
  <c r="J121" i="305"/>
  <c r="J122" i="305" s="1"/>
  <c r="K137" i="305"/>
  <c r="K127" i="305"/>
  <c r="K128" i="305"/>
  <c r="K138" i="305"/>
  <c r="L14" i="3"/>
  <c r="L286" i="315" s="1"/>
  <c r="L3" i="314"/>
  <c r="L3" i="313"/>
  <c r="V24" i="313" s="1"/>
  <c r="M1" i="313"/>
  <c r="M1" i="314"/>
  <c r="K277" i="312"/>
  <c r="K209" i="312"/>
  <c r="K137" i="312"/>
  <c r="K61" i="312"/>
  <c r="K260" i="312"/>
  <c r="K192" i="312"/>
  <c r="K118" i="312"/>
  <c r="K294" i="312"/>
  <c r="K226" i="312"/>
  <c r="K156" i="312"/>
  <c r="K80" i="312"/>
  <c r="K22" i="312"/>
  <c r="K243" i="312"/>
  <c r="K175" i="312"/>
  <c r="K99" i="312"/>
  <c r="K42" i="312"/>
  <c r="J146" i="312"/>
  <c r="J147" i="312" s="1"/>
  <c r="J151" i="312" s="1"/>
  <c r="J127" i="312"/>
  <c r="J128" i="312" s="1"/>
  <c r="J132" i="312" s="1"/>
  <c r="J108" i="312"/>
  <c r="J109" i="312" s="1"/>
  <c r="J113" i="312" s="1"/>
  <c r="J249" i="312"/>
  <c r="J215" i="312"/>
  <c r="J217" i="312" s="1"/>
  <c r="J181" i="312"/>
  <c r="J266" i="312"/>
  <c r="J283" i="312"/>
  <c r="J232" i="312"/>
  <c r="J198" i="312"/>
  <c r="J164" i="312"/>
  <c r="J284" i="312"/>
  <c r="J285" i="312" s="1"/>
  <c r="J233" i="312"/>
  <c r="J234" i="312" s="1"/>
  <c r="J199" i="312"/>
  <c r="J200" i="312" s="1"/>
  <c r="J250" i="312"/>
  <c r="J251" i="312" s="1"/>
  <c r="J216" i="312"/>
  <c r="J182" i="312"/>
  <c r="J183" i="312" s="1"/>
  <c r="J165" i="312"/>
  <c r="J166" i="312" s="1"/>
  <c r="J267" i="312"/>
  <c r="J268" i="312" s="1"/>
  <c r="K202" i="312"/>
  <c r="K270" i="312"/>
  <c r="K253" i="312"/>
  <c r="K236" i="312"/>
  <c r="K219" i="312"/>
  <c r="K287" i="312"/>
  <c r="K168" i="312"/>
  <c r="K185" i="312"/>
  <c r="K149" i="312"/>
  <c r="K111" i="312"/>
  <c r="K130" i="312"/>
  <c r="K73" i="312"/>
  <c r="K92" i="312"/>
  <c r="J89" i="312"/>
  <c r="J90" i="312" s="1"/>
  <c r="J94" i="312" s="1"/>
  <c r="J100" i="312" s="1"/>
  <c r="J70" i="312"/>
  <c r="J71" i="312" s="1"/>
  <c r="J75" i="312" s="1"/>
  <c r="J51" i="312"/>
  <c r="J32" i="312"/>
  <c r="J12" i="312"/>
  <c r="K15" i="312"/>
  <c r="K17" i="312" s="1"/>
  <c r="K54" i="312"/>
  <c r="K56" i="312" s="1"/>
  <c r="K35" i="312"/>
  <c r="J17" i="308"/>
  <c r="J266" i="315" s="1"/>
  <c r="J37" i="312"/>
  <c r="L50" i="311"/>
  <c r="V50" i="311" s="1"/>
  <c r="L45" i="311"/>
  <c r="L3" i="312"/>
  <c r="L3" i="310"/>
  <c r="V13" i="310" s="1"/>
  <c r="L3" i="308"/>
  <c r="M1" i="312"/>
  <c r="M1" i="308"/>
  <c r="M1" i="311"/>
  <c r="M1" i="310"/>
  <c r="L100" i="311"/>
  <c r="V100" i="311" s="1"/>
  <c r="J79" i="305"/>
  <c r="J69" i="305"/>
  <c r="J59" i="305"/>
  <c r="J99" i="305"/>
  <c r="J39" i="305"/>
  <c r="J89" i="305"/>
  <c r="J49" i="305"/>
  <c r="J36" i="308"/>
  <c r="K45" i="305"/>
  <c r="K46" i="305"/>
  <c r="K24" i="308" s="1"/>
  <c r="M1" i="200"/>
  <c r="M1" i="304"/>
  <c r="M1" i="199"/>
  <c r="K65" i="305"/>
  <c r="K16" i="305"/>
  <c r="K106" i="305"/>
  <c r="K34" i="308" s="1"/>
  <c r="K66" i="305"/>
  <c r="K26" i="308" s="1"/>
  <c r="K55" i="305"/>
  <c r="K95" i="305"/>
  <c r="K25" i="305"/>
  <c r="K35" i="305"/>
  <c r="K115" i="305"/>
  <c r="K85" i="305"/>
  <c r="K105" i="305"/>
  <c r="K75" i="305"/>
  <c r="K56" i="305"/>
  <c r="K25" i="308" s="1"/>
  <c r="K36" i="305"/>
  <c r="K22" i="308" s="1"/>
  <c r="K26" i="305"/>
  <c r="K21" i="308" s="1"/>
  <c r="K116" i="305"/>
  <c r="K35" i="308" s="1"/>
  <c r="K86" i="305"/>
  <c r="K30" i="308" s="1"/>
  <c r="K76" i="305"/>
  <c r="K27" i="308" s="1"/>
  <c r="K96" i="305"/>
  <c r="K33" i="308" s="1"/>
  <c r="K29" i="305"/>
  <c r="K30" i="305" s="1"/>
  <c r="K19" i="305"/>
  <c r="K20" i="305" s="1"/>
  <c r="K30" i="304"/>
  <c r="K32" i="304"/>
  <c r="L34" i="3"/>
  <c r="L3" i="304"/>
  <c r="L3" i="305"/>
  <c r="Q2" i="199"/>
  <c r="AF2" i="199" s="1"/>
  <c r="AA2" i="199"/>
  <c r="V2" i="199"/>
  <c r="Z4" i="199"/>
  <c r="P4" i="199"/>
  <c r="AE4" i="199" s="1"/>
  <c r="U4" i="199"/>
  <c r="L3" i="200"/>
  <c r="L3" i="199"/>
  <c r="Q2" i="200"/>
  <c r="AF2" i="200" s="1"/>
  <c r="V2" i="200"/>
  <c r="AA2" i="200"/>
  <c r="P4" i="200"/>
  <c r="AE4" i="200" s="1"/>
  <c r="Z4" i="200"/>
  <c r="U4" i="200"/>
  <c r="M10" i="3"/>
  <c r="M1" i="1"/>
  <c r="M12" i="3"/>
  <c r="M3" i="311" s="1"/>
  <c r="M61" i="311" s="1"/>
  <c r="M34" i="304" s="1"/>
  <c r="L3" i="1"/>
  <c r="L15" i="3"/>
  <c r="L4" i="315" s="1"/>
  <c r="M22" i="3"/>
  <c r="M18" i="3"/>
  <c r="M21" i="3"/>
  <c r="M28" i="3"/>
  <c r="M31" i="3"/>
  <c r="W143" i="305" l="1"/>
  <c r="W142" i="305"/>
  <c r="W144" i="305"/>
  <c r="K8" i="305"/>
  <c r="M63" i="311"/>
  <c r="M70" i="314" s="1"/>
  <c r="M2" i="199"/>
  <c r="M2" i="305"/>
  <c r="L347" i="315"/>
  <c r="E208" i="327" s="1"/>
  <c r="O208" i="327" s="1"/>
  <c r="O203" i="327"/>
  <c r="E203" i="327" s="1"/>
  <c r="W61" i="311"/>
  <c r="M4" i="327"/>
  <c r="C4" i="327"/>
  <c r="E45" i="327"/>
  <c r="O45" i="327" s="1"/>
  <c r="C39" i="327"/>
  <c r="M39" i="327" s="1"/>
  <c r="E24" i="327"/>
  <c r="O24" i="327" s="1"/>
  <c r="E23" i="327"/>
  <c r="O23" i="327" s="1"/>
  <c r="J125" i="305"/>
  <c r="J124" i="305"/>
  <c r="J123" i="305"/>
  <c r="J126" i="305"/>
  <c r="J134" i="305"/>
  <c r="J136" i="305"/>
  <c r="J133" i="305"/>
  <c r="J135" i="305"/>
  <c r="W129" i="305"/>
  <c r="W119" i="305"/>
  <c r="W130" i="305"/>
  <c r="W120" i="305"/>
  <c r="V42" i="313"/>
  <c r="V36" i="313"/>
  <c r="V32" i="313"/>
  <c r="V27" i="313"/>
  <c r="V23" i="313"/>
  <c r="V19" i="313"/>
  <c r="V13" i="313"/>
  <c r="V8" i="313"/>
  <c r="V43" i="313"/>
  <c r="V37" i="313"/>
  <c r="V33" i="313"/>
  <c r="V28" i="313"/>
  <c r="V20" i="313"/>
  <c r="V18" i="313"/>
  <c r="V15" i="313"/>
  <c r="V45" i="313"/>
  <c r="V38" i="313"/>
  <c r="V34" i="313"/>
  <c r="V29" i="313"/>
  <c r="V25" i="313"/>
  <c r="V21" i="313"/>
  <c r="V17" i="313"/>
  <c r="V14" i="313"/>
  <c r="V11" i="313"/>
  <c r="V9" i="313"/>
  <c r="V44" i="313"/>
  <c r="V39" i="313"/>
  <c r="V35" i="313"/>
  <c r="V31" i="313"/>
  <c r="V26" i="313"/>
  <c r="V22" i="313"/>
  <c r="V16" i="313"/>
  <c r="V12" i="313"/>
  <c r="V10" i="313"/>
  <c r="V7" i="313"/>
  <c r="AI33" i="199"/>
  <c r="AI17" i="199"/>
  <c r="AI38" i="199"/>
  <c r="AI23" i="199"/>
  <c r="AI18" i="199"/>
  <c r="AI32" i="199"/>
  <c r="AI19" i="199"/>
  <c r="AI20" i="199"/>
  <c r="V288" i="312"/>
  <c r="V281" i="312"/>
  <c r="V269" i="312"/>
  <c r="V254" i="312"/>
  <c r="V247" i="312"/>
  <c r="V235" i="312"/>
  <c r="V220" i="312"/>
  <c r="V213" i="312"/>
  <c r="V201" i="312"/>
  <c r="V186" i="312"/>
  <c r="V179" i="312"/>
  <c r="V167" i="312"/>
  <c r="V158" i="312"/>
  <c r="V150" i="312"/>
  <c r="V142" i="312"/>
  <c r="V126" i="312"/>
  <c r="V122" i="312"/>
  <c r="V110" i="312"/>
  <c r="V106" i="312"/>
  <c r="V296" i="312"/>
  <c r="V282" i="312"/>
  <c r="V262" i="312"/>
  <c r="V248" i="312"/>
  <c r="V228" i="312"/>
  <c r="V214" i="312"/>
  <c r="V194" i="312"/>
  <c r="V180" i="312"/>
  <c r="V143" i="312"/>
  <c r="V139" i="312"/>
  <c r="V131" i="312"/>
  <c r="V123" i="312"/>
  <c r="V107" i="312"/>
  <c r="V103" i="312"/>
  <c r="V286" i="312"/>
  <c r="V271" i="312"/>
  <c r="V264" i="312"/>
  <c r="V252" i="312"/>
  <c r="V237" i="312"/>
  <c r="V230" i="312"/>
  <c r="V218" i="312"/>
  <c r="V203" i="312"/>
  <c r="V196" i="312"/>
  <c r="V184" i="312"/>
  <c r="V169" i="312"/>
  <c r="V162" i="312"/>
  <c r="V148" i="312"/>
  <c r="V144" i="312"/>
  <c r="V124" i="312"/>
  <c r="V120" i="312"/>
  <c r="V112" i="312"/>
  <c r="V104" i="312"/>
  <c r="V279" i="312"/>
  <c r="V265" i="312"/>
  <c r="V245" i="312"/>
  <c r="V231" i="312"/>
  <c r="V211" i="312"/>
  <c r="V197" i="312"/>
  <c r="V177" i="312"/>
  <c r="V163" i="312"/>
  <c r="V145" i="312"/>
  <c r="V141" i="312"/>
  <c r="V129" i="312"/>
  <c r="V125" i="312"/>
  <c r="V105" i="312"/>
  <c r="V101" i="312"/>
  <c r="V93" i="312"/>
  <c r="V85" i="312"/>
  <c r="V69" i="312"/>
  <c r="V65" i="312"/>
  <c r="V53" i="312"/>
  <c r="V49" i="312"/>
  <c r="V44" i="312"/>
  <c r="V36" i="312"/>
  <c r="V28" i="312"/>
  <c r="V24" i="312"/>
  <c r="V16" i="312"/>
  <c r="V86" i="312"/>
  <c r="V82" i="312"/>
  <c r="V74" i="312"/>
  <c r="V66" i="312"/>
  <c r="V50" i="312"/>
  <c r="V46" i="312"/>
  <c r="V29" i="312"/>
  <c r="V91" i="312"/>
  <c r="V87" i="312"/>
  <c r="V67" i="312"/>
  <c r="V63" i="312"/>
  <c r="V55" i="312"/>
  <c r="V47" i="312"/>
  <c r="V34" i="312"/>
  <c r="V30" i="312"/>
  <c r="V26" i="312"/>
  <c r="V14" i="312"/>
  <c r="V10" i="312"/>
  <c r="V88" i="312"/>
  <c r="V84" i="312"/>
  <c r="V72" i="312"/>
  <c r="V68" i="312"/>
  <c r="V48" i="312"/>
  <c r="V31" i="312"/>
  <c r="V27" i="312"/>
  <c r="V11" i="312"/>
  <c r="V13" i="312"/>
  <c r="V52" i="312"/>
  <c r="V33" i="312"/>
  <c r="V79" i="314"/>
  <c r="V75" i="314"/>
  <c r="V71" i="314"/>
  <c r="V66" i="314"/>
  <c r="V62" i="314"/>
  <c r="V58" i="314"/>
  <c r="V54" i="314"/>
  <c r="V52" i="314"/>
  <c r="V50" i="314"/>
  <c r="V47" i="314"/>
  <c r="V43" i="314"/>
  <c r="V41" i="314"/>
  <c r="V37" i="314"/>
  <c r="V33" i="314"/>
  <c r="V29" i="314"/>
  <c r="V27" i="314"/>
  <c r="V23" i="314"/>
  <c r="V20" i="314"/>
  <c r="V14" i="314"/>
  <c r="V12" i="314"/>
  <c r="V80" i="314"/>
  <c r="V76" i="314"/>
  <c r="V72" i="314"/>
  <c r="V67" i="314"/>
  <c r="V63" i="314"/>
  <c r="V59" i="314"/>
  <c r="V55" i="314"/>
  <c r="V48" i="314"/>
  <c r="V44" i="314"/>
  <c r="V40" i="314"/>
  <c r="V38" i="314"/>
  <c r="V34" i="314"/>
  <c r="V30" i="314"/>
  <c r="V28" i="314"/>
  <c r="V24" i="314"/>
  <c r="V21" i="314"/>
  <c r="V17" i="314"/>
  <c r="V15" i="314"/>
  <c r="V13" i="314"/>
  <c r="V9" i="314"/>
  <c r="V81" i="314"/>
  <c r="V77" i="314"/>
  <c r="V73" i="314"/>
  <c r="V69" i="314"/>
  <c r="V64" i="314"/>
  <c r="V60" i="314"/>
  <c r="V56" i="314"/>
  <c r="V49" i="314"/>
  <c r="V45" i="314"/>
  <c r="V39" i="314"/>
  <c r="V35" i="314"/>
  <c r="V31" i="314"/>
  <c r="V25" i="314"/>
  <c r="V18" i="314"/>
  <c r="V16" i="314"/>
  <c r="V10" i="314"/>
  <c r="V78" i="314"/>
  <c r="V74" i="314"/>
  <c r="V70" i="314"/>
  <c r="V65" i="314"/>
  <c r="V61" i="314"/>
  <c r="V57" i="314"/>
  <c r="V53" i="314"/>
  <c r="V51" i="314"/>
  <c r="V46" i="314"/>
  <c r="V42" i="314"/>
  <c r="V36" i="314"/>
  <c r="V32" i="314"/>
  <c r="V26" i="314"/>
  <c r="V22" i="314"/>
  <c r="V19" i="314"/>
  <c r="V11" i="314"/>
  <c r="AI40" i="200"/>
  <c r="AI32" i="200"/>
  <c r="AI36" i="200"/>
  <c r="AI53" i="200"/>
  <c r="AI20" i="200"/>
  <c r="AI56" i="200"/>
  <c r="AI31" i="200"/>
  <c r="V48" i="308"/>
  <c r="V44" i="308"/>
  <c r="V12" i="308"/>
  <c r="V53" i="308"/>
  <c r="V49" i="308"/>
  <c r="V45" i="308"/>
  <c r="V18" i="308"/>
  <c r="V14" i="308"/>
  <c r="V50" i="308"/>
  <c r="V46" i="308"/>
  <c r="V40" i="308"/>
  <c r="V10" i="308"/>
  <c r="V47" i="308"/>
  <c r="V43" i="308"/>
  <c r="V16" i="308"/>
  <c r="V11" i="308"/>
  <c r="W107" i="305"/>
  <c r="W87" i="305"/>
  <c r="W97" i="305"/>
  <c r="W77" i="305"/>
  <c r="W67" i="305"/>
  <c r="W47" i="305"/>
  <c r="W27" i="305"/>
  <c r="W15" i="305"/>
  <c r="W57" i="305"/>
  <c r="W37" i="305"/>
  <c r="W17" i="305"/>
  <c r="W13" i="305"/>
  <c r="W48" i="305"/>
  <c r="W58" i="305"/>
  <c r="W68" i="305"/>
  <c r="W28" i="305"/>
  <c r="W18" i="305"/>
  <c r="W98" i="305"/>
  <c r="W78" i="305"/>
  <c r="W38" i="305"/>
  <c r="W108" i="305"/>
  <c r="W88" i="305"/>
  <c r="W14" i="305"/>
  <c r="W12" i="305"/>
  <c r="M41" i="311"/>
  <c r="W41" i="311" s="1"/>
  <c r="V45" i="311"/>
  <c r="L4" i="314"/>
  <c r="L4" i="313"/>
  <c r="M2" i="313"/>
  <c r="M2" i="314"/>
  <c r="K20" i="308"/>
  <c r="K19" i="308" s="1"/>
  <c r="J38" i="308"/>
  <c r="D21" i="327" s="1"/>
  <c r="J115" i="312"/>
  <c r="J119" i="312"/>
  <c r="J121" i="312" s="1"/>
  <c r="J307" i="312" s="1"/>
  <c r="J375" i="315" s="1"/>
  <c r="J117" i="312"/>
  <c r="J114" i="312"/>
  <c r="J116" i="312"/>
  <c r="J138" i="312"/>
  <c r="J140" i="312" s="1"/>
  <c r="J308" i="312" s="1"/>
  <c r="J376" i="315" s="1"/>
  <c r="J135" i="312"/>
  <c r="J136" i="312"/>
  <c r="J133" i="312"/>
  <c r="J134" i="312"/>
  <c r="J152" i="312"/>
  <c r="J157" i="312"/>
  <c r="J159" i="312" s="1"/>
  <c r="J309" i="312" s="1"/>
  <c r="J377" i="315" s="1"/>
  <c r="J155" i="312"/>
  <c r="J154" i="312"/>
  <c r="J153" i="312"/>
  <c r="L54" i="311"/>
  <c r="J81" i="312"/>
  <c r="J83" i="312" s="1"/>
  <c r="J305" i="312" s="1"/>
  <c r="J373" i="315" s="1"/>
  <c r="J76" i="312"/>
  <c r="J77" i="312"/>
  <c r="J78" i="312"/>
  <c r="J79" i="312"/>
  <c r="J97" i="312"/>
  <c r="J98" i="312"/>
  <c r="J102" i="312"/>
  <c r="J306" i="312" s="1"/>
  <c r="J374" i="315" s="1"/>
  <c r="J95" i="312"/>
  <c r="J96" i="312"/>
  <c r="V9" i="312"/>
  <c r="J43" i="312"/>
  <c r="J45" i="312" s="1"/>
  <c r="J303" i="312" s="1"/>
  <c r="J370" i="315" s="1"/>
  <c r="K23" i="312"/>
  <c r="K25" i="312" s="1"/>
  <c r="K302" i="312" s="1"/>
  <c r="K369" i="315" s="1"/>
  <c r="K18" i="312"/>
  <c r="K19" i="312"/>
  <c r="K20" i="312"/>
  <c r="K21" i="312"/>
  <c r="K62" i="312"/>
  <c r="K64" i="312" s="1"/>
  <c r="K304" i="312" s="1"/>
  <c r="K372" i="315" s="1"/>
  <c r="K371" i="315"/>
  <c r="J40" i="312"/>
  <c r="J38" i="312"/>
  <c r="J41" i="312"/>
  <c r="J39" i="312"/>
  <c r="K57" i="312"/>
  <c r="K58" i="312"/>
  <c r="K60" i="312"/>
  <c r="K59" i="312"/>
  <c r="L4" i="312"/>
  <c r="L4" i="311"/>
  <c r="L4" i="310"/>
  <c r="L4" i="308"/>
  <c r="M2" i="312"/>
  <c r="M2" i="308"/>
  <c r="M2" i="311"/>
  <c r="M2" i="310"/>
  <c r="M44" i="311"/>
  <c r="M53" i="311"/>
  <c r="W53" i="311" s="1"/>
  <c r="V9" i="308"/>
  <c r="V10" i="310"/>
  <c r="V8" i="310"/>
  <c r="V11" i="310"/>
  <c r="V9" i="310"/>
  <c r="K8" i="304"/>
  <c r="K15" i="308"/>
  <c r="K23" i="308"/>
  <c r="E26" i="327" s="1"/>
  <c r="O26" i="327" s="1"/>
  <c r="K31" i="305"/>
  <c r="K34" i="305"/>
  <c r="K32" i="305"/>
  <c r="K33" i="305"/>
  <c r="R1" i="200"/>
  <c r="AG1" i="200" s="1"/>
  <c r="W1" i="200"/>
  <c r="AB1" i="200"/>
  <c r="L4" i="305"/>
  <c r="L148" i="305" s="1"/>
  <c r="W148" i="305" s="1"/>
  <c r="L4" i="304"/>
  <c r="M2" i="304"/>
  <c r="W11" i="305"/>
  <c r="AB1" i="199"/>
  <c r="R1" i="199"/>
  <c r="AG1" i="199" s="1"/>
  <c r="W1" i="199"/>
  <c r="K21" i="305"/>
  <c r="K22" i="305"/>
  <c r="K23" i="305"/>
  <c r="K24" i="305"/>
  <c r="V10" i="1"/>
  <c r="V11" i="1"/>
  <c r="V12" i="1"/>
  <c r="AI14" i="200"/>
  <c r="Q3" i="200"/>
  <c r="AI50" i="200"/>
  <c r="AA3" i="200"/>
  <c r="V3" i="200"/>
  <c r="AI13" i="200"/>
  <c r="AI25" i="200"/>
  <c r="AI26" i="200"/>
  <c r="AI54" i="200"/>
  <c r="AI60" i="200"/>
  <c r="AI51" i="200"/>
  <c r="AI47" i="200"/>
  <c r="AI9" i="200"/>
  <c r="AI52" i="200"/>
  <c r="AI42" i="200"/>
  <c r="AI38" i="200"/>
  <c r="AI24" i="200"/>
  <c r="AI41" i="200"/>
  <c r="AI37" i="200"/>
  <c r="AI19" i="200"/>
  <c r="AI27" i="200"/>
  <c r="AI28" i="200"/>
  <c r="AI10" i="200"/>
  <c r="AI43" i="200"/>
  <c r="AI55" i="200"/>
  <c r="AI39" i="200"/>
  <c r="AI57" i="200"/>
  <c r="AI23" i="200"/>
  <c r="AI21" i="200"/>
  <c r="AI45" i="200"/>
  <c r="AI44" i="200"/>
  <c r="AI48" i="200"/>
  <c r="AI58" i="200"/>
  <c r="AI46" i="200"/>
  <c r="AI49" i="200"/>
  <c r="AI59" i="200"/>
  <c r="AI61" i="200"/>
  <c r="AI62" i="200"/>
  <c r="L4" i="200"/>
  <c r="L4" i="199"/>
  <c r="V3" i="199"/>
  <c r="AA3" i="199"/>
  <c r="AI36" i="199"/>
  <c r="AI57" i="199"/>
  <c r="AI56" i="199"/>
  <c r="AI12" i="199"/>
  <c r="Q3" i="199"/>
  <c r="AI71" i="199"/>
  <c r="AI76" i="199"/>
  <c r="AI26" i="199"/>
  <c r="AI51" i="199"/>
  <c r="AI70" i="199"/>
  <c r="AI47" i="199"/>
  <c r="AI77" i="199"/>
  <c r="AI45" i="199"/>
  <c r="AI78" i="199"/>
  <c r="AI69" i="199"/>
  <c r="AI58" i="199"/>
  <c r="AI66" i="199"/>
  <c r="AI64" i="199"/>
  <c r="AI60" i="199"/>
  <c r="AI16" i="199"/>
  <c r="AI22" i="199"/>
  <c r="AI15" i="199"/>
  <c r="AI74" i="199"/>
  <c r="AI55" i="199"/>
  <c r="AI44" i="199"/>
  <c r="AI14" i="199"/>
  <c r="AI27" i="199"/>
  <c r="AI46" i="199"/>
  <c r="AI65" i="199"/>
  <c r="AI62" i="199"/>
  <c r="AI50" i="199"/>
  <c r="AI48" i="199"/>
  <c r="AI75" i="199"/>
  <c r="AI54" i="199"/>
  <c r="AI35" i="199"/>
  <c r="AI30" i="199"/>
  <c r="AI21" i="199"/>
  <c r="AI79" i="199"/>
  <c r="AI63" i="199"/>
  <c r="AI37" i="199"/>
  <c r="AI39" i="199"/>
  <c r="AI49" i="199"/>
  <c r="AI25" i="199"/>
  <c r="AI10" i="199"/>
  <c r="AI61" i="199"/>
  <c r="AI11" i="199"/>
  <c r="AI67" i="199"/>
  <c r="AI34" i="199"/>
  <c r="AI59" i="199"/>
  <c r="AI9" i="199"/>
  <c r="AI52" i="199"/>
  <c r="AI24" i="199"/>
  <c r="AI40" i="199"/>
  <c r="AI13" i="199"/>
  <c r="AI72" i="199"/>
  <c r="AI80" i="199"/>
  <c r="AI28" i="199"/>
  <c r="AI41" i="199"/>
  <c r="AI81" i="199"/>
  <c r="N9" i="3"/>
  <c r="N1" i="305" s="1"/>
  <c r="M11" i="3"/>
  <c r="M13" i="3"/>
  <c r="M2" i="1"/>
  <c r="V9" i="1"/>
  <c r="L4" i="1"/>
  <c r="N17" i="3"/>
  <c r="M23" i="3"/>
  <c r="M24" i="3" s="1"/>
  <c r="M20" i="3"/>
  <c r="M19" i="3"/>
  <c r="M25" i="3" s="1"/>
  <c r="M32" i="3"/>
  <c r="M33" i="3" s="1"/>
  <c r="M30" i="3"/>
  <c r="M29" i="3"/>
  <c r="N27" i="3"/>
  <c r="D5" i="336" l="1"/>
  <c r="M69" i="314"/>
  <c r="J39" i="308"/>
  <c r="J269" i="315" s="1"/>
  <c r="M7" i="327" s="1"/>
  <c r="M3" i="315"/>
  <c r="N176" i="315" s="1"/>
  <c r="G250" i="327" s="1"/>
  <c r="Q250" i="327" s="1"/>
  <c r="M4" i="305"/>
  <c r="R2" i="199"/>
  <c r="AG2" i="199" s="1"/>
  <c r="AB2" i="199"/>
  <c r="W2" i="199"/>
  <c r="C18" i="327"/>
  <c r="M18" i="327" s="1"/>
  <c r="N21" i="327"/>
  <c r="E46" i="327"/>
  <c r="O46" i="327" s="1"/>
  <c r="C40" i="327"/>
  <c r="M40" i="327" s="1"/>
  <c r="N59" i="311"/>
  <c r="W63" i="311"/>
  <c r="N168" i="315"/>
  <c r="N173" i="315"/>
  <c r="G247" i="327" s="1"/>
  <c r="Q247" i="327" s="1"/>
  <c r="W13" i="313"/>
  <c r="J144" i="315"/>
  <c r="C218" i="327" s="1"/>
  <c r="M218" i="327" s="1"/>
  <c r="W16" i="308"/>
  <c r="E25" i="327"/>
  <c r="O25" i="327" s="1"/>
  <c r="J41" i="308"/>
  <c r="J51" i="308" s="1"/>
  <c r="J268" i="315"/>
  <c r="K121" i="305"/>
  <c r="K122" i="305" s="1"/>
  <c r="K131" i="305"/>
  <c r="K132" i="305" s="1"/>
  <c r="L128" i="305"/>
  <c r="W128" i="305" s="1"/>
  <c r="L138" i="305"/>
  <c r="W138" i="305" s="1"/>
  <c r="AJ38" i="199"/>
  <c r="AJ23" i="199"/>
  <c r="AJ18" i="199"/>
  <c r="AJ32" i="199"/>
  <c r="AJ19" i="199"/>
  <c r="AJ20" i="199"/>
  <c r="AJ33" i="199"/>
  <c r="AJ17" i="199"/>
  <c r="AJ40" i="200"/>
  <c r="AJ36" i="200"/>
  <c r="AJ53" i="200"/>
  <c r="AJ20" i="200"/>
  <c r="AJ56" i="200"/>
  <c r="AJ31" i="200"/>
  <c r="AJ32" i="200"/>
  <c r="L88" i="311"/>
  <c r="V88" i="311" s="1"/>
  <c r="V54" i="311"/>
  <c r="M45" i="311"/>
  <c r="W45" i="311" s="1"/>
  <c r="W44" i="311"/>
  <c r="N1" i="314"/>
  <c r="N1" i="313"/>
  <c r="M14" i="3"/>
  <c r="M3" i="313"/>
  <c r="M3" i="314"/>
  <c r="L22" i="312"/>
  <c r="V22" i="312" s="1"/>
  <c r="L61" i="312"/>
  <c r="V61" i="312" s="1"/>
  <c r="K215" i="312"/>
  <c r="K217" i="312" s="1"/>
  <c r="K181" i="312"/>
  <c r="K266" i="312"/>
  <c r="K164" i="312"/>
  <c r="K283" i="312"/>
  <c r="K232" i="312"/>
  <c r="K198" i="312"/>
  <c r="K249" i="312"/>
  <c r="K250" i="312"/>
  <c r="K251" i="312" s="1"/>
  <c r="K216" i="312"/>
  <c r="K182" i="312"/>
  <c r="K183" i="312" s="1"/>
  <c r="K267" i="312"/>
  <c r="K268" i="312" s="1"/>
  <c r="K284" i="312"/>
  <c r="K285" i="312" s="1"/>
  <c r="K233" i="312"/>
  <c r="K234" i="312" s="1"/>
  <c r="K199" i="312"/>
  <c r="K200" i="312" s="1"/>
  <c r="K165" i="312"/>
  <c r="K166" i="312" s="1"/>
  <c r="K146" i="312"/>
  <c r="K147" i="312" s="1"/>
  <c r="K151" i="312" s="1"/>
  <c r="K127" i="312"/>
  <c r="K128" i="312" s="1"/>
  <c r="K132" i="312" s="1"/>
  <c r="K108" i="312"/>
  <c r="K109" i="312" s="1"/>
  <c r="K113" i="312" s="1"/>
  <c r="L270" i="312"/>
  <c r="V270" i="312" s="1"/>
  <c r="L287" i="312"/>
  <c r="V287" i="312" s="1"/>
  <c r="L253" i="312"/>
  <c r="V253" i="312" s="1"/>
  <c r="L219" i="312"/>
  <c r="V219" i="312" s="1"/>
  <c r="L202" i="312"/>
  <c r="V202" i="312" s="1"/>
  <c r="L236" i="312"/>
  <c r="V236" i="312" s="1"/>
  <c r="M50" i="311"/>
  <c r="W50" i="311" s="1"/>
  <c r="J301" i="312"/>
  <c r="L168" i="312"/>
  <c r="V168" i="312" s="1"/>
  <c r="L185" i="312"/>
  <c r="V185" i="312" s="1"/>
  <c r="L149" i="312"/>
  <c r="V149" i="312" s="1"/>
  <c r="L111" i="312"/>
  <c r="V111" i="312" s="1"/>
  <c r="L130" i="312"/>
  <c r="V130" i="312" s="1"/>
  <c r="L73" i="312"/>
  <c r="V73" i="312" s="1"/>
  <c r="L92" i="312"/>
  <c r="V92" i="312" s="1"/>
  <c r="K70" i="312"/>
  <c r="K71" i="312" s="1"/>
  <c r="K75" i="312" s="1"/>
  <c r="K51" i="312"/>
  <c r="K32" i="312"/>
  <c r="K89" i="312"/>
  <c r="K90" i="312" s="1"/>
  <c r="K94" i="312" s="1"/>
  <c r="K100" i="312" s="1"/>
  <c r="K12" i="312"/>
  <c r="L54" i="312"/>
  <c r="V54" i="312" s="1"/>
  <c r="L35" i="312"/>
  <c r="V35" i="312" s="1"/>
  <c r="L15" i="312"/>
  <c r="V15" i="312" s="1"/>
  <c r="K17" i="308"/>
  <c r="K37" i="312"/>
  <c r="N1" i="312"/>
  <c r="N1" i="311"/>
  <c r="N1" i="310"/>
  <c r="N1" i="308"/>
  <c r="K36" i="308"/>
  <c r="M3" i="312"/>
  <c r="M3" i="308"/>
  <c r="M3" i="310"/>
  <c r="M100" i="311"/>
  <c r="K49" i="305"/>
  <c r="K39" i="305"/>
  <c r="K99" i="305"/>
  <c r="K59" i="305"/>
  <c r="K79" i="305"/>
  <c r="K69" i="305"/>
  <c r="K109" i="305"/>
  <c r="K89" i="305"/>
  <c r="L46" i="305"/>
  <c r="L32" i="304"/>
  <c r="M34" i="3"/>
  <c r="M3" i="304"/>
  <c r="M3" i="200"/>
  <c r="M3" i="199"/>
  <c r="M3" i="305"/>
  <c r="N1" i="304"/>
  <c r="L16" i="305"/>
  <c r="W16" i="305" s="1"/>
  <c r="L106" i="305"/>
  <c r="W106" i="305" s="1"/>
  <c r="L56" i="305"/>
  <c r="L66" i="305"/>
  <c r="L36" i="305"/>
  <c r="W36" i="305" s="1"/>
  <c r="L26" i="305"/>
  <c r="L29" i="305"/>
  <c r="W29" i="305" s="1"/>
  <c r="L96" i="305"/>
  <c r="W96" i="305" s="1"/>
  <c r="L19" i="305"/>
  <c r="W19" i="305" s="1"/>
  <c r="L116" i="305"/>
  <c r="W116" i="305" s="1"/>
  <c r="L86" i="305"/>
  <c r="M86" i="305" s="1"/>
  <c r="N86" i="305" s="1"/>
  <c r="O86" i="305" s="1"/>
  <c r="P86" i="305" s="1"/>
  <c r="Q86" i="305" s="1"/>
  <c r="R86" i="305" s="1"/>
  <c r="L76" i="305"/>
  <c r="Q4" i="200"/>
  <c r="AF4" i="200" s="1"/>
  <c r="V4" i="200"/>
  <c r="AA4" i="200"/>
  <c r="AF3" i="199"/>
  <c r="AJ36" i="199"/>
  <c r="AJ45" i="199"/>
  <c r="AJ76" i="199"/>
  <c r="AJ57" i="199"/>
  <c r="AJ78" i="199"/>
  <c r="AJ70" i="199"/>
  <c r="AJ51" i="199"/>
  <c r="AJ47" i="199"/>
  <c r="AJ71" i="199"/>
  <c r="AJ26" i="199"/>
  <c r="AJ56" i="199"/>
  <c r="AJ12" i="199"/>
  <c r="AJ77" i="199"/>
  <c r="AJ69" i="199"/>
  <c r="AJ58" i="199"/>
  <c r="AJ74" i="199"/>
  <c r="AJ60" i="199"/>
  <c r="AJ44" i="199"/>
  <c r="AJ64" i="199"/>
  <c r="AJ62" i="199"/>
  <c r="AJ48" i="199"/>
  <c r="AJ11" i="199"/>
  <c r="AJ46" i="199"/>
  <c r="AJ65" i="199"/>
  <c r="AJ22" i="199"/>
  <c r="AJ66" i="199"/>
  <c r="AJ27" i="199"/>
  <c r="AJ16" i="199"/>
  <c r="AJ55" i="199"/>
  <c r="AJ75" i="199"/>
  <c r="AJ25" i="199"/>
  <c r="AJ14" i="199"/>
  <c r="AJ15" i="199"/>
  <c r="AJ61" i="199"/>
  <c r="AJ50" i="199"/>
  <c r="AJ10" i="199"/>
  <c r="AJ49" i="199"/>
  <c r="AJ37" i="199"/>
  <c r="AJ39" i="199"/>
  <c r="AJ54" i="199"/>
  <c r="AJ63" i="199"/>
  <c r="AJ35" i="199"/>
  <c r="AJ21" i="199"/>
  <c r="AJ67" i="199"/>
  <c r="AJ30" i="199"/>
  <c r="AJ79" i="199"/>
  <c r="AJ34" i="199"/>
  <c r="AJ13" i="199"/>
  <c r="AJ24" i="199"/>
  <c r="AJ52" i="199"/>
  <c r="AJ40" i="199"/>
  <c r="AJ9" i="199"/>
  <c r="AJ59" i="199"/>
  <c r="AJ72" i="199"/>
  <c r="AJ80" i="199"/>
  <c r="AJ28" i="199"/>
  <c r="AJ41" i="199"/>
  <c r="AJ81" i="199"/>
  <c r="Q4" i="199"/>
  <c r="AF4" i="199" s="1"/>
  <c r="V4" i="199"/>
  <c r="AA4" i="199"/>
  <c r="AF3" i="200"/>
  <c r="AJ13" i="200"/>
  <c r="AJ50" i="200"/>
  <c r="AJ14" i="200"/>
  <c r="AJ26" i="200"/>
  <c r="AJ25" i="200"/>
  <c r="AJ51" i="200"/>
  <c r="AJ54" i="200"/>
  <c r="AJ42" i="200"/>
  <c r="AJ10" i="200"/>
  <c r="AJ52" i="200"/>
  <c r="AJ60" i="200"/>
  <c r="AJ41" i="200"/>
  <c r="AJ39" i="200"/>
  <c r="AJ37" i="200"/>
  <c r="AJ28" i="200"/>
  <c r="AJ38" i="200"/>
  <c r="AJ47" i="200"/>
  <c r="AJ24" i="200"/>
  <c r="AJ27" i="200"/>
  <c r="AJ19" i="200"/>
  <c r="AJ9" i="200"/>
  <c r="AJ21" i="200"/>
  <c r="AJ55" i="200"/>
  <c r="AJ23" i="200"/>
  <c r="AJ43" i="200"/>
  <c r="AJ44" i="200"/>
  <c r="AJ45" i="200"/>
  <c r="AJ57" i="200"/>
  <c r="AJ46" i="200"/>
  <c r="AJ48" i="200"/>
  <c r="AJ49" i="200"/>
  <c r="AJ58" i="200"/>
  <c r="AJ59" i="200"/>
  <c r="AJ61" i="200"/>
  <c r="AJ62" i="200"/>
  <c r="N12" i="3"/>
  <c r="N3" i="311" s="1"/>
  <c r="N10" i="3"/>
  <c r="N2" i="305" s="1"/>
  <c r="M4" i="315"/>
  <c r="M3" i="1"/>
  <c r="N1" i="1"/>
  <c r="N28" i="3"/>
  <c r="N31" i="3"/>
  <c r="N22" i="3"/>
  <c r="N18" i="3"/>
  <c r="N21" i="3"/>
  <c r="N142" i="315" l="1"/>
  <c r="G216" i="327" s="1"/>
  <c r="Q216" i="327" s="1"/>
  <c r="N171" i="315"/>
  <c r="N175" i="315"/>
  <c r="G249" i="327" s="1"/>
  <c r="Q249" i="327" s="1"/>
  <c r="N172" i="315"/>
  <c r="G246" i="327" s="1"/>
  <c r="Q246" i="327" s="1"/>
  <c r="M40" i="308"/>
  <c r="M10" i="313" s="1"/>
  <c r="X148" i="305"/>
  <c r="M16" i="305"/>
  <c r="L8" i="305"/>
  <c r="W46" i="305"/>
  <c r="L24" i="308"/>
  <c r="W76" i="305"/>
  <c r="L27" i="308"/>
  <c r="W66" i="305"/>
  <c r="L26" i="308"/>
  <c r="V26" i="308" s="1"/>
  <c r="W86" i="305"/>
  <c r="L30" i="308"/>
  <c r="W56" i="305"/>
  <c r="L25" i="308"/>
  <c r="N61" i="311"/>
  <c r="J42" i="308"/>
  <c r="C7" i="327"/>
  <c r="F45" i="327"/>
  <c r="P45" i="327" s="1"/>
  <c r="D39" i="327"/>
  <c r="N39" i="327" s="1"/>
  <c r="C6" i="327"/>
  <c r="M6" i="327"/>
  <c r="AK62" i="199"/>
  <c r="N114" i="315" s="1"/>
  <c r="Q178" i="327" s="1"/>
  <c r="AK64" i="199"/>
  <c r="N116" i="315" s="1"/>
  <c r="Q180" i="327" s="1"/>
  <c r="G180" i="327" s="1"/>
  <c r="V180" i="327" s="1"/>
  <c r="AK66" i="199"/>
  <c r="N118" i="315" s="1"/>
  <c r="Q181" i="327" s="1"/>
  <c r="AK65" i="199"/>
  <c r="N117" i="315" s="1"/>
  <c r="AK60" i="199"/>
  <c r="N112" i="315" s="1"/>
  <c r="Q176" i="327" s="1"/>
  <c r="G176" i="327" s="1"/>
  <c r="V176" i="327" s="1"/>
  <c r="AK67" i="199"/>
  <c r="N119" i="315" s="1"/>
  <c r="Q182" i="327" s="1"/>
  <c r="AK63" i="199"/>
  <c r="N115" i="315" s="1"/>
  <c r="Q179" i="327" s="1"/>
  <c r="AK61" i="199"/>
  <c r="N113" i="315" s="1"/>
  <c r="Q177" i="327" s="1"/>
  <c r="J250" i="315"/>
  <c r="M314" i="327" s="1"/>
  <c r="C314" i="327" s="1"/>
  <c r="W70" i="314"/>
  <c r="K38" i="308"/>
  <c r="K39" i="308" s="1"/>
  <c r="K269" i="315" s="1"/>
  <c r="E22" i="327"/>
  <c r="O22" i="327" s="1"/>
  <c r="K266" i="315"/>
  <c r="J291" i="315"/>
  <c r="C12" i="327" s="1"/>
  <c r="M12" i="327" s="1"/>
  <c r="M15" i="304"/>
  <c r="M10" i="308"/>
  <c r="M18" i="304"/>
  <c r="K133" i="305"/>
  <c r="K135" i="305"/>
  <c r="K134" i="305"/>
  <c r="K136" i="305"/>
  <c r="K123" i="305"/>
  <c r="K126" i="305"/>
  <c r="K125" i="305"/>
  <c r="K124" i="305"/>
  <c r="N41" i="311"/>
  <c r="AK32" i="199"/>
  <c r="N83" i="315" s="1"/>
  <c r="AK19" i="199"/>
  <c r="N70" i="315" s="1"/>
  <c r="N84" i="315"/>
  <c r="Q157" i="327" s="1"/>
  <c r="AK20" i="199"/>
  <c r="N71" i="315" s="1"/>
  <c r="AK33" i="199"/>
  <c r="N85" i="315" s="1"/>
  <c r="Q158" i="327" s="1"/>
  <c r="N73" i="315"/>
  <c r="Q153" i="327" s="1"/>
  <c r="AK17" i="199"/>
  <c r="N68" i="315" s="1"/>
  <c r="AK38" i="199"/>
  <c r="N90" i="315" s="1"/>
  <c r="AK23" i="199"/>
  <c r="N75" i="315" s="1"/>
  <c r="AK18" i="199"/>
  <c r="N69" i="315" s="1"/>
  <c r="AK40" i="200"/>
  <c r="AK53" i="200"/>
  <c r="AK20" i="200"/>
  <c r="AK56" i="200"/>
  <c r="AK31" i="200"/>
  <c r="AK32" i="200"/>
  <c r="AK36" i="200"/>
  <c r="L21" i="308"/>
  <c r="V21" i="308" s="1"/>
  <c r="W26" i="305"/>
  <c r="W100" i="311"/>
  <c r="N2" i="314"/>
  <c r="N2" i="313"/>
  <c r="M4" i="314"/>
  <c r="M4" i="313"/>
  <c r="K157" i="312"/>
  <c r="K159" i="312" s="1"/>
  <c r="K309" i="312" s="1"/>
  <c r="K377" i="315" s="1"/>
  <c r="K155" i="312"/>
  <c r="K153" i="312"/>
  <c r="K152" i="312"/>
  <c r="K154" i="312"/>
  <c r="K119" i="312"/>
  <c r="K121" i="312" s="1"/>
  <c r="K307" i="312" s="1"/>
  <c r="K375" i="315" s="1"/>
  <c r="K115" i="312"/>
  <c r="K116" i="312"/>
  <c r="K114" i="312"/>
  <c r="K117" i="312"/>
  <c r="K134" i="312"/>
  <c r="K138" i="312"/>
  <c r="K140" i="312" s="1"/>
  <c r="K308" i="312" s="1"/>
  <c r="K376" i="315" s="1"/>
  <c r="K135" i="312"/>
  <c r="K133" i="312"/>
  <c r="L137" i="312" s="1"/>
  <c r="V137" i="312" s="1"/>
  <c r="K136" i="312"/>
  <c r="M54" i="311"/>
  <c r="K102" i="312"/>
  <c r="K306" i="312" s="1"/>
  <c r="K374" i="315" s="1"/>
  <c r="K98" i="312"/>
  <c r="K97" i="312"/>
  <c r="K95" i="312"/>
  <c r="K96" i="312"/>
  <c r="K79" i="312"/>
  <c r="K77" i="312"/>
  <c r="K81" i="312"/>
  <c r="K83" i="312" s="1"/>
  <c r="K305" i="312" s="1"/>
  <c r="K373" i="315" s="1"/>
  <c r="K76" i="312"/>
  <c r="K78" i="312"/>
  <c r="L17" i="312"/>
  <c r="V17" i="312" s="1"/>
  <c r="K43" i="312"/>
  <c r="K45" i="312" s="1"/>
  <c r="K303" i="312" s="1"/>
  <c r="K370" i="315" s="1"/>
  <c r="L56" i="312"/>
  <c r="V56" i="312" s="1"/>
  <c r="K39" i="312"/>
  <c r="K38" i="312"/>
  <c r="K41" i="312"/>
  <c r="K40" i="312"/>
  <c r="N2" i="312"/>
  <c r="N2" i="311"/>
  <c r="N2" i="310"/>
  <c r="N2" i="308"/>
  <c r="M4" i="312"/>
  <c r="M4" i="311"/>
  <c r="M4" i="310"/>
  <c r="M4" i="308"/>
  <c r="N44" i="311"/>
  <c r="L35" i="308"/>
  <c r="V35" i="308" s="1"/>
  <c r="V32" i="308"/>
  <c r="L8" i="304"/>
  <c r="L15" i="308"/>
  <c r="V15" i="308" s="1"/>
  <c r="V28" i="308"/>
  <c r="J52" i="308"/>
  <c r="J54" i="308"/>
  <c r="J55" i="308" s="1"/>
  <c r="V30" i="308"/>
  <c r="V29" i="308"/>
  <c r="L22" i="308"/>
  <c r="V22" i="308" s="1"/>
  <c r="L34" i="308"/>
  <c r="V34" i="308" s="1"/>
  <c r="V31" i="308"/>
  <c r="L33" i="308"/>
  <c r="V33" i="308" s="1"/>
  <c r="L20" i="308"/>
  <c r="N2" i="304"/>
  <c r="W3" i="200"/>
  <c r="R3" i="200"/>
  <c r="AG3" i="200" s="1"/>
  <c r="AB3" i="200"/>
  <c r="M4" i="199"/>
  <c r="M4" i="200"/>
  <c r="L20" i="305"/>
  <c r="W20" i="305" s="1"/>
  <c r="L30" i="305"/>
  <c r="W30" i="305" s="1"/>
  <c r="AB3" i="199"/>
  <c r="R3" i="199"/>
  <c r="AG3" i="199" s="1"/>
  <c r="W3" i="199"/>
  <c r="AK50" i="200"/>
  <c r="AK13" i="200"/>
  <c r="AK14" i="200"/>
  <c r="AK26" i="200"/>
  <c r="AK25" i="200"/>
  <c r="AK54" i="200"/>
  <c r="AK51" i="200"/>
  <c r="AK28" i="200"/>
  <c r="AK39" i="200"/>
  <c r="AK42" i="200"/>
  <c r="AK47" i="200"/>
  <c r="AK10" i="200"/>
  <c r="AK41" i="200"/>
  <c r="AK60" i="200"/>
  <c r="AK37" i="200"/>
  <c r="AK38" i="200"/>
  <c r="AK55" i="200"/>
  <c r="AK52" i="200"/>
  <c r="AK24" i="200"/>
  <c r="AK27" i="200"/>
  <c r="AK19" i="200"/>
  <c r="AK9" i="200"/>
  <c r="AK57" i="200"/>
  <c r="AK23" i="200"/>
  <c r="AK43" i="200"/>
  <c r="AK44" i="200"/>
  <c r="AK21" i="200"/>
  <c r="AK45" i="200"/>
  <c r="AK46" i="200"/>
  <c r="AK48" i="200"/>
  <c r="AK49" i="200"/>
  <c r="AK58" i="200"/>
  <c r="AK61" i="200"/>
  <c r="AK59" i="200"/>
  <c r="AK62" i="200"/>
  <c r="AK76" i="199"/>
  <c r="N127" i="315" s="1"/>
  <c r="AK77" i="199"/>
  <c r="N128" i="315" s="1"/>
  <c r="AK57" i="199"/>
  <c r="N109" i="315" s="1"/>
  <c r="AK78" i="199"/>
  <c r="N129" i="315" s="1"/>
  <c r="AK12" i="199"/>
  <c r="N63" i="315" s="1"/>
  <c r="AK70" i="199"/>
  <c r="N121" i="315" s="1"/>
  <c r="Q184" i="327" s="1"/>
  <c r="G184" i="327" s="1"/>
  <c r="V184" i="327" s="1"/>
  <c r="AK71" i="199"/>
  <c r="N122" i="315" s="1"/>
  <c r="AK26" i="199"/>
  <c r="N78" i="315" s="1"/>
  <c r="AK36" i="199"/>
  <c r="N88" i="315" s="1"/>
  <c r="AK45" i="199"/>
  <c r="N97" i="315" s="1"/>
  <c r="AK56" i="199"/>
  <c r="N108" i="315" s="1"/>
  <c r="AK51" i="199"/>
  <c r="N103" i="315" s="1"/>
  <c r="Q171" i="327" s="1"/>
  <c r="AK47" i="199"/>
  <c r="N99" i="315" s="1"/>
  <c r="AK69" i="199"/>
  <c r="N120" i="315" s="1"/>
  <c r="Q183" i="327" s="1"/>
  <c r="AK58" i="199"/>
  <c r="N110" i="315" s="1"/>
  <c r="Q174" i="327" s="1"/>
  <c r="AK22" i="199"/>
  <c r="N74" i="315" s="1"/>
  <c r="Q154" i="327" s="1"/>
  <c r="AK48" i="199"/>
  <c r="N100" i="315" s="1"/>
  <c r="Q168" i="327" s="1"/>
  <c r="G168" i="327" s="1"/>
  <c r="V168" i="327" s="1"/>
  <c r="AK11" i="199"/>
  <c r="N62" i="315" s="1"/>
  <c r="AK75" i="199"/>
  <c r="N126" i="315" s="1"/>
  <c r="AK27" i="199"/>
  <c r="N79" i="315" s="1"/>
  <c r="AK16" i="199"/>
  <c r="N67" i="315" s="1"/>
  <c r="Q151" i="327" s="1"/>
  <c r="AK55" i="199"/>
  <c r="N107" i="315" s="1"/>
  <c r="AK25" i="199"/>
  <c r="N77" i="315" s="1"/>
  <c r="AK15" i="199"/>
  <c r="N66" i="315" s="1"/>
  <c r="Q150" i="327" s="1"/>
  <c r="AK46" i="199"/>
  <c r="N98" i="315" s="1"/>
  <c r="Q167" i="327" s="1"/>
  <c r="AK50" i="199"/>
  <c r="N102" i="315" s="1"/>
  <c r="Q170" i="327" s="1"/>
  <c r="AK14" i="199"/>
  <c r="N65" i="315" s="1"/>
  <c r="Q149" i="327" s="1"/>
  <c r="AK35" i="199"/>
  <c r="N87" i="315" s="1"/>
  <c r="Q160" i="327" s="1"/>
  <c r="AK21" i="199"/>
  <c r="N72" i="315" s="1"/>
  <c r="Q152" i="327" s="1"/>
  <c r="AK44" i="199"/>
  <c r="N96" i="315" s="1"/>
  <c r="Q166" i="327" s="1"/>
  <c r="AK74" i="199"/>
  <c r="N125" i="315" s="1"/>
  <c r="AK39" i="199"/>
  <c r="N91" i="315" s="1"/>
  <c r="Q162" i="327" s="1"/>
  <c r="AK49" i="199"/>
  <c r="N101" i="315" s="1"/>
  <c r="Q169" i="327" s="1"/>
  <c r="AK37" i="199"/>
  <c r="N89" i="315" s="1"/>
  <c r="Q161" i="327" s="1"/>
  <c r="AK13" i="199"/>
  <c r="N64" i="315" s="1"/>
  <c r="Q148" i="327" s="1"/>
  <c r="G148" i="327" s="1"/>
  <c r="V148" i="327" s="1"/>
  <c r="AK24" i="199"/>
  <c r="N76" i="315" s="1"/>
  <c r="AK10" i="199"/>
  <c r="N61" i="315" s="1"/>
  <c r="AK34" i="199"/>
  <c r="N86" i="315" s="1"/>
  <c r="Q159" i="327" s="1"/>
  <c r="AK54" i="199"/>
  <c r="N106" i="315" s="1"/>
  <c r="Q173" i="327" s="1"/>
  <c r="AK79" i="199"/>
  <c r="N130" i="315" s="1"/>
  <c r="AK30" i="199"/>
  <c r="N82" i="315" s="1"/>
  <c r="Q156" i="327" s="1"/>
  <c r="AK52" i="199"/>
  <c r="N104" i="315" s="1"/>
  <c r="Q172" i="327" s="1"/>
  <c r="G172" i="327" s="1"/>
  <c r="V172" i="327" s="1"/>
  <c r="AK9" i="199"/>
  <c r="N60" i="315" s="1"/>
  <c r="Q147" i="327" s="1"/>
  <c r="AK40" i="199"/>
  <c r="N92" i="315" s="1"/>
  <c r="Q163" i="327" s="1"/>
  <c r="AK59" i="199"/>
  <c r="N111" i="315" s="1"/>
  <c r="Q175" i="327" s="1"/>
  <c r="AK72" i="199"/>
  <c r="N123" i="315" s="1"/>
  <c r="Q185" i="327" s="1"/>
  <c r="AK28" i="199"/>
  <c r="N80" i="315" s="1"/>
  <c r="Q155" i="327" s="1"/>
  <c r="AK41" i="199"/>
  <c r="N93" i="315" s="1"/>
  <c r="Q164" i="327" s="1"/>
  <c r="AK81" i="199"/>
  <c r="N132" i="315" s="1"/>
  <c r="Q188" i="327" s="1"/>
  <c r="G188" i="327" s="1"/>
  <c r="V188" i="327" s="1"/>
  <c r="AK80" i="199"/>
  <c r="N131" i="315" s="1"/>
  <c r="N2" i="1"/>
  <c r="N13" i="3"/>
  <c r="N11" i="3"/>
  <c r="O9" i="3"/>
  <c r="O1" i="305" s="1"/>
  <c r="M4" i="1"/>
  <c r="O17" i="3"/>
  <c r="N23" i="3"/>
  <c r="N24" i="3" s="1"/>
  <c r="N20" i="3"/>
  <c r="N19" i="3"/>
  <c r="N25" i="3" s="1"/>
  <c r="N32" i="3"/>
  <c r="N33" i="3" s="1"/>
  <c r="N30" i="3"/>
  <c r="N29" i="3"/>
  <c r="O27" i="3"/>
  <c r="J167" i="315" l="1"/>
  <c r="C241" i="327" s="1"/>
  <c r="M241" i="327" s="1"/>
  <c r="M17" i="304"/>
  <c r="M12" i="308" s="1"/>
  <c r="M14" i="304"/>
  <c r="M11" i="308" s="1"/>
  <c r="N63" i="311"/>
  <c r="O59" i="311" s="1"/>
  <c r="N34" i="304"/>
  <c r="N16" i="308" s="1"/>
  <c r="N13" i="313" s="1"/>
  <c r="K268" i="315"/>
  <c r="N6" i="327" s="1"/>
  <c r="K41" i="308"/>
  <c r="K42" i="308" s="1"/>
  <c r="L80" i="312"/>
  <c r="V80" i="312" s="1"/>
  <c r="L118" i="312"/>
  <c r="V118" i="312" s="1"/>
  <c r="L42" i="312"/>
  <c r="V42" i="312" s="1"/>
  <c r="N3" i="315"/>
  <c r="N3" i="305"/>
  <c r="L99" i="312"/>
  <c r="V99" i="312" s="1"/>
  <c r="L156" i="312"/>
  <c r="V156" i="312" s="1"/>
  <c r="D40" i="327"/>
  <c r="C70" i="327"/>
  <c r="M70" i="327" s="1"/>
  <c r="G164" i="327"/>
  <c r="V164" i="327" s="1"/>
  <c r="G155" i="327"/>
  <c r="V155" i="327" s="1"/>
  <c r="G185" i="327"/>
  <c r="V185" i="327" s="1"/>
  <c r="G175" i="327"/>
  <c r="V175" i="327" s="1"/>
  <c r="G163" i="327"/>
  <c r="V163" i="327" s="1"/>
  <c r="G147" i="327"/>
  <c r="V147" i="327" s="1"/>
  <c r="G156" i="327"/>
  <c r="V156" i="327" s="1"/>
  <c r="G173" i="327"/>
  <c r="V173" i="327" s="1"/>
  <c r="G159" i="327"/>
  <c r="V159" i="327" s="1"/>
  <c r="G161" i="327"/>
  <c r="V161" i="327" s="1"/>
  <c r="G169" i="327"/>
  <c r="V169" i="327" s="1"/>
  <c r="G162" i="327"/>
  <c r="V162" i="327" s="1"/>
  <c r="G166" i="327"/>
  <c r="V166" i="327" s="1"/>
  <c r="G152" i="327"/>
  <c r="V152" i="327" s="1"/>
  <c r="G160" i="327"/>
  <c r="V160" i="327" s="1"/>
  <c r="G149" i="327"/>
  <c r="V149" i="327" s="1"/>
  <c r="G170" i="327"/>
  <c r="V170" i="327" s="1"/>
  <c r="G167" i="327"/>
  <c r="V167" i="327" s="1"/>
  <c r="G150" i="327"/>
  <c r="V150" i="327" s="1"/>
  <c r="G151" i="327"/>
  <c r="V151" i="327" s="1"/>
  <c r="G154" i="327"/>
  <c r="V154" i="327" s="1"/>
  <c r="G174" i="327"/>
  <c r="V174" i="327" s="1"/>
  <c r="G183" i="327"/>
  <c r="V183" i="327" s="1"/>
  <c r="G171" i="327"/>
  <c r="V171" i="327" s="1"/>
  <c r="G153" i="327"/>
  <c r="V153" i="327" s="1"/>
  <c r="G158" i="327"/>
  <c r="V158" i="327" s="1"/>
  <c r="G157" i="327"/>
  <c r="V157" i="327" s="1"/>
  <c r="G177" i="327"/>
  <c r="V177" i="327" s="1"/>
  <c r="G179" i="327"/>
  <c r="V179" i="327" s="1"/>
  <c r="G182" i="327"/>
  <c r="V182" i="327" s="1"/>
  <c r="G181" i="327"/>
  <c r="V181" i="327" s="1"/>
  <c r="G178" i="327"/>
  <c r="V178" i="327" s="1"/>
  <c r="N7" i="327"/>
  <c r="D7" i="327"/>
  <c r="J249" i="315"/>
  <c r="M313" i="327" s="1"/>
  <c r="C313" i="327" s="1"/>
  <c r="W69" i="314"/>
  <c r="N4" i="327"/>
  <c r="D4" i="327"/>
  <c r="M143" i="312"/>
  <c r="W143" i="312" s="1"/>
  <c r="V25" i="308"/>
  <c r="V24" i="308"/>
  <c r="M105" i="312"/>
  <c r="W105" i="312" s="1"/>
  <c r="M48" i="312"/>
  <c r="W48" i="312" s="1"/>
  <c r="W10" i="308"/>
  <c r="M267" i="315"/>
  <c r="J139" i="315"/>
  <c r="C213" i="327" s="1"/>
  <c r="M213" i="327" s="1"/>
  <c r="N45" i="311"/>
  <c r="O41" i="311" s="1"/>
  <c r="M9" i="304"/>
  <c r="M124" i="312"/>
  <c r="W124" i="312" s="1"/>
  <c r="M67" i="312"/>
  <c r="W67" i="312" s="1"/>
  <c r="M29" i="312"/>
  <c r="W29" i="312" s="1"/>
  <c r="M86" i="312"/>
  <c r="W86" i="312" s="1"/>
  <c r="M9" i="312"/>
  <c r="W9" i="312" s="1"/>
  <c r="L131" i="305"/>
  <c r="L121" i="305"/>
  <c r="V20" i="308"/>
  <c r="W40" i="308"/>
  <c r="M88" i="311"/>
  <c r="M16" i="314" s="1"/>
  <c r="W54" i="311"/>
  <c r="N14" i="3"/>
  <c r="O1" i="314"/>
  <c r="O1" i="313"/>
  <c r="N3" i="313"/>
  <c r="N3" i="314"/>
  <c r="L127" i="312"/>
  <c r="V127" i="312" s="1"/>
  <c r="L108" i="312"/>
  <c r="V108" i="312" s="1"/>
  <c r="L146" i="312"/>
  <c r="V146" i="312" s="1"/>
  <c r="N50" i="311"/>
  <c r="M287" i="312"/>
  <c r="M202" i="312"/>
  <c r="M253" i="312"/>
  <c r="M236" i="312"/>
  <c r="M219" i="312"/>
  <c r="M270" i="312"/>
  <c r="M168" i="312"/>
  <c r="M185" i="312"/>
  <c r="M130" i="312"/>
  <c r="M149" i="312"/>
  <c r="M92" i="312"/>
  <c r="M111" i="312"/>
  <c r="K301" i="312"/>
  <c r="L70" i="312"/>
  <c r="V70" i="312" s="1"/>
  <c r="L51" i="312"/>
  <c r="V51" i="312" s="1"/>
  <c r="L32" i="312"/>
  <c r="V32" i="312" s="1"/>
  <c r="L89" i="312"/>
  <c r="V89" i="312" s="1"/>
  <c r="L12" i="312"/>
  <c r="V12" i="312" s="1"/>
  <c r="M73" i="312"/>
  <c r="M54" i="312"/>
  <c r="M35" i="312"/>
  <c r="M15" i="312"/>
  <c r="L23" i="312"/>
  <c r="V23" i="312" s="1"/>
  <c r="L18" i="312"/>
  <c r="L21" i="312"/>
  <c r="V21" i="312" s="1"/>
  <c r="L19" i="312"/>
  <c r="V19" i="312" s="1"/>
  <c r="L20" i="312"/>
  <c r="V20" i="312" s="1"/>
  <c r="L62" i="312"/>
  <c r="V62" i="312" s="1"/>
  <c r="L57" i="312"/>
  <c r="L60" i="312"/>
  <c r="V60" i="312" s="1"/>
  <c r="L58" i="312"/>
  <c r="V58" i="312" s="1"/>
  <c r="L59" i="312"/>
  <c r="V59" i="312" s="1"/>
  <c r="O1" i="312"/>
  <c r="O1" i="311"/>
  <c r="O1" i="310"/>
  <c r="O1" i="308"/>
  <c r="N3" i="312"/>
  <c r="N3" i="308"/>
  <c r="N3" i="310"/>
  <c r="L23" i="308"/>
  <c r="L17" i="308"/>
  <c r="L99" i="305"/>
  <c r="W99" i="305" s="1"/>
  <c r="L59" i="305"/>
  <c r="W59" i="305" s="1"/>
  <c r="L109" i="305"/>
  <c r="W109" i="305" s="1"/>
  <c r="L89" i="305"/>
  <c r="W89" i="305" s="1"/>
  <c r="L79" i="305"/>
  <c r="W79" i="305" s="1"/>
  <c r="L69" i="305"/>
  <c r="W69" i="305" s="1"/>
  <c r="L49" i="305"/>
  <c r="W49" i="305" s="1"/>
  <c r="L39" i="305"/>
  <c r="W39" i="305" s="1"/>
  <c r="O1" i="304"/>
  <c r="AB4" i="200"/>
  <c r="R4" i="200"/>
  <c r="AG4" i="200" s="1"/>
  <c r="W4" i="200"/>
  <c r="AB4" i="199"/>
  <c r="W4" i="199"/>
  <c r="R4" i="199"/>
  <c r="AG4" i="199" s="1"/>
  <c r="L31" i="305"/>
  <c r="L34" i="305"/>
  <c r="W34" i="305" s="1"/>
  <c r="L32" i="305"/>
  <c r="W32" i="305" s="1"/>
  <c r="L33" i="305"/>
  <c r="W33" i="305" s="1"/>
  <c r="M29" i="305"/>
  <c r="X29" i="305" s="1"/>
  <c r="N34" i="3"/>
  <c r="N3" i="304"/>
  <c r="L21" i="305"/>
  <c r="L22" i="305"/>
  <c r="W22" i="305" s="1"/>
  <c r="L24" i="305"/>
  <c r="W24" i="305" s="1"/>
  <c r="L23" i="305"/>
  <c r="W23" i="305" s="1"/>
  <c r="O1" i="1"/>
  <c r="O10" i="3"/>
  <c r="O2" i="305" s="1"/>
  <c r="O12" i="3"/>
  <c r="O3" i="311" s="1"/>
  <c r="O61" i="311" s="1"/>
  <c r="O34" i="304" s="1"/>
  <c r="N3" i="1"/>
  <c r="N15" i="3"/>
  <c r="M4" i="304" s="1"/>
  <c r="M30" i="304" s="1"/>
  <c r="O28" i="3"/>
  <c r="O31" i="3"/>
  <c r="O22" i="3"/>
  <c r="O18" i="3"/>
  <c r="O21" i="3"/>
  <c r="D6" i="327" l="1"/>
  <c r="N70" i="314"/>
  <c r="K250" i="315" s="1"/>
  <c r="N314" i="327" s="1"/>
  <c r="D314" i="327" s="1"/>
  <c r="K291" i="315"/>
  <c r="D12" i="327" s="1"/>
  <c r="N12" i="327" s="1"/>
  <c r="M87" i="312"/>
  <c r="W87" i="312" s="1"/>
  <c r="M144" i="312"/>
  <c r="W144" i="312" s="1"/>
  <c r="M10" i="312"/>
  <c r="W10" i="312" s="1"/>
  <c r="M9" i="308"/>
  <c r="J138" i="315" s="1"/>
  <c r="J436" i="315" s="1"/>
  <c r="M125" i="312"/>
  <c r="W125" i="312" s="1"/>
  <c r="M106" i="312"/>
  <c r="W106" i="312" s="1"/>
  <c r="W11" i="308"/>
  <c r="M68" i="312"/>
  <c r="W68" i="312" s="1"/>
  <c r="J140" i="315"/>
  <c r="C214" i="327" s="1"/>
  <c r="M214" i="327" s="1"/>
  <c r="M49" i="312"/>
  <c r="W49" i="312" s="1"/>
  <c r="M30" i="312"/>
  <c r="M126" i="312"/>
  <c r="W126" i="312" s="1"/>
  <c r="M69" i="312"/>
  <c r="W69" i="312" s="1"/>
  <c r="M145" i="312"/>
  <c r="W145" i="312" s="1"/>
  <c r="W12" i="308"/>
  <c r="M31" i="312"/>
  <c r="W31" i="312" s="1"/>
  <c r="J141" i="315"/>
  <c r="C215" i="327" s="1"/>
  <c r="M215" i="327" s="1"/>
  <c r="M50" i="312"/>
  <c r="W50" i="312" s="1"/>
  <c r="M107" i="312"/>
  <c r="W107" i="312" s="1"/>
  <c r="M11" i="312"/>
  <c r="W11" i="312" s="1"/>
  <c r="M88" i="312"/>
  <c r="W88" i="312" s="1"/>
  <c r="W287" i="312"/>
  <c r="W270" i="312"/>
  <c r="W253" i="312"/>
  <c r="W185" i="312"/>
  <c r="W168" i="312"/>
  <c r="W202" i="312"/>
  <c r="W219" i="312"/>
  <c r="W236" i="312"/>
  <c r="W149" i="312"/>
  <c r="W54" i="312"/>
  <c r="W130" i="312"/>
  <c r="W35" i="312"/>
  <c r="W73" i="312"/>
  <c r="V18" i="312"/>
  <c r="M22" i="312"/>
  <c r="W22" i="312" s="1"/>
  <c r="W111" i="312"/>
  <c r="V57" i="312"/>
  <c r="M61" i="312"/>
  <c r="W61" i="312" s="1"/>
  <c r="W15" i="312"/>
  <c r="W92" i="312"/>
  <c r="K51" i="308"/>
  <c r="K54" i="308" s="1"/>
  <c r="K55" i="308" s="1"/>
  <c r="L35" i="305"/>
  <c r="M35" i="305" s="1"/>
  <c r="L25" i="305"/>
  <c r="M25" i="305" s="1"/>
  <c r="K144" i="315"/>
  <c r="D218" i="327" s="1"/>
  <c r="N218" i="327" s="1"/>
  <c r="O63" i="311"/>
  <c r="M19" i="305"/>
  <c r="X19" i="305" s="1"/>
  <c r="W31" i="305"/>
  <c r="M32" i="304"/>
  <c r="W21" i="305"/>
  <c r="E39" i="327"/>
  <c r="O39" i="327" s="1"/>
  <c r="M286" i="315"/>
  <c r="O16" i="308"/>
  <c r="X16" i="305"/>
  <c r="M20" i="308"/>
  <c r="F46" i="327"/>
  <c r="P46" i="327" s="1"/>
  <c r="P5" i="327"/>
  <c r="F5" i="327"/>
  <c r="F24" i="327"/>
  <c r="P24" i="327" s="1"/>
  <c r="F23" i="327"/>
  <c r="P23" i="327" s="1"/>
  <c r="V17" i="308"/>
  <c r="V23" i="308"/>
  <c r="M292" i="315"/>
  <c r="F13" i="327" s="1"/>
  <c r="P13" i="327" s="1"/>
  <c r="L266" i="315"/>
  <c r="L122" i="305"/>
  <c r="W121" i="305"/>
  <c r="L132" i="305"/>
  <c r="W131" i="305"/>
  <c r="W10" i="313"/>
  <c r="M33" i="312"/>
  <c r="W33" i="312" s="1"/>
  <c r="W30" i="312"/>
  <c r="J196" i="315"/>
  <c r="M281" i="327" s="1"/>
  <c r="C281" i="327" s="1"/>
  <c r="W88" i="311"/>
  <c r="O2" i="314"/>
  <c r="O2" i="313"/>
  <c r="N4" i="313"/>
  <c r="N4" i="314"/>
  <c r="L216" i="312"/>
  <c r="V216" i="312" s="1"/>
  <c r="L182" i="312"/>
  <c r="L267" i="312"/>
  <c r="L284" i="312"/>
  <c r="L233" i="312"/>
  <c r="L199" i="312"/>
  <c r="L165" i="312"/>
  <c r="L250" i="312"/>
  <c r="L147" i="312"/>
  <c r="V147" i="312" s="1"/>
  <c r="L109" i="312"/>
  <c r="V109" i="312" s="1"/>
  <c r="L128" i="312"/>
  <c r="V128" i="312" s="1"/>
  <c r="L90" i="312"/>
  <c r="V90" i="312" s="1"/>
  <c r="L71" i="312"/>
  <c r="V71" i="312" s="1"/>
  <c r="M13" i="312"/>
  <c r="W13" i="312" s="1"/>
  <c r="M52" i="312"/>
  <c r="W52" i="312" s="1"/>
  <c r="L25" i="312"/>
  <c r="V25" i="312" s="1"/>
  <c r="L37" i="312"/>
  <c r="V37" i="312" s="1"/>
  <c r="L64" i="312"/>
  <c r="V64" i="312" s="1"/>
  <c r="O2" i="312"/>
  <c r="O2" i="311"/>
  <c r="O2" i="310"/>
  <c r="O2" i="308"/>
  <c r="N4" i="312"/>
  <c r="N4" i="308"/>
  <c r="N4" i="311"/>
  <c r="N4" i="310"/>
  <c r="O44" i="311"/>
  <c r="O45" i="311" s="1"/>
  <c r="P41" i="311" s="1"/>
  <c r="N8" i="310"/>
  <c r="O2" i="304"/>
  <c r="O11" i="3"/>
  <c r="P9" i="3"/>
  <c r="P1" i="305" s="1"/>
  <c r="O13" i="3"/>
  <c r="O2" i="1"/>
  <c r="N4" i="1"/>
  <c r="P17" i="3"/>
  <c r="O23" i="3"/>
  <c r="O24" i="3" s="1"/>
  <c r="O20" i="3"/>
  <c r="O19" i="3"/>
  <c r="O25" i="3" s="1"/>
  <c r="O32" i="3"/>
  <c r="O33" i="3" s="1"/>
  <c r="O30" i="3"/>
  <c r="O29" i="3"/>
  <c r="P27" i="3"/>
  <c r="W9" i="308" l="1"/>
  <c r="C212" i="327"/>
  <c r="M212" i="327" s="1"/>
  <c r="N69" i="314"/>
  <c r="K249" i="315" s="1"/>
  <c r="N313" i="327" s="1"/>
  <c r="D313" i="327" s="1"/>
  <c r="W35" i="305"/>
  <c r="K52" i="308"/>
  <c r="M37" i="312"/>
  <c r="M56" i="312"/>
  <c r="W56" i="312" s="1"/>
  <c r="M17" i="312"/>
  <c r="W17" i="312" s="1"/>
  <c r="W25" i="305"/>
  <c r="M15" i="308"/>
  <c r="M51" i="312" s="1"/>
  <c r="W51" i="312" s="1"/>
  <c r="M8" i="304"/>
  <c r="O3" i="315"/>
  <c r="O3" i="305"/>
  <c r="L144" i="315"/>
  <c r="E218" i="327" s="1"/>
  <c r="O218" i="327" s="1"/>
  <c r="O13" i="313"/>
  <c r="M131" i="305"/>
  <c r="X131" i="305" s="1"/>
  <c r="J148" i="315"/>
  <c r="C222" i="327" s="1"/>
  <c r="M222" i="327" s="1"/>
  <c r="W20" i="308"/>
  <c r="N15" i="304"/>
  <c r="N14" i="304" s="1"/>
  <c r="N11" i="308" s="1"/>
  <c r="K140" i="315" s="1"/>
  <c r="D214" i="327" s="1"/>
  <c r="N214" i="327" s="1"/>
  <c r="E40" i="327"/>
  <c r="O40" i="327" s="1"/>
  <c r="E4" i="327"/>
  <c r="O4" i="327"/>
  <c r="O70" i="314"/>
  <c r="P59" i="311"/>
  <c r="F26" i="327"/>
  <c r="P26" i="327" s="1"/>
  <c r="D22" i="327"/>
  <c r="F22" i="327"/>
  <c r="P22" i="327" s="1"/>
  <c r="D24" i="327"/>
  <c r="D23" i="327"/>
  <c r="L123" i="305"/>
  <c r="W122" i="305"/>
  <c r="L125" i="305"/>
  <c r="W125" i="305" s="1"/>
  <c r="L126" i="305"/>
  <c r="W126" i="305" s="1"/>
  <c r="L124" i="305"/>
  <c r="W124" i="305" s="1"/>
  <c r="L133" i="305"/>
  <c r="W132" i="305"/>
  <c r="L136" i="305"/>
  <c r="W136" i="305" s="1"/>
  <c r="L135" i="305"/>
  <c r="W135" i="305" s="1"/>
  <c r="L134" i="305"/>
  <c r="W134" i="305" s="1"/>
  <c r="M13" i="314"/>
  <c r="J193" i="315" s="1"/>
  <c r="M278" i="327" s="1"/>
  <c r="C278" i="327" s="1"/>
  <c r="W16" i="314"/>
  <c r="L268" i="312"/>
  <c r="V268" i="312" s="1"/>
  <c r="V267" i="312"/>
  <c r="L200" i="312"/>
  <c r="V200" i="312" s="1"/>
  <c r="V199" i="312"/>
  <c r="L183" i="312"/>
  <c r="V183" i="312" s="1"/>
  <c r="V182" i="312"/>
  <c r="L166" i="312"/>
  <c r="V166" i="312" s="1"/>
  <c r="V165" i="312"/>
  <c r="X20" i="305"/>
  <c r="L234" i="312"/>
  <c r="V234" i="312" s="1"/>
  <c r="V233" i="312"/>
  <c r="X30" i="305"/>
  <c r="L251" i="312"/>
  <c r="V251" i="312" s="1"/>
  <c r="V250" i="312"/>
  <c r="L285" i="312"/>
  <c r="V285" i="312" s="1"/>
  <c r="V284" i="312"/>
  <c r="O14" i="3"/>
  <c r="P1" i="313"/>
  <c r="P1" i="314"/>
  <c r="O3" i="314"/>
  <c r="O3" i="313"/>
  <c r="N11" i="310"/>
  <c r="N51" i="311"/>
  <c r="N75" i="311" s="1"/>
  <c r="L132" i="312"/>
  <c r="V132" i="312" s="1"/>
  <c r="L113" i="312"/>
  <c r="V113" i="312" s="1"/>
  <c r="L151" i="312"/>
  <c r="V151" i="312" s="1"/>
  <c r="L304" i="312"/>
  <c r="L302" i="312"/>
  <c r="N253" i="312"/>
  <c r="N236" i="312"/>
  <c r="N219" i="312"/>
  <c r="N202" i="312"/>
  <c r="N287" i="312"/>
  <c r="N270" i="312"/>
  <c r="N168" i="312"/>
  <c r="N185" i="312"/>
  <c r="N130" i="312"/>
  <c r="N149" i="312"/>
  <c r="N92" i="312"/>
  <c r="N111" i="312"/>
  <c r="M70" i="312"/>
  <c r="W70" i="312" s="1"/>
  <c r="L75" i="312"/>
  <c r="V75" i="312" s="1"/>
  <c r="L94" i="312"/>
  <c r="N73" i="312"/>
  <c r="L43" i="312"/>
  <c r="V43" i="312" s="1"/>
  <c r="N54" i="312"/>
  <c r="N35" i="312"/>
  <c r="N15" i="312"/>
  <c r="L41" i="312"/>
  <c r="V41" i="312" s="1"/>
  <c r="L38" i="312"/>
  <c r="L40" i="312"/>
  <c r="V40" i="312" s="1"/>
  <c r="L39" i="312"/>
  <c r="V39" i="312" s="1"/>
  <c r="O3" i="312"/>
  <c r="O3" i="310"/>
  <c r="O3" i="308"/>
  <c r="P1" i="312"/>
  <c r="P1" i="308"/>
  <c r="P1" i="310"/>
  <c r="P1" i="311"/>
  <c r="O34" i="3"/>
  <c r="P1" i="304"/>
  <c r="O3" i="304"/>
  <c r="O3" i="1"/>
  <c r="O15" i="3"/>
  <c r="P12" i="3"/>
  <c r="P1" i="1"/>
  <c r="P10" i="3"/>
  <c r="P2" i="305" s="1"/>
  <c r="P22" i="3"/>
  <c r="P18" i="3"/>
  <c r="P21" i="3"/>
  <c r="P28" i="3"/>
  <c r="P31" i="3"/>
  <c r="M108" i="312" l="1"/>
  <c r="W108" i="312" s="1"/>
  <c r="M89" i="312"/>
  <c r="W89" i="312" s="1"/>
  <c r="M12" i="312"/>
  <c r="M32" i="312"/>
  <c r="W32" i="312" s="1"/>
  <c r="J143" i="315"/>
  <c r="C217" i="327" s="1"/>
  <c r="M217" i="327" s="1"/>
  <c r="W15" i="308"/>
  <c r="M17" i="308"/>
  <c r="M266" i="315" s="1"/>
  <c r="M146" i="312"/>
  <c r="W146" i="312" s="1"/>
  <c r="M127" i="312"/>
  <c r="W127" i="312" s="1"/>
  <c r="V38" i="312"/>
  <c r="M42" i="312"/>
  <c r="L127" i="305"/>
  <c r="M127" i="305" s="1"/>
  <c r="L137" i="305"/>
  <c r="M137" i="305" s="1"/>
  <c r="M59" i="305"/>
  <c r="M109" i="305"/>
  <c r="M69" i="305"/>
  <c r="M99" i="305"/>
  <c r="M121" i="305"/>
  <c r="M79" i="305"/>
  <c r="X134" i="305"/>
  <c r="M39" i="305"/>
  <c r="M49" i="305"/>
  <c r="W123" i="305"/>
  <c r="W127" i="305"/>
  <c r="F39" i="327"/>
  <c r="P39" i="327" s="1"/>
  <c r="W133" i="305"/>
  <c r="O4" i="305"/>
  <c r="N4" i="304"/>
  <c r="N30" i="304" s="1"/>
  <c r="M89" i="305"/>
  <c r="M36" i="305"/>
  <c r="X25" i="305"/>
  <c r="N10" i="308"/>
  <c r="N18" i="304"/>
  <c r="N17" i="304" s="1"/>
  <c r="N12" i="308" s="1"/>
  <c r="N22" i="327"/>
  <c r="D18" i="327"/>
  <c r="N18" i="327" s="1"/>
  <c r="O69" i="314"/>
  <c r="L250" i="315"/>
  <c r="N24" i="327"/>
  <c r="F18" i="327"/>
  <c r="P18" i="327" s="1"/>
  <c r="D26" i="327"/>
  <c r="P3" i="311"/>
  <c r="X96" i="311" s="1"/>
  <c r="N23" i="327"/>
  <c r="E18" i="327"/>
  <c r="O18" i="327" s="1"/>
  <c r="N10" i="312"/>
  <c r="N49" i="312"/>
  <c r="N144" i="312"/>
  <c r="N87" i="312"/>
  <c r="N68" i="312"/>
  <c r="N106" i="312"/>
  <c r="N30" i="312"/>
  <c r="N125" i="312"/>
  <c r="W39" i="312"/>
  <c r="W12" i="312"/>
  <c r="V302" i="312"/>
  <c r="L369" i="315"/>
  <c r="L371" i="315"/>
  <c r="V304" i="312"/>
  <c r="L372" i="315"/>
  <c r="W40" i="312"/>
  <c r="W41" i="312"/>
  <c r="W37" i="312"/>
  <c r="X41" i="311"/>
  <c r="L100" i="312"/>
  <c r="V100" i="312" s="1"/>
  <c r="V94" i="312"/>
  <c r="W38" i="312"/>
  <c r="M28" i="314"/>
  <c r="J209" i="315" s="1"/>
  <c r="M285" i="327" s="1"/>
  <c r="C285" i="327" s="1"/>
  <c r="W13" i="314"/>
  <c r="X31" i="305"/>
  <c r="X34" i="305"/>
  <c r="X21" i="305"/>
  <c r="X22" i="305"/>
  <c r="X32" i="305"/>
  <c r="X24" i="305"/>
  <c r="X33" i="305"/>
  <c r="X23" i="305"/>
  <c r="P2" i="313"/>
  <c r="P2" i="314"/>
  <c r="O4" i="313"/>
  <c r="O4" i="314"/>
  <c r="N52" i="311"/>
  <c r="N53" i="311"/>
  <c r="L155" i="312"/>
  <c r="V155" i="312" s="1"/>
  <c r="L152" i="312"/>
  <c r="L157" i="312"/>
  <c r="V157" i="312" s="1"/>
  <c r="L153" i="312"/>
  <c r="V153" i="312" s="1"/>
  <c r="L154" i="312"/>
  <c r="V154" i="312" s="1"/>
  <c r="L136" i="312"/>
  <c r="V136" i="312" s="1"/>
  <c r="L138" i="312"/>
  <c r="V138" i="312" s="1"/>
  <c r="L135" i="312"/>
  <c r="V135" i="312" s="1"/>
  <c r="L134" i="312"/>
  <c r="V134" i="312" s="1"/>
  <c r="L133" i="312"/>
  <c r="M109" i="312"/>
  <c r="L119" i="312"/>
  <c r="V119" i="312" s="1"/>
  <c r="L114" i="312"/>
  <c r="L116" i="312"/>
  <c r="V116" i="312" s="1"/>
  <c r="L115" i="312"/>
  <c r="V115" i="312" s="1"/>
  <c r="L117" i="312"/>
  <c r="V117" i="312" s="1"/>
  <c r="M128" i="312"/>
  <c r="M90" i="312"/>
  <c r="L95" i="312"/>
  <c r="L96" i="312"/>
  <c r="V96" i="312" s="1"/>
  <c r="L97" i="312"/>
  <c r="V97" i="312" s="1"/>
  <c r="L98" i="312"/>
  <c r="V98" i="312" s="1"/>
  <c r="L81" i="312"/>
  <c r="V81" i="312" s="1"/>
  <c r="L79" i="312"/>
  <c r="V79" i="312" s="1"/>
  <c r="L76" i="312"/>
  <c r="L77" i="312"/>
  <c r="V77" i="312" s="1"/>
  <c r="L78" i="312"/>
  <c r="V78" i="312" s="1"/>
  <c r="M71" i="312"/>
  <c r="L45" i="312"/>
  <c r="O4" i="312"/>
  <c r="O4" i="308"/>
  <c r="O4" i="311"/>
  <c r="O4" i="310"/>
  <c r="P44" i="311"/>
  <c r="P2" i="312"/>
  <c r="P2" i="308"/>
  <c r="P2" i="310"/>
  <c r="P2" i="311"/>
  <c r="K148" i="315"/>
  <c r="D222" i="327" s="1"/>
  <c r="N222" i="327" s="1"/>
  <c r="P2" i="304"/>
  <c r="N32" i="304"/>
  <c r="N15" i="308" s="1"/>
  <c r="K143" i="315" s="1"/>
  <c r="D217" i="327" s="1"/>
  <c r="N217" i="327" s="1"/>
  <c r="O4" i="304"/>
  <c r="O4" i="1"/>
  <c r="Q9" i="3"/>
  <c r="Q1" i="305" s="1"/>
  <c r="P11" i="3"/>
  <c r="P2" i="1"/>
  <c r="P13" i="3"/>
  <c r="P23" i="3"/>
  <c r="P24" i="3" s="1"/>
  <c r="P20" i="3"/>
  <c r="P19" i="3"/>
  <c r="P25" i="3" s="1"/>
  <c r="Q17" i="3"/>
  <c r="P32" i="3"/>
  <c r="P33" i="3" s="1"/>
  <c r="P29" i="3"/>
  <c r="P30" i="3"/>
  <c r="Q27" i="3"/>
  <c r="W17" i="308" l="1"/>
  <c r="O16" i="305"/>
  <c r="O20" i="308" s="1"/>
  <c r="M147" i="312"/>
  <c r="J145" i="315"/>
  <c r="C219" i="327" s="1"/>
  <c r="M219" i="327" s="1"/>
  <c r="W137" i="305"/>
  <c r="L249" i="315"/>
  <c r="O313" i="327" s="1"/>
  <c r="E313" i="327" s="1"/>
  <c r="W147" i="312"/>
  <c r="M151" i="312"/>
  <c r="W151" i="312" s="1"/>
  <c r="V114" i="312"/>
  <c r="M118" i="312"/>
  <c r="W128" i="312"/>
  <c r="M132" i="312"/>
  <c r="W132" i="312" s="1"/>
  <c r="W71" i="312"/>
  <c r="M75" i="312"/>
  <c r="W75" i="312" s="1"/>
  <c r="V76" i="312"/>
  <c r="M80" i="312"/>
  <c r="V95" i="312"/>
  <c r="M99" i="312"/>
  <c r="W109" i="312"/>
  <c r="M113" i="312"/>
  <c r="W113" i="312" s="1"/>
  <c r="W90" i="312"/>
  <c r="M94" i="312"/>
  <c r="W94" i="312" s="1"/>
  <c r="V133" i="312"/>
  <c r="M137" i="312"/>
  <c r="V152" i="312"/>
  <c r="M156" i="312"/>
  <c r="N156" i="312" s="1"/>
  <c r="O29" i="305"/>
  <c r="O19" i="305"/>
  <c r="X26" i="311"/>
  <c r="X42" i="311"/>
  <c r="X51" i="311"/>
  <c r="X17" i="311"/>
  <c r="X21" i="311"/>
  <c r="X32" i="311"/>
  <c r="X18" i="311"/>
  <c r="X74" i="311"/>
  <c r="X22" i="311"/>
  <c r="X14" i="311"/>
  <c r="X33" i="311"/>
  <c r="X20" i="311"/>
  <c r="X12" i="311"/>
  <c r="X80" i="311"/>
  <c r="X31" i="311"/>
  <c r="X16" i="311"/>
  <c r="X15" i="311"/>
  <c r="X35" i="311"/>
  <c r="X75" i="311"/>
  <c r="X30" i="311"/>
  <c r="X29" i="311"/>
  <c r="X82" i="311"/>
  <c r="X13" i="311"/>
  <c r="X10" i="311"/>
  <c r="X27" i="311"/>
  <c r="X34" i="311"/>
  <c r="X25" i="311"/>
  <c r="X28" i="311"/>
  <c r="X11" i="311"/>
  <c r="X76" i="311"/>
  <c r="X71" i="311"/>
  <c r="X89" i="311"/>
  <c r="X95" i="311"/>
  <c r="X97" i="311"/>
  <c r="X36" i="311"/>
  <c r="X24" i="311"/>
  <c r="X23" i="311"/>
  <c r="X69" i="311"/>
  <c r="X70" i="311"/>
  <c r="X102" i="311"/>
  <c r="X83" i="311"/>
  <c r="X84" i="311"/>
  <c r="X19" i="311"/>
  <c r="X43" i="311"/>
  <c r="X101" i="311"/>
  <c r="X87" i="311"/>
  <c r="X94" i="311"/>
  <c r="X99" i="311"/>
  <c r="X35" i="305"/>
  <c r="X69" i="305"/>
  <c r="X59" i="305"/>
  <c r="X109" i="305"/>
  <c r="X135" i="305"/>
  <c r="X132" i="305"/>
  <c r="X99" i="305"/>
  <c r="X136" i="305"/>
  <c r="X121" i="305"/>
  <c r="X79" i="305"/>
  <c r="X49" i="305"/>
  <c r="X39" i="305"/>
  <c r="X59" i="311"/>
  <c r="N25" i="305"/>
  <c r="O25" i="305" s="1"/>
  <c r="M26" i="305"/>
  <c r="X36" i="305"/>
  <c r="M22" i="308"/>
  <c r="X89" i="305"/>
  <c r="P3" i="315"/>
  <c r="Q275" i="315" s="1"/>
  <c r="T192" i="327" s="1"/>
  <c r="J192" i="327" s="1"/>
  <c r="P3" i="305"/>
  <c r="N9" i="304"/>
  <c r="N8" i="304" s="1"/>
  <c r="N61" i="312"/>
  <c r="O61" i="312" s="1"/>
  <c r="N22" i="312"/>
  <c r="O22" i="312" s="1"/>
  <c r="N9" i="308"/>
  <c r="K138" i="315" s="1"/>
  <c r="K436" i="315" s="1"/>
  <c r="K141" i="315"/>
  <c r="D215" i="327" s="1"/>
  <c r="N215" i="327" s="1"/>
  <c r="N31" i="312"/>
  <c r="N107" i="312"/>
  <c r="N69" i="312"/>
  <c r="N11" i="312"/>
  <c r="N145" i="312"/>
  <c r="N50" i="312"/>
  <c r="N126" i="312"/>
  <c r="N88" i="312"/>
  <c r="N105" i="312"/>
  <c r="N86" i="312"/>
  <c r="N124" i="312"/>
  <c r="N29" i="312"/>
  <c r="N33" i="312" s="1"/>
  <c r="N37" i="312" s="1"/>
  <c r="N143" i="312"/>
  <c r="N67" i="312"/>
  <c r="K139" i="315"/>
  <c r="D213" i="327" s="1"/>
  <c r="N213" i="327" s="1"/>
  <c r="N267" i="315"/>
  <c r="N48" i="312"/>
  <c r="N52" i="312" s="1"/>
  <c r="N56" i="312" s="1"/>
  <c r="N9" i="312"/>
  <c r="N13" i="312" s="1"/>
  <c r="N17" i="312" s="1"/>
  <c r="N250" i="315"/>
  <c r="Q314" i="327" s="1"/>
  <c r="G314" i="327" s="1"/>
  <c r="O314" i="327"/>
  <c r="E314" i="327" s="1"/>
  <c r="N26" i="327"/>
  <c r="H18" i="327"/>
  <c r="R18" i="327" s="1"/>
  <c r="P4" i="327"/>
  <c r="F4" i="327"/>
  <c r="W28" i="314"/>
  <c r="W57" i="312"/>
  <c r="W19" i="312"/>
  <c r="W20" i="312"/>
  <c r="W60" i="312"/>
  <c r="N42" i="312"/>
  <c r="O42" i="312" s="1"/>
  <c r="W42" i="312"/>
  <c r="W18" i="312"/>
  <c r="L303" i="312"/>
  <c r="V45" i="312"/>
  <c r="W59" i="312"/>
  <c r="W58" i="312"/>
  <c r="W21" i="312"/>
  <c r="P45" i="311"/>
  <c r="X44" i="311"/>
  <c r="P14" i="3"/>
  <c r="G39" i="327"/>
  <c r="Q39" i="327" s="1"/>
  <c r="Q1" i="313"/>
  <c r="Q1" i="314"/>
  <c r="P3" i="314"/>
  <c r="P3" i="313"/>
  <c r="X24" i="313" s="1"/>
  <c r="N100" i="311"/>
  <c r="N40" i="308" s="1"/>
  <c r="N54" i="311"/>
  <c r="L140" i="312"/>
  <c r="V140" i="312" s="1"/>
  <c r="L159" i="312"/>
  <c r="V159" i="312" s="1"/>
  <c r="N146" i="312"/>
  <c r="N127" i="312"/>
  <c r="N108" i="312"/>
  <c r="L121" i="312"/>
  <c r="V121" i="312" s="1"/>
  <c r="O202" i="312"/>
  <c r="O270" i="312"/>
  <c r="O287" i="312"/>
  <c r="O253" i="312"/>
  <c r="O236" i="312"/>
  <c r="O219" i="312"/>
  <c r="O168" i="312"/>
  <c r="O185" i="312"/>
  <c r="O149" i="312"/>
  <c r="O111" i="312"/>
  <c r="O130" i="312"/>
  <c r="O73" i="312"/>
  <c r="O92" i="312"/>
  <c r="L102" i="312"/>
  <c r="N89" i="312"/>
  <c r="N12" i="312"/>
  <c r="N70" i="312"/>
  <c r="N51" i="312"/>
  <c r="N32" i="312"/>
  <c r="M43" i="312"/>
  <c r="W43" i="312" s="1"/>
  <c r="L83" i="312"/>
  <c r="M23" i="312"/>
  <c r="W23" i="312" s="1"/>
  <c r="O15" i="312"/>
  <c r="O54" i="312"/>
  <c r="O35" i="312"/>
  <c r="Q1" i="312"/>
  <c r="Q1" i="308"/>
  <c r="Q1" i="311"/>
  <c r="Q1" i="310"/>
  <c r="P3" i="312"/>
  <c r="P3" i="310"/>
  <c r="P3" i="308"/>
  <c r="N35" i="305"/>
  <c r="P34" i="3"/>
  <c r="P3" i="304"/>
  <c r="O30" i="304"/>
  <c r="Q1" i="304"/>
  <c r="Q1" i="1"/>
  <c r="Q12" i="3"/>
  <c r="P15" i="3"/>
  <c r="P4" i="305" s="1"/>
  <c r="Q10" i="3"/>
  <c r="Q2" i="305" s="1"/>
  <c r="P3" i="1"/>
  <c r="Q22" i="3"/>
  <c r="Q18" i="3"/>
  <c r="Q21" i="3"/>
  <c r="Q28" i="3"/>
  <c r="Q31" i="3"/>
  <c r="P16" i="305" l="1"/>
  <c r="P20" i="308" s="1"/>
  <c r="N249" i="315"/>
  <c r="Q313" i="327" s="1"/>
  <c r="G313" i="327" s="1"/>
  <c r="N17" i="308"/>
  <c r="N266" i="315" s="1"/>
  <c r="Q286" i="315"/>
  <c r="T203" i="327" s="1"/>
  <c r="J203" i="327" s="1"/>
  <c r="M138" i="305"/>
  <c r="N36" i="305"/>
  <c r="N22" i="308" s="1"/>
  <c r="O35" i="305"/>
  <c r="P35" i="305" s="1"/>
  <c r="X133" i="305"/>
  <c r="N26" i="305"/>
  <c r="X124" i="305"/>
  <c r="X125" i="305"/>
  <c r="X122" i="305"/>
  <c r="X126" i="305"/>
  <c r="X26" i="305"/>
  <c r="M21" i="308"/>
  <c r="P25" i="305"/>
  <c r="N131" i="305"/>
  <c r="N89" i="305"/>
  <c r="N39" i="305"/>
  <c r="N49" i="305"/>
  <c r="N121" i="305"/>
  <c r="N69" i="305"/>
  <c r="N99" i="305"/>
  <c r="N109" i="305"/>
  <c r="N59" i="305"/>
  <c r="N79" i="305"/>
  <c r="K167" i="315"/>
  <c r="D241" i="327" s="1"/>
  <c r="N241" i="327" s="1"/>
  <c r="X45" i="311"/>
  <c r="Q41" i="311"/>
  <c r="N71" i="312"/>
  <c r="N75" i="312" s="1"/>
  <c r="N128" i="312"/>
  <c r="N132" i="312" s="1"/>
  <c r="D212" i="327"/>
  <c r="N212" i="327" s="1"/>
  <c r="N109" i="312"/>
  <c r="N113" i="312" s="1"/>
  <c r="N90" i="312"/>
  <c r="N94" i="312" s="1"/>
  <c r="N147" i="312"/>
  <c r="N151" i="312" s="1"/>
  <c r="N157" i="312" s="1"/>
  <c r="N292" i="315"/>
  <c r="G13" i="327" s="1"/>
  <c r="Q13" i="327" s="1"/>
  <c r="Q5" i="327"/>
  <c r="G5" i="327"/>
  <c r="N43" i="312"/>
  <c r="N45" i="312" s="1"/>
  <c r="N303" i="312" s="1"/>
  <c r="N32" i="314" s="1"/>
  <c r="V303" i="312"/>
  <c r="L370" i="315"/>
  <c r="W22" i="308"/>
  <c r="J150" i="315"/>
  <c r="C224" i="327" s="1"/>
  <c r="M224" i="327" s="1"/>
  <c r="N137" i="305"/>
  <c r="X137" i="305"/>
  <c r="L306" i="312"/>
  <c r="V102" i="312"/>
  <c r="X21" i="312"/>
  <c r="X58" i="312"/>
  <c r="X47" i="308"/>
  <c r="X43" i="308"/>
  <c r="X48" i="308"/>
  <c r="X44" i="308"/>
  <c r="X45" i="308"/>
  <c r="X18" i="308"/>
  <c r="X14" i="308"/>
  <c r="X59" i="312"/>
  <c r="X18" i="312"/>
  <c r="X20" i="312"/>
  <c r="X9" i="310"/>
  <c r="X10" i="310"/>
  <c r="L305" i="312"/>
  <c r="V83" i="312"/>
  <c r="X38" i="313"/>
  <c r="X34" i="313"/>
  <c r="X29" i="313"/>
  <c r="X25" i="313"/>
  <c r="X21" i="313"/>
  <c r="X11" i="313"/>
  <c r="X39" i="313"/>
  <c r="X31" i="313"/>
  <c r="X26" i="313"/>
  <c r="X22" i="313"/>
  <c r="X12" i="313"/>
  <c r="X7" i="313"/>
  <c r="X42" i="313"/>
  <c r="X32" i="313"/>
  <c r="X27" i="313"/>
  <c r="X23" i="313"/>
  <c r="X19" i="313"/>
  <c r="X37" i="313"/>
  <c r="X33" i="313"/>
  <c r="X28" i="313"/>
  <c r="X20" i="313"/>
  <c r="X15" i="313"/>
  <c r="X286" i="312"/>
  <c r="X271" i="312"/>
  <c r="X264" i="312"/>
  <c r="X252" i="312"/>
  <c r="X237" i="312"/>
  <c r="X230" i="312"/>
  <c r="X218" i="312"/>
  <c r="X203" i="312"/>
  <c r="X196" i="312"/>
  <c r="X184" i="312"/>
  <c r="X169" i="312"/>
  <c r="X162" i="312"/>
  <c r="X148" i="312"/>
  <c r="X120" i="312"/>
  <c r="X112" i="312"/>
  <c r="X104" i="312"/>
  <c r="X279" i="312"/>
  <c r="X265" i="312"/>
  <c r="X245" i="312"/>
  <c r="X231" i="312"/>
  <c r="X211" i="312"/>
  <c r="X197" i="312"/>
  <c r="X177" i="312"/>
  <c r="X163" i="312"/>
  <c r="X141" i="312"/>
  <c r="X129" i="312"/>
  <c r="X101" i="312"/>
  <c r="X288" i="312"/>
  <c r="X281" i="312"/>
  <c r="X269" i="312"/>
  <c r="X254" i="312"/>
  <c r="X247" i="312"/>
  <c r="X235" i="312"/>
  <c r="X220" i="312"/>
  <c r="X213" i="312"/>
  <c r="X201" i="312"/>
  <c r="X186" i="312"/>
  <c r="X179" i="312"/>
  <c r="X167" i="312"/>
  <c r="X158" i="312"/>
  <c r="X150" i="312"/>
  <c r="X142" i="312"/>
  <c r="X122" i="312"/>
  <c r="X110" i="312"/>
  <c r="X296" i="312"/>
  <c r="X282" i="312"/>
  <c r="X262" i="312"/>
  <c r="X248" i="312"/>
  <c r="X228" i="312"/>
  <c r="X214" i="312"/>
  <c r="X194" i="312"/>
  <c r="X180" i="312"/>
  <c r="X139" i="312"/>
  <c r="X131" i="312"/>
  <c r="X123" i="312"/>
  <c r="X103" i="312"/>
  <c r="X91" i="312"/>
  <c r="X63" i="312"/>
  <c r="X55" i="312"/>
  <c r="X47" i="312"/>
  <c r="X34" i="312"/>
  <c r="X26" i="312"/>
  <c r="X14" i="312"/>
  <c r="X84" i="312"/>
  <c r="X72" i="312"/>
  <c r="X27" i="312"/>
  <c r="X93" i="312"/>
  <c r="X85" i="312"/>
  <c r="X65" i="312"/>
  <c r="X53" i="312"/>
  <c r="X44" i="312"/>
  <c r="X36" i="312"/>
  <c r="X28" i="312"/>
  <c r="X24" i="312"/>
  <c r="X16" i="312"/>
  <c r="X82" i="312"/>
  <c r="X74" i="312"/>
  <c r="X66" i="312"/>
  <c r="X46" i="312"/>
  <c r="X39" i="312"/>
  <c r="X41" i="312"/>
  <c r="X40" i="312"/>
  <c r="X38" i="312"/>
  <c r="X77" i="314"/>
  <c r="X73" i="314"/>
  <c r="X56" i="314"/>
  <c r="X45" i="314"/>
  <c r="X25" i="314"/>
  <c r="X18" i="314"/>
  <c r="X10" i="314"/>
  <c r="X78" i="314"/>
  <c r="X74" i="314"/>
  <c r="X57" i="314"/>
  <c r="X53" i="314"/>
  <c r="X51" i="314"/>
  <c r="X46" i="314"/>
  <c r="X42" i="314"/>
  <c r="X26" i="314"/>
  <c r="X22" i="314"/>
  <c r="X19" i="314"/>
  <c r="X11" i="314"/>
  <c r="X79" i="314"/>
  <c r="X75" i="314"/>
  <c r="X71" i="314"/>
  <c r="X58" i="314"/>
  <c r="X54" i="314"/>
  <c r="X47" i="314"/>
  <c r="X43" i="314"/>
  <c r="X29" i="314"/>
  <c r="X27" i="314"/>
  <c r="X23" i="314"/>
  <c r="X20" i="314"/>
  <c r="X14" i="314"/>
  <c r="X12" i="314"/>
  <c r="X76" i="314"/>
  <c r="X55" i="314"/>
  <c r="X48" i="314"/>
  <c r="X44" i="314"/>
  <c r="X24" i="314"/>
  <c r="X21" i="314"/>
  <c r="X17" i="314"/>
  <c r="X15" i="314"/>
  <c r="X9" i="314"/>
  <c r="X60" i="312"/>
  <c r="X19" i="312"/>
  <c r="X57" i="312"/>
  <c r="O32" i="304"/>
  <c r="O15" i="308" s="1"/>
  <c r="L143" i="315" s="1"/>
  <c r="E217" i="327" s="1"/>
  <c r="O217" i="327" s="1"/>
  <c r="X11" i="1"/>
  <c r="X10" i="1"/>
  <c r="X9" i="1"/>
  <c r="X12" i="1"/>
  <c r="Q2" i="313"/>
  <c r="Q2" i="314"/>
  <c r="P4" i="314"/>
  <c r="P4" i="313"/>
  <c r="N88" i="311"/>
  <c r="N16" i="314" s="1"/>
  <c r="O50" i="311"/>
  <c r="L308" i="312"/>
  <c r="L307" i="312"/>
  <c r="L309" i="312"/>
  <c r="M62" i="312"/>
  <c r="W62" i="312" s="1"/>
  <c r="M25" i="312"/>
  <c r="N23" i="312"/>
  <c r="N25" i="312" s="1"/>
  <c r="N302" i="312" s="1"/>
  <c r="N31" i="314" s="1"/>
  <c r="M45" i="312"/>
  <c r="Q2" i="312"/>
  <c r="Q2" i="308"/>
  <c r="Q2" i="311"/>
  <c r="Q2" i="310"/>
  <c r="P4" i="312"/>
  <c r="P4" i="311"/>
  <c r="P4" i="310"/>
  <c r="P4" i="308"/>
  <c r="Q3" i="311"/>
  <c r="P19" i="305"/>
  <c r="L148" i="315"/>
  <c r="E222" i="327" s="1"/>
  <c r="O222" i="327" s="1"/>
  <c r="O8" i="310"/>
  <c r="P29" i="305"/>
  <c r="Q4" i="305"/>
  <c r="P4" i="304"/>
  <c r="P30" i="304" s="1"/>
  <c r="Q2" i="304"/>
  <c r="O26" i="305"/>
  <c r="O36" i="305"/>
  <c r="Q2" i="1"/>
  <c r="P4" i="1"/>
  <c r="Q13" i="3"/>
  <c r="Q11" i="3"/>
  <c r="Q3" i="305" s="1"/>
  <c r="R9" i="3"/>
  <c r="R1" i="305" s="1"/>
  <c r="Q32" i="3"/>
  <c r="Q33" i="3" s="1"/>
  <c r="Q30" i="3"/>
  <c r="Q29" i="3"/>
  <c r="R27" i="3"/>
  <c r="R17" i="3"/>
  <c r="Q23" i="3"/>
  <c r="Q24" i="3" s="1"/>
  <c r="Q20" i="3"/>
  <c r="Q19" i="3"/>
  <c r="Q25" i="3" s="1"/>
  <c r="Y148" i="305" l="1"/>
  <c r="Y132" i="305"/>
  <c r="Y142" i="305"/>
  <c r="Y144" i="305"/>
  <c r="Y143" i="305"/>
  <c r="K145" i="315"/>
  <c r="D219" i="327" s="1"/>
  <c r="N219" i="327" s="1"/>
  <c r="N21" i="308"/>
  <c r="O21" i="308"/>
  <c r="K212" i="315"/>
  <c r="X138" i="305"/>
  <c r="M49" i="308"/>
  <c r="Q35" i="305"/>
  <c r="X123" i="305"/>
  <c r="Y41" i="305"/>
  <c r="Y60" i="305"/>
  <c r="Y23" i="305"/>
  <c r="Y20" i="305"/>
  <c r="Y108" i="305"/>
  <c r="Y18" i="305"/>
  <c r="Y124" i="305"/>
  <c r="Y122" i="305"/>
  <c r="Y22" i="305"/>
  <c r="Y12" i="305"/>
  <c r="Y13" i="305"/>
  <c r="Y28" i="305"/>
  <c r="Y123" i="305"/>
  <c r="Y120" i="305"/>
  <c r="Y101" i="305"/>
  <c r="Y91" i="305"/>
  <c r="Y90" i="305"/>
  <c r="Y110" i="305"/>
  <c r="Y14" i="305"/>
  <c r="Y11" i="305"/>
  <c r="Y27" i="305"/>
  <c r="Y87" i="305"/>
  <c r="Y133" i="305"/>
  <c r="Y130" i="305"/>
  <c r="Y81" i="305"/>
  <c r="Y80" i="305"/>
  <c r="Y31" i="305"/>
  <c r="Y38" i="305"/>
  <c r="Y47" i="305"/>
  <c r="Y107" i="305"/>
  <c r="Y125" i="305"/>
  <c r="Y129" i="305"/>
  <c r="Y61" i="305"/>
  <c r="Y33" i="305"/>
  <c r="Y24" i="305"/>
  <c r="Y68" i="305"/>
  <c r="Y17" i="305"/>
  <c r="Y67" i="305"/>
  <c r="Y136" i="305"/>
  <c r="Y119" i="305"/>
  <c r="Q25" i="305"/>
  <c r="Y71" i="305"/>
  <c r="Y70" i="305"/>
  <c r="Y32" i="305"/>
  <c r="Y40" i="305"/>
  <c r="Y98" i="305"/>
  <c r="Y78" i="305"/>
  <c r="Y37" i="305"/>
  <c r="Y77" i="305"/>
  <c r="Y126" i="305"/>
  <c r="Y51" i="305"/>
  <c r="Q14" i="3"/>
  <c r="Y34" i="305"/>
  <c r="Y21" i="305"/>
  <c r="Y88" i="305"/>
  <c r="Y57" i="305"/>
  <c r="Y134" i="305"/>
  <c r="Y111" i="305"/>
  <c r="Y50" i="305"/>
  <c r="Y100" i="305"/>
  <c r="Y30" i="305"/>
  <c r="Y48" i="305"/>
  <c r="Y58" i="305"/>
  <c r="Y15" i="305"/>
  <c r="Y97" i="305"/>
  <c r="Y135" i="305"/>
  <c r="Q44" i="311"/>
  <c r="Q45" i="311" s="1"/>
  <c r="R41" i="311" s="1"/>
  <c r="K150" i="315"/>
  <c r="D224" i="327" s="1"/>
  <c r="N224" i="327" s="1"/>
  <c r="O22" i="308"/>
  <c r="N10" i="313"/>
  <c r="W156" i="312"/>
  <c r="W99" i="312"/>
  <c r="W80" i="312"/>
  <c r="O156" i="312"/>
  <c r="P156" i="312" s="1"/>
  <c r="N137" i="312"/>
  <c r="O137" i="312" s="1"/>
  <c r="P137" i="312" s="1"/>
  <c r="N99" i="312"/>
  <c r="O99" i="312" s="1"/>
  <c r="P99" i="312" s="1"/>
  <c r="N80" i="312"/>
  <c r="O80" i="312" s="1"/>
  <c r="P80" i="312" s="1"/>
  <c r="N118" i="312"/>
  <c r="O118" i="312" s="1"/>
  <c r="P118" i="312" s="1"/>
  <c r="F40" i="327"/>
  <c r="P40" i="327" s="1"/>
  <c r="Q4" i="327"/>
  <c r="G4" i="327"/>
  <c r="N370" i="315"/>
  <c r="V306" i="312"/>
  <c r="L374" i="315"/>
  <c r="V309" i="312"/>
  <c r="L377" i="315"/>
  <c r="V307" i="312"/>
  <c r="L375" i="315"/>
  <c r="V305" i="312"/>
  <c r="L373" i="315"/>
  <c r="V308" i="312"/>
  <c r="L376" i="315"/>
  <c r="W21" i="308"/>
  <c r="J149" i="315"/>
  <c r="C223" i="327" s="1"/>
  <c r="M223" i="327" s="1"/>
  <c r="N369" i="315"/>
  <c r="N13" i="314"/>
  <c r="K196" i="315"/>
  <c r="N281" i="327" s="1"/>
  <c r="D281" i="327" s="1"/>
  <c r="N138" i="305"/>
  <c r="N49" i="308" s="1"/>
  <c r="O137" i="305"/>
  <c r="O146" i="312"/>
  <c r="O12" i="312"/>
  <c r="O51" i="312"/>
  <c r="O10" i="308"/>
  <c r="O89" i="312"/>
  <c r="O70" i="312"/>
  <c r="O108" i="312"/>
  <c r="O32" i="312"/>
  <c r="O127" i="312"/>
  <c r="X95" i="312"/>
  <c r="W95" i="312"/>
  <c r="X77" i="312"/>
  <c r="W77" i="312"/>
  <c r="X136" i="312"/>
  <c r="W136" i="312"/>
  <c r="X117" i="312"/>
  <c r="W117" i="312"/>
  <c r="X154" i="312"/>
  <c r="W154" i="312"/>
  <c r="M303" i="312"/>
  <c r="W45" i="312"/>
  <c r="X98" i="312"/>
  <c r="W98" i="312"/>
  <c r="X79" i="312"/>
  <c r="W79" i="312"/>
  <c r="X133" i="312"/>
  <c r="W133" i="312"/>
  <c r="X116" i="312"/>
  <c r="W116" i="312"/>
  <c r="X152" i="312"/>
  <c r="W152" i="312"/>
  <c r="X97" i="312"/>
  <c r="W97" i="312"/>
  <c r="X76" i="312"/>
  <c r="W76" i="312"/>
  <c r="X134" i="312"/>
  <c r="W134" i="312"/>
  <c r="X114" i="312"/>
  <c r="W114" i="312"/>
  <c r="W155" i="312"/>
  <c r="X155" i="312"/>
  <c r="M302" i="312"/>
  <c r="W25" i="312"/>
  <c r="X96" i="312"/>
  <c r="W96" i="312"/>
  <c r="W78" i="312"/>
  <c r="X78" i="312"/>
  <c r="W135" i="312"/>
  <c r="X135" i="312"/>
  <c r="W115" i="312"/>
  <c r="X115" i="312"/>
  <c r="X153" i="312"/>
  <c r="W153" i="312"/>
  <c r="P42" i="312"/>
  <c r="O18" i="304"/>
  <c r="O17" i="304" s="1"/>
  <c r="O12" i="308" s="1"/>
  <c r="L141" i="315" s="1"/>
  <c r="E215" i="327" s="1"/>
  <c r="O215" i="327" s="1"/>
  <c r="O15" i="304"/>
  <c r="O14" i="304" s="1"/>
  <c r="P61" i="312"/>
  <c r="P22" i="312"/>
  <c r="R1" i="314"/>
  <c r="R1" i="313"/>
  <c r="Q3" i="313"/>
  <c r="Q3" i="314"/>
  <c r="K149" i="315"/>
  <c r="D223" i="327" s="1"/>
  <c r="N223" i="327" s="1"/>
  <c r="O11" i="310"/>
  <c r="O51" i="311"/>
  <c r="O75" i="311" s="1"/>
  <c r="P270" i="312"/>
  <c r="X270" i="312" s="1"/>
  <c r="P253" i="312"/>
  <c r="X253" i="312" s="1"/>
  <c r="P287" i="312"/>
  <c r="X287" i="312" s="1"/>
  <c r="P202" i="312"/>
  <c r="X202" i="312" s="1"/>
  <c r="P236" i="312"/>
  <c r="X236" i="312" s="1"/>
  <c r="P219" i="312"/>
  <c r="X219" i="312" s="1"/>
  <c r="P168" i="312"/>
  <c r="X168" i="312" s="1"/>
  <c r="P185" i="312"/>
  <c r="X185" i="312" s="1"/>
  <c r="P130" i="312"/>
  <c r="X130" i="312" s="1"/>
  <c r="P149" i="312"/>
  <c r="X149" i="312" s="1"/>
  <c r="P92" i="312"/>
  <c r="X92" i="312" s="1"/>
  <c r="P111" i="312"/>
  <c r="X111" i="312" s="1"/>
  <c r="L301" i="312"/>
  <c r="V301" i="312" s="1"/>
  <c r="N62" i="312"/>
  <c r="N64" i="312" s="1"/>
  <c r="N304" i="312" s="1"/>
  <c r="N33" i="314" s="1"/>
  <c r="N30" i="314" s="1"/>
  <c r="K211" i="315" s="1"/>
  <c r="N286" i="327" s="1"/>
  <c r="D286" i="327" s="1"/>
  <c r="M64" i="312"/>
  <c r="W64" i="312" s="1"/>
  <c r="P73" i="312"/>
  <c r="X73" i="312" s="1"/>
  <c r="P15" i="312"/>
  <c r="X15" i="312" s="1"/>
  <c r="P54" i="312"/>
  <c r="X54" i="312" s="1"/>
  <c r="P35" i="312"/>
  <c r="X35" i="312" s="1"/>
  <c r="R1" i="312"/>
  <c r="R1" i="311"/>
  <c r="R1" i="310"/>
  <c r="R1" i="308"/>
  <c r="Q3" i="312"/>
  <c r="Q3" i="308"/>
  <c r="Q3" i="310"/>
  <c r="P36" i="305"/>
  <c r="R1" i="304"/>
  <c r="Q16" i="305"/>
  <c r="Q34" i="3"/>
  <c r="Q3" i="304"/>
  <c r="P26" i="305"/>
  <c r="Q3" i="1"/>
  <c r="R1" i="1"/>
  <c r="R12" i="3"/>
  <c r="Q15" i="3"/>
  <c r="R10" i="3"/>
  <c r="R2" i="305" s="1"/>
  <c r="R28" i="3"/>
  <c r="R31" i="3"/>
  <c r="R22" i="3"/>
  <c r="R18" i="3"/>
  <c r="R21" i="3"/>
  <c r="M369" i="315" l="1"/>
  <c r="M31" i="314"/>
  <c r="P21" i="308"/>
  <c r="M370" i="315"/>
  <c r="M32" i="314"/>
  <c r="M128" i="305"/>
  <c r="N127" i="305"/>
  <c r="X127" i="305"/>
  <c r="O124" i="312"/>
  <c r="Y16" i="305"/>
  <c r="Q20" i="308"/>
  <c r="L150" i="315"/>
  <c r="E224" i="327" s="1"/>
  <c r="O224" i="327" s="1"/>
  <c r="P22" i="308"/>
  <c r="Y35" i="305"/>
  <c r="Y25" i="305"/>
  <c r="M100" i="312"/>
  <c r="W100" i="312" s="1"/>
  <c r="N138" i="312"/>
  <c r="N140" i="312" s="1"/>
  <c r="N308" i="312" s="1"/>
  <c r="N37" i="314" s="1"/>
  <c r="X156" i="312"/>
  <c r="M157" i="312"/>
  <c r="X137" i="312"/>
  <c r="W137" i="312"/>
  <c r="M138" i="312"/>
  <c r="X118" i="312"/>
  <c r="W118" i="312"/>
  <c r="M119" i="312"/>
  <c r="X99" i="312"/>
  <c r="X80" i="312"/>
  <c r="X61" i="312"/>
  <c r="X42" i="312"/>
  <c r="X22" i="312"/>
  <c r="Q53" i="311"/>
  <c r="Q100" i="311" s="1"/>
  <c r="Q40" i="308" s="1"/>
  <c r="R52" i="311"/>
  <c r="Q52" i="311"/>
  <c r="N119" i="312"/>
  <c r="N121" i="312" s="1"/>
  <c r="N307" i="312" s="1"/>
  <c r="N36" i="314" s="1"/>
  <c r="K217" i="315" s="1"/>
  <c r="N159" i="312"/>
  <c r="N309" i="312" s="1"/>
  <c r="N38" i="314" s="1"/>
  <c r="O48" i="312"/>
  <c r="O9" i="312"/>
  <c r="O267" i="315"/>
  <c r="L139" i="315"/>
  <c r="E213" i="327" s="1"/>
  <c r="O213" i="327" s="1"/>
  <c r="K213" i="315"/>
  <c r="N287" i="327" s="1"/>
  <c r="D287" i="327" s="1"/>
  <c r="N371" i="315"/>
  <c r="K214" i="315"/>
  <c r="N288" i="327" s="1"/>
  <c r="D288" i="327" s="1"/>
  <c r="N372" i="315"/>
  <c r="W49" i="308"/>
  <c r="J177" i="315"/>
  <c r="C251" i="327" s="1"/>
  <c r="M251" i="327" s="1"/>
  <c r="N28" i="314"/>
  <c r="K209" i="315" s="1"/>
  <c r="N285" i="327" s="1"/>
  <c r="D285" i="327" s="1"/>
  <c r="K193" i="315"/>
  <c r="N278" i="327" s="1"/>
  <c r="D278" i="327" s="1"/>
  <c r="P137" i="305"/>
  <c r="O29" i="312"/>
  <c r="O86" i="312"/>
  <c r="O67" i="312"/>
  <c r="O105" i="312"/>
  <c r="O143" i="312"/>
  <c r="W302" i="312"/>
  <c r="W303" i="312"/>
  <c r="O9" i="304"/>
  <c r="O8" i="304" s="1"/>
  <c r="O11" i="308"/>
  <c r="L140" i="315" s="1"/>
  <c r="E214" i="327" s="1"/>
  <c r="O214" i="327" s="1"/>
  <c r="O31" i="312"/>
  <c r="O107" i="312"/>
  <c r="O145" i="312"/>
  <c r="O126" i="312"/>
  <c r="O11" i="312"/>
  <c r="O69" i="312"/>
  <c r="O50" i="312"/>
  <c r="O88" i="312"/>
  <c r="G40" i="327"/>
  <c r="Q40" i="327" s="1"/>
  <c r="R2" i="314"/>
  <c r="R2" i="313"/>
  <c r="Q4" i="314"/>
  <c r="Q4" i="313"/>
  <c r="L149" i="315"/>
  <c r="E223" i="327" s="1"/>
  <c r="O223" i="327" s="1"/>
  <c r="M304" i="312"/>
  <c r="M33" i="314" s="1"/>
  <c r="M371" i="315"/>
  <c r="M81" i="312"/>
  <c r="W81" i="312" s="1"/>
  <c r="N100" i="312"/>
  <c r="R2" i="312"/>
  <c r="R2" i="311"/>
  <c r="R2" i="310"/>
  <c r="R2" i="308"/>
  <c r="Q4" i="312"/>
  <c r="Q137" i="312" s="1"/>
  <c r="Q4" i="311"/>
  <c r="Q4" i="310"/>
  <c r="Q4" i="308"/>
  <c r="Q29" i="305"/>
  <c r="R3" i="311"/>
  <c r="Q19" i="305"/>
  <c r="Q4" i="304"/>
  <c r="R4" i="305"/>
  <c r="R2" i="304"/>
  <c r="R2" i="1"/>
  <c r="S9" i="3"/>
  <c r="S1" i="305" s="1"/>
  <c r="Q4" i="1"/>
  <c r="R13" i="3"/>
  <c r="R11" i="3"/>
  <c r="R3" i="305" s="1"/>
  <c r="R32" i="3"/>
  <c r="R33" i="3" s="1"/>
  <c r="R29" i="3"/>
  <c r="R30" i="3"/>
  <c r="S27" i="3"/>
  <c r="S17" i="3"/>
  <c r="R23" i="3"/>
  <c r="R24" i="3" s="1"/>
  <c r="R20" i="3"/>
  <c r="R19" i="3"/>
  <c r="R25" i="3" s="1"/>
  <c r="R25" i="305" l="1"/>
  <c r="M30" i="314"/>
  <c r="X128" i="305"/>
  <c r="M46" i="308"/>
  <c r="R35" i="305"/>
  <c r="O127" i="305"/>
  <c r="P127" i="305" s="1"/>
  <c r="N128" i="305"/>
  <c r="Q80" i="312"/>
  <c r="Q22" i="312"/>
  <c r="Q23" i="312" s="1"/>
  <c r="Q99" i="312"/>
  <c r="R16" i="305"/>
  <c r="R20" i="308" s="1"/>
  <c r="Q130" i="312"/>
  <c r="Q287" i="312"/>
  <c r="Q253" i="312"/>
  <c r="Q185" i="312"/>
  <c r="Q149" i="312"/>
  <c r="Q73" i="312"/>
  <c r="Q219" i="312"/>
  <c r="Q15" i="312"/>
  <c r="Q236" i="312"/>
  <c r="Q168" i="312"/>
  <c r="Q111" i="312"/>
  <c r="Q35" i="312"/>
  <c r="Q54" i="312"/>
  <c r="Q270" i="312"/>
  <c r="Q202" i="312"/>
  <c r="Q92" i="312"/>
  <c r="Q42" i="312"/>
  <c r="Q43" i="312" s="1"/>
  <c r="Q10" i="308"/>
  <c r="Q30" i="304"/>
  <c r="Q156" i="312"/>
  <c r="Q61" i="312"/>
  <c r="Q62" i="312" s="1"/>
  <c r="Q118" i="312"/>
  <c r="R14" i="3"/>
  <c r="R44" i="311"/>
  <c r="R45" i="311" s="1"/>
  <c r="R53" i="311"/>
  <c r="R100" i="311" s="1"/>
  <c r="O121" i="305"/>
  <c r="O69" i="305"/>
  <c r="O131" i="305"/>
  <c r="O138" i="305" s="1"/>
  <c r="O49" i="308" s="1"/>
  <c r="O109" i="305"/>
  <c r="O59" i="305"/>
  <c r="O89" i="305"/>
  <c r="O99" i="305"/>
  <c r="O79" i="305"/>
  <c r="O49" i="305"/>
  <c r="O39" i="305"/>
  <c r="K177" i="315"/>
  <c r="D251" i="327" s="1"/>
  <c r="N251" i="327" s="1"/>
  <c r="N377" i="315"/>
  <c r="Q10" i="313"/>
  <c r="N376" i="315"/>
  <c r="M159" i="312"/>
  <c r="W157" i="312"/>
  <c r="W138" i="312"/>
  <c r="M140" i="312"/>
  <c r="W119" i="312"/>
  <c r="M121" i="312"/>
  <c r="P32" i="304"/>
  <c r="N375" i="315"/>
  <c r="K219" i="315"/>
  <c r="R5" i="327"/>
  <c r="H5" i="327"/>
  <c r="O292" i="315"/>
  <c r="H13" i="327" s="1"/>
  <c r="R13" i="327" s="1"/>
  <c r="X20" i="308"/>
  <c r="M148" i="315"/>
  <c r="F222" i="327" s="1"/>
  <c r="P222" i="327" s="1"/>
  <c r="W304" i="312"/>
  <c r="M372" i="315"/>
  <c r="W31" i="314"/>
  <c r="J212" i="315"/>
  <c r="W30" i="314"/>
  <c r="J211" i="315"/>
  <c r="M286" i="327" s="1"/>
  <c r="C286" i="327" s="1"/>
  <c r="Q127" i="305"/>
  <c r="R127" i="305" s="1"/>
  <c r="Q137" i="305"/>
  <c r="R137" i="305" s="1"/>
  <c r="Q26" i="305"/>
  <c r="Y19" i="305"/>
  <c r="Q36" i="305"/>
  <c r="Q22" i="308" s="1"/>
  <c r="Y29" i="305"/>
  <c r="P15" i="304"/>
  <c r="P14" i="304" s="1"/>
  <c r="P18" i="304"/>
  <c r="P17" i="304" s="1"/>
  <c r="O9" i="308"/>
  <c r="O125" i="312"/>
  <c r="O128" i="312" s="1"/>
  <c r="O132" i="312" s="1"/>
  <c r="O138" i="312" s="1"/>
  <c r="O140" i="312" s="1"/>
  <c r="O308" i="312" s="1"/>
  <c r="O30" i="312"/>
  <c r="O33" i="312" s="1"/>
  <c r="O37" i="312" s="1"/>
  <c r="O43" i="312" s="1"/>
  <c r="O45" i="312" s="1"/>
  <c r="O303" i="312" s="1"/>
  <c r="O32" i="314" s="1"/>
  <c r="O10" i="312"/>
  <c r="O13" i="312" s="1"/>
  <c r="O17" i="312" s="1"/>
  <c r="O23" i="312" s="1"/>
  <c r="O25" i="312" s="1"/>
  <c r="O302" i="312" s="1"/>
  <c r="O31" i="314" s="1"/>
  <c r="O144" i="312"/>
  <c r="O147" i="312" s="1"/>
  <c r="O151" i="312" s="1"/>
  <c r="O157" i="312" s="1"/>
  <c r="O159" i="312" s="1"/>
  <c r="O309" i="312" s="1"/>
  <c r="O49" i="312"/>
  <c r="O52" i="312" s="1"/>
  <c r="O56" i="312" s="1"/>
  <c r="O62" i="312" s="1"/>
  <c r="O64" i="312" s="1"/>
  <c r="O304" i="312" s="1"/>
  <c r="O33" i="314" s="1"/>
  <c r="O68" i="312"/>
  <c r="O71" i="312" s="1"/>
  <c r="O75" i="312" s="1"/>
  <c r="O87" i="312"/>
  <c r="O90" i="312" s="1"/>
  <c r="O94" i="312" s="1"/>
  <c r="O100" i="312" s="1"/>
  <c r="O106" i="312"/>
  <c r="O109" i="312" s="1"/>
  <c r="O113" i="312" s="1"/>
  <c r="O119" i="312" s="1"/>
  <c r="O121" i="312" s="1"/>
  <c r="O307" i="312" s="1"/>
  <c r="P10" i="308"/>
  <c r="S1" i="314"/>
  <c r="S1" i="313"/>
  <c r="R3" i="313"/>
  <c r="R3" i="314"/>
  <c r="N102" i="312"/>
  <c r="N306" i="312" s="1"/>
  <c r="M83" i="312"/>
  <c r="M102" i="312"/>
  <c r="N81" i="312"/>
  <c r="N83" i="312" s="1"/>
  <c r="N305" i="312" s="1"/>
  <c r="R3" i="312"/>
  <c r="R3" i="308"/>
  <c r="R3" i="310"/>
  <c r="S1" i="312"/>
  <c r="S1" i="311"/>
  <c r="S1" i="310"/>
  <c r="S1" i="308"/>
  <c r="R34" i="3"/>
  <c r="R3" i="304"/>
  <c r="S1" i="304"/>
  <c r="R3" i="1"/>
  <c r="S1" i="1"/>
  <c r="S10" i="3"/>
  <c r="S2" i="305" s="1"/>
  <c r="S12" i="3"/>
  <c r="R15" i="3"/>
  <c r="S22" i="3"/>
  <c r="S18" i="3"/>
  <c r="S21" i="3"/>
  <c r="S28" i="3"/>
  <c r="S31" i="3"/>
  <c r="O128" i="305" l="1"/>
  <c r="O46" i="308" s="1"/>
  <c r="Q21" i="308"/>
  <c r="N46" i="308"/>
  <c r="K174" i="315" s="1"/>
  <c r="D248" i="327" s="1"/>
  <c r="N248" i="327" s="1"/>
  <c r="M50" i="308"/>
  <c r="J174" i="315"/>
  <c r="C248" i="327" s="1"/>
  <c r="M248" i="327" s="1"/>
  <c r="W46" i="308"/>
  <c r="R40" i="308"/>
  <c r="R10" i="313" s="1"/>
  <c r="R19" i="305"/>
  <c r="R26" i="305" s="1"/>
  <c r="R29" i="305"/>
  <c r="R36" i="305" s="1"/>
  <c r="R22" i="308" s="1"/>
  <c r="Q124" i="312"/>
  <c r="Q105" i="312"/>
  <c r="Q29" i="312"/>
  <c r="Q86" i="312"/>
  <c r="Q9" i="312"/>
  <c r="Q67" i="312"/>
  <c r="Q143" i="312"/>
  <c r="Q48" i="312"/>
  <c r="Q15" i="304"/>
  <c r="Q14" i="304" s="1"/>
  <c r="Q11" i="308" s="1"/>
  <c r="Q18" i="304"/>
  <c r="Q17" i="304" s="1"/>
  <c r="Q32" i="304"/>
  <c r="O50" i="308"/>
  <c r="L178" i="315" s="1"/>
  <c r="E252" i="327" s="1"/>
  <c r="O252" i="327" s="1"/>
  <c r="L174" i="315"/>
  <c r="E248" i="327" s="1"/>
  <c r="O248" i="327" s="1"/>
  <c r="L177" i="315"/>
  <c r="E251" i="327" s="1"/>
  <c r="O251" i="327" s="1"/>
  <c r="Q19" i="308"/>
  <c r="M309" i="312"/>
  <c r="M38" i="314" s="1"/>
  <c r="W159" i="312"/>
  <c r="W140" i="312"/>
  <c r="M308" i="312"/>
  <c r="M37" i="314" s="1"/>
  <c r="W121" i="312"/>
  <c r="M307" i="312"/>
  <c r="M36" i="314" s="1"/>
  <c r="P12" i="308"/>
  <c r="P69" i="312" s="1"/>
  <c r="X69" i="312" s="1"/>
  <c r="P11" i="308"/>
  <c r="P87" i="312" s="1"/>
  <c r="X87" i="312" s="1"/>
  <c r="P48" i="312"/>
  <c r="X48" i="312" s="1"/>
  <c r="N148" i="315"/>
  <c r="G222" i="327" s="1"/>
  <c r="Q222" i="327" s="1"/>
  <c r="O148" i="315"/>
  <c r="P148" i="315"/>
  <c r="W33" i="314"/>
  <c r="J214" i="315"/>
  <c r="M288" i="327" s="1"/>
  <c r="C288" i="327" s="1"/>
  <c r="L214" i="315"/>
  <c r="O288" i="327" s="1"/>
  <c r="E288" i="327" s="1"/>
  <c r="O372" i="315"/>
  <c r="O370" i="315"/>
  <c r="L213" i="315"/>
  <c r="O287" i="327" s="1"/>
  <c r="E287" i="327" s="1"/>
  <c r="O371" i="315"/>
  <c r="O37" i="314"/>
  <c r="L218" i="315" s="1"/>
  <c r="O291" i="327" s="1"/>
  <c r="E291" i="327" s="1"/>
  <c r="O376" i="315"/>
  <c r="W32" i="314"/>
  <c r="J213" i="315"/>
  <c r="M287" i="327" s="1"/>
  <c r="C287" i="327" s="1"/>
  <c r="O36" i="314"/>
  <c r="L217" i="315" s="1"/>
  <c r="O375" i="315"/>
  <c r="N35" i="314"/>
  <c r="K216" i="315" s="1"/>
  <c r="N290" i="327" s="1"/>
  <c r="D290" i="327" s="1"/>
  <c r="N374" i="315"/>
  <c r="O38" i="314"/>
  <c r="L219" i="315" s="1"/>
  <c r="O377" i="315"/>
  <c r="O17" i="308"/>
  <c r="L138" i="315"/>
  <c r="N34" i="314"/>
  <c r="N373" i="315"/>
  <c r="O369" i="315"/>
  <c r="P9" i="312"/>
  <c r="X9" i="312" s="1"/>
  <c r="P267" i="315"/>
  <c r="M139" i="315"/>
  <c r="F213" i="327" s="1"/>
  <c r="P213" i="327" s="1"/>
  <c r="P86" i="312"/>
  <c r="X86" i="312" s="1"/>
  <c r="P29" i="312"/>
  <c r="X29" i="312" s="1"/>
  <c r="Y127" i="305"/>
  <c r="Y137" i="305"/>
  <c r="P9" i="304"/>
  <c r="P8" i="304" s="1"/>
  <c r="M305" i="312"/>
  <c r="W83" i="312"/>
  <c r="M306" i="312"/>
  <c r="W102" i="312"/>
  <c r="P143" i="312"/>
  <c r="X143" i="312" s="1"/>
  <c r="X10" i="308"/>
  <c r="Y36" i="305"/>
  <c r="Y26" i="305"/>
  <c r="P105" i="312"/>
  <c r="X105" i="312" s="1"/>
  <c r="P67" i="312"/>
  <c r="X67" i="312" s="1"/>
  <c r="P124" i="312"/>
  <c r="X124" i="312" s="1"/>
  <c r="S2" i="314"/>
  <c r="S2" i="313"/>
  <c r="R4" i="313"/>
  <c r="R4" i="314"/>
  <c r="N301" i="312"/>
  <c r="O81" i="312"/>
  <c r="O83" i="312" s="1"/>
  <c r="O305" i="312" s="1"/>
  <c r="O102" i="312"/>
  <c r="O306" i="312" s="1"/>
  <c r="R4" i="312"/>
  <c r="R4" i="308"/>
  <c r="R4" i="310"/>
  <c r="R4" i="311"/>
  <c r="S3" i="311"/>
  <c r="S2" i="312"/>
  <c r="S17" i="312" s="1"/>
  <c r="S2" i="311"/>
  <c r="S2" i="310"/>
  <c r="S2" i="308"/>
  <c r="S2" i="304"/>
  <c r="R4" i="304"/>
  <c r="R30" i="304" s="1"/>
  <c r="R32" i="304" s="1"/>
  <c r="S4" i="305"/>
  <c r="S13" i="3"/>
  <c r="S14" i="3" s="1"/>
  <c r="S2" i="1"/>
  <c r="T9" i="3"/>
  <c r="T1" i="305" s="1"/>
  <c r="S11" i="3"/>
  <c r="S3" i="305" s="1"/>
  <c r="R4" i="1"/>
  <c r="T17" i="3"/>
  <c r="S23" i="3"/>
  <c r="S24" i="3" s="1"/>
  <c r="S20" i="3"/>
  <c r="S19" i="3"/>
  <c r="S25" i="3" s="1"/>
  <c r="S32" i="3"/>
  <c r="S33" i="3" s="1"/>
  <c r="S30" i="3"/>
  <c r="S29" i="3"/>
  <c r="T27" i="3"/>
  <c r="P50" i="312" l="1"/>
  <c r="X50" i="312" s="1"/>
  <c r="R21" i="308"/>
  <c r="R19" i="308" s="1"/>
  <c r="M373" i="315"/>
  <c r="M34" i="314"/>
  <c r="M374" i="315"/>
  <c r="M35" i="314"/>
  <c r="K215" i="315"/>
  <c r="N289" i="327" s="1"/>
  <c r="D289" i="327" s="1"/>
  <c r="L212" i="315"/>
  <c r="N212" i="315" s="1"/>
  <c r="O30" i="314"/>
  <c r="L211" i="315" s="1"/>
  <c r="N211" i="315" s="1"/>
  <c r="Q286" i="327" s="1"/>
  <c r="G286" i="327" s="1"/>
  <c r="W50" i="308"/>
  <c r="J178" i="315"/>
  <c r="C252" i="327" s="1"/>
  <c r="M252" i="327" s="1"/>
  <c r="N50" i="308"/>
  <c r="K178" i="315" s="1"/>
  <c r="D252" i="327" s="1"/>
  <c r="N252" i="327" s="1"/>
  <c r="P68" i="312"/>
  <c r="X68" i="312" s="1"/>
  <c r="P31" i="312"/>
  <c r="X31" i="312" s="1"/>
  <c r="X11" i="308"/>
  <c r="P9" i="308"/>
  <c r="M138" i="315" s="1"/>
  <c r="F212" i="327" s="1"/>
  <c r="P212" i="327" s="1"/>
  <c r="P144" i="312"/>
  <c r="X144" i="312" s="1"/>
  <c r="P10" i="312"/>
  <c r="X10" i="312" s="1"/>
  <c r="P30" i="312"/>
  <c r="X30" i="312" s="1"/>
  <c r="R253" i="312"/>
  <c r="R185" i="312"/>
  <c r="R15" i="312"/>
  <c r="R73" i="312"/>
  <c r="R202" i="312"/>
  <c r="R236" i="312"/>
  <c r="R168" i="312"/>
  <c r="R111" i="312"/>
  <c r="R35" i="312"/>
  <c r="R270" i="312"/>
  <c r="R130" i="312"/>
  <c r="R287" i="312"/>
  <c r="R219" i="312"/>
  <c r="R149" i="312"/>
  <c r="R54" i="312"/>
  <c r="R92" i="312"/>
  <c r="R99" i="312"/>
  <c r="R80" i="312"/>
  <c r="R137" i="312"/>
  <c r="R61" i="312"/>
  <c r="R62" i="312" s="1"/>
  <c r="R42" i="312"/>
  <c r="R43" i="312" s="1"/>
  <c r="R118" i="312"/>
  <c r="R156" i="312"/>
  <c r="R22" i="312"/>
  <c r="R23" i="312" s="1"/>
  <c r="R10" i="308"/>
  <c r="R15" i="304"/>
  <c r="R14" i="304" s="1"/>
  <c r="R18" i="304"/>
  <c r="R17" i="304" s="1"/>
  <c r="R12" i="308" s="1"/>
  <c r="P106" i="312"/>
  <c r="X106" i="312" s="1"/>
  <c r="M140" i="315"/>
  <c r="F214" i="327" s="1"/>
  <c r="P214" i="327" s="1"/>
  <c r="P145" i="312"/>
  <c r="X145" i="312" s="1"/>
  <c r="P107" i="312"/>
  <c r="X107" i="312" s="1"/>
  <c r="P88" i="312"/>
  <c r="X88" i="312" s="1"/>
  <c r="P126" i="312"/>
  <c r="X126" i="312" s="1"/>
  <c r="M141" i="315"/>
  <c r="F215" i="327" s="1"/>
  <c r="P215" i="327" s="1"/>
  <c r="X12" i="308"/>
  <c r="P109" i="305"/>
  <c r="P59" i="305"/>
  <c r="P69" i="305"/>
  <c r="P99" i="305"/>
  <c r="P79" i="305"/>
  <c r="P49" i="305"/>
  <c r="P121" i="305"/>
  <c r="P128" i="305" s="1"/>
  <c r="P46" i="308" s="1"/>
  <c r="P131" i="305"/>
  <c r="P138" i="305" s="1"/>
  <c r="P49" i="308" s="1"/>
  <c r="P89" i="305"/>
  <c r="P39" i="305"/>
  <c r="P11" i="312"/>
  <c r="X11" i="312" s="1"/>
  <c r="Q12" i="308"/>
  <c r="Q9" i="308" s="1"/>
  <c r="Q283" i="312"/>
  <c r="Q215" i="312"/>
  <c r="Q217" i="312" s="1"/>
  <c r="Q221" i="312" s="1"/>
  <c r="Q266" i="312"/>
  <c r="Q198" i="312"/>
  <c r="Q249" i="312"/>
  <c r="Q181" i="312"/>
  <c r="Q232" i="312"/>
  <c r="Q164" i="312"/>
  <c r="Q144" i="312"/>
  <c r="Q87" i="312"/>
  <c r="Q49" i="312"/>
  <c r="Q52" i="312" s="1"/>
  <c r="Q64" i="312" s="1"/>
  <c r="Q304" i="312" s="1"/>
  <c r="Q33" i="314" s="1"/>
  <c r="Q30" i="312"/>
  <c r="Q33" i="312" s="1"/>
  <c r="Q45" i="312" s="1"/>
  <c r="Q303" i="312" s="1"/>
  <c r="Q10" i="312"/>
  <c r="Q13" i="312" s="1"/>
  <c r="Q25" i="312" s="1"/>
  <c r="Q302" i="312" s="1"/>
  <c r="Q31" i="314" s="1"/>
  <c r="Q106" i="312"/>
  <c r="Q125" i="312"/>
  <c r="Q68" i="312"/>
  <c r="M377" i="315"/>
  <c r="W309" i="312"/>
  <c r="M376" i="315"/>
  <c r="W308" i="312"/>
  <c r="M375" i="315"/>
  <c r="W307" i="312"/>
  <c r="Q9" i="304"/>
  <c r="Q8" i="304" s="1"/>
  <c r="P125" i="312"/>
  <c r="X125" i="312" s="1"/>
  <c r="P49" i="312"/>
  <c r="X49" i="312" s="1"/>
  <c r="L436" i="315"/>
  <c r="E212" i="327"/>
  <c r="O212" i="327" s="1"/>
  <c r="I5" i="327"/>
  <c r="S5" i="327"/>
  <c r="P13" i="312"/>
  <c r="P17" i="312" s="1"/>
  <c r="X21" i="308"/>
  <c r="M149" i="315"/>
  <c r="F223" i="327" s="1"/>
  <c r="P223" i="327" s="1"/>
  <c r="X22" i="308"/>
  <c r="M150" i="315"/>
  <c r="F224" i="327" s="1"/>
  <c r="P224" i="327" s="1"/>
  <c r="N213" i="315"/>
  <c r="Q287" i="327" s="1"/>
  <c r="G287" i="327" s="1"/>
  <c r="N214" i="315"/>
  <c r="Q288" i="327" s="1"/>
  <c r="G288" i="327" s="1"/>
  <c r="O266" i="315"/>
  <c r="L145" i="315"/>
  <c r="E219" i="327" s="1"/>
  <c r="O219" i="327" s="1"/>
  <c r="O35" i="314"/>
  <c r="L216" i="315" s="1"/>
  <c r="O290" i="327" s="1"/>
  <c r="E290" i="327" s="1"/>
  <c r="O374" i="315"/>
  <c r="O34" i="314"/>
  <c r="O373" i="315"/>
  <c r="N139" i="315"/>
  <c r="G213" i="327" s="1"/>
  <c r="Q213" i="327" s="1"/>
  <c r="O139" i="315"/>
  <c r="P292" i="315"/>
  <c r="I13" i="327" s="1"/>
  <c r="S13" i="327" s="1"/>
  <c r="Q267" i="315"/>
  <c r="W306" i="312"/>
  <c r="W305" i="312"/>
  <c r="S3" i="314"/>
  <c r="S3" i="313"/>
  <c r="T1" i="313"/>
  <c r="T1" i="314"/>
  <c r="M301" i="312"/>
  <c r="W301" i="312" s="1"/>
  <c r="O301" i="312"/>
  <c r="S3" i="312"/>
  <c r="S3" i="310"/>
  <c r="S3" i="308"/>
  <c r="T1" i="312"/>
  <c r="T1" i="308"/>
  <c r="T1" i="311"/>
  <c r="T1" i="310"/>
  <c r="S34" i="3"/>
  <c r="S3" i="304"/>
  <c r="S15" i="3"/>
  <c r="S3" i="1"/>
  <c r="T1" i="1"/>
  <c r="T10" i="3"/>
  <c r="T2" i="305" s="1"/>
  <c r="T12" i="3"/>
  <c r="T22" i="3"/>
  <c r="T18" i="3"/>
  <c r="T21" i="3"/>
  <c r="T28" i="3"/>
  <c r="T31" i="3"/>
  <c r="X9" i="308" l="1"/>
  <c r="N138" i="315"/>
  <c r="G212" i="327" s="1"/>
  <c r="Q212" i="327" s="1"/>
  <c r="M436" i="315"/>
  <c r="O138" i="315"/>
  <c r="Q32" i="314"/>
  <c r="Q30" i="314" s="1"/>
  <c r="L215" i="315"/>
  <c r="O289" i="327" s="1"/>
  <c r="E289" i="327" s="1"/>
  <c r="O286" i="327"/>
  <c r="E286" i="327" s="1"/>
  <c r="O140" i="315"/>
  <c r="N140" i="315"/>
  <c r="G214" i="327" s="1"/>
  <c r="Q214" i="327" s="1"/>
  <c r="N141" i="315"/>
  <c r="G215" i="327" s="1"/>
  <c r="Q215" i="327" s="1"/>
  <c r="O141" i="315"/>
  <c r="P33" i="312"/>
  <c r="X33" i="312" s="1"/>
  <c r="R249" i="312"/>
  <c r="R181" i="312"/>
  <c r="R232" i="312"/>
  <c r="R164" i="312"/>
  <c r="R215" i="312"/>
  <c r="R217" i="312" s="1"/>
  <c r="R221" i="312" s="1"/>
  <c r="R283" i="312"/>
  <c r="R266" i="312"/>
  <c r="R198" i="312"/>
  <c r="P52" i="312"/>
  <c r="R86" i="312"/>
  <c r="R48" i="312"/>
  <c r="R124" i="312"/>
  <c r="R67" i="312"/>
  <c r="R143" i="312"/>
  <c r="R105" i="312"/>
  <c r="R29" i="312"/>
  <c r="R9" i="312"/>
  <c r="P50" i="308"/>
  <c r="Q99" i="305"/>
  <c r="Y99" i="305" s="1"/>
  <c r="Q79" i="305"/>
  <c r="Y79" i="305" s="1"/>
  <c r="Q49" i="305"/>
  <c r="Y49" i="305" s="1"/>
  <c r="Q109" i="305"/>
  <c r="Y109" i="305" s="1"/>
  <c r="Q131" i="305"/>
  <c r="Y131" i="305" s="1"/>
  <c r="Q89" i="305"/>
  <c r="Y89" i="305" s="1"/>
  <c r="Q39" i="305"/>
  <c r="Y39" i="305" s="1"/>
  <c r="Q121" i="305"/>
  <c r="Y121" i="305" s="1"/>
  <c r="Q69" i="305"/>
  <c r="Y69" i="305" s="1"/>
  <c r="Q59" i="305"/>
  <c r="Y59" i="305" s="1"/>
  <c r="R9" i="304"/>
  <c r="R8" i="304" s="1"/>
  <c r="R11" i="308"/>
  <c r="Q126" i="312"/>
  <c r="Q107" i="312"/>
  <c r="Q11" i="312"/>
  <c r="Q31" i="312"/>
  <c r="Q69" i="312"/>
  <c r="Q88" i="312"/>
  <c r="Q50" i="312"/>
  <c r="Q145" i="312"/>
  <c r="R126" i="312"/>
  <c r="R69" i="312"/>
  <c r="R11" i="312"/>
  <c r="R145" i="312"/>
  <c r="R107" i="312"/>
  <c r="R88" i="312"/>
  <c r="R50" i="312"/>
  <c r="R31" i="312"/>
  <c r="W38" i="314"/>
  <c r="J219" i="315"/>
  <c r="N219" i="315" s="1"/>
  <c r="W37" i="314"/>
  <c r="J218" i="315"/>
  <c r="W36" i="314"/>
  <c r="J217" i="315"/>
  <c r="N217" i="315" s="1"/>
  <c r="X13" i="312"/>
  <c r="T5" i="327"/>
  <c r="J5" i="327"/>
  <c r="R4" i="327"/>
  <c r="H4" i="327"/>
  <c r="N150" i="315"/>
  <c r="G224" i="327" s="1"/>
  <c r="Q224" i="327" s="1"/>
  <c r="P150" i="315"/>
  <c r="O150" i="315"/>
  <c r="N149" i="315"/>
  <c r="G223" i="327" s="1"/>
  <c r="Q223" i="327" s="1"/>
  <c r="O149" i="315"/>
  <c r="P149" i="315"/>
  <c r="W35" i="314"/>
  <c r="J216" i="315"/>
  <c r="W34" i="314"/>
  <c r="J215" i="315"/>
  <c r="P23" i="312"/>
  <c r="X17" i="312"/>
  <c r="S4" i="313"/>
  <c r="S4" i="314"/>
  <c r="T2" i="313"/>
  <c r="T2" i="314"/>
  <c r="T3" i="311"/>
  <c r="T2" i="312"/>
  <c r="T17" i="312" s="1"/>
  <c r="T2" i="308"/>
  <c r="T2" i="311"/>
  <c r="T2" i="310"/>
  <c r="S4" i="312"/>
  <c r="S4" i="308"/>
  <c r="S4" i="311"/>
  <c r="S4" i="310"/>
  <c r="S4" i="304"/>
  <c r="T4" i="305"/>
  <c r="T11" i="3"/>
  <c r="T3" i="305" s="1"/>
  <c r="T2" i="1"/>
  <c r="T13" i="3"/>
  <c r="T14" i="3" s="1"/>
  <c r="S4" i="1"/>
  <c r="T32" i="3"/>
  <c r="T33" i="3" s="1"/>
  <c r="T30" i="3"/>
  <c r="T29" i="3"/>
  <c r="U27" i="3"/>
  <c r="T23" i="3"/>
  <c r="T24" i="3" s="1"/>
  <c r="T20" i="3"/>
  <c r="T19" i="3"/>
  <c r="T25" i="3" s="1"/>
  <c r="U17" i="3"/>
  <c r="P37" i="312" l="1"/>
  <c r="P43" i="312" s="1"/>
  <c r="Q128" i="305"/>
  <c r="Q46" i="308" s="1"/>
  <c r="Q138" i="305"/>
  <c r="Y138" i="305" s="1"/>
  <c r="P56" i="312"/>
  <c r="X52" i="312"/>
  <c r="R131" i="305"/>
  <c r="R138" i="305" s="1"/>
  <c r="R49" i="308" s="1"/>
  <c r="R89" i="305"/>
  <c r="R39" i="305"/>
  <c r="R99" i="305"/>
  <c r="R79" i="305"/>
  <c r="R121" i="305"/>
  <c r="R128" i="305" s="1"/>
  <c r="R46" i="308" s="1"/>
  <c r="R69" i="305"/>
  <c r="R49" i="305"/>
  <c r="R109" i="305"/>
  <c r="R59" i="305"/>
  <c r="R106" i="312"/>
  <c r="R10" i="312"/>
  <c r="R13" i="312" s="1"/>
  <c r="R25" i="312" s="1"/>
  <c r="R302" i="312" s="1"/>
  <c r="R31" i="314" s="1"/>
  <c r="R30" i="312"/>
  <c r="R33" i="312" s="1"/>
  <c r="R45" i="312" s="1"/>
  <c r="R303" i="312" s="1"/>
  <c r="R125" i="312"/>
  <c r="R68" i="312"/>
  <c r="R144" i="312"/>
  <c r="R87" i="312"/>
  <c r="R49" i="312"/>
  <c r="R52" i="312" s="1"/>
  <c r="R64" i="312" s="1"/>
  <c r="R304" i="312" s="1"/>
  <c r="R33" i="314" s="1"/>
  <c r="R9" i="308"/>
  <c r="M291" i="327"/>
  <c r="C291" i="327" s="1"/>
  <c r="N218" i="315"/>
  <c r="Q291" i="327" s="1"/>
  <c r="G291" i="327" s="1"/>
  <c r="N216" i="315"/>
  <c r="Q290" i="327" s="1"/>
  <c r="G290" i="327" s="1"/>
  <c r="M290" i="327"/>
  <c r="C290" i="327" s="1"/>
  <c r="N215" i="315"/>
  <c r="Q289" i="327" s="1"/>
  <c r="G289" i="327" s="1"/>
  <c r="M289" i="327"/>
  <c r="C289" i="327" s="1"/>
  <c r="X37" i="312"/>
  <c r="Y128" i="305"/>
  <c r="M174" i="315"/>
  <c r="F248" i="327" s="1"/>
  <c r="P248" i="327" s="1"/>
  <c r="P45" i="312"/>
  <c r="X43" i="312"/>
  <c r="P25" i="312"/>
  <c r="X23" i="312"/>
  <c r="T3" i="314"/>
  <c r="T3" i="313"/>
  <c r="T3" i="312"/>
  <c r="T3" i="310"/>
  <c r="T3" i="308"/>
  <c r="U3" i="305"/>
  <c r="T34" i="3"/>
  <c r="T15" i="3"/>
  <c r="T3" i="1"/>
  <c r="U22" i="3"/>
  <c r="U18" i="3"/>
  <c r="U21" i="3"/>
  <c r="U28" i="3"/>
  <c r="U31" i="3"/>
  <c r="R32" i="314" l="1"/>
  <c r="R30" i="314" s="1"/>
  <c r="Q49" i="308"/>
  <c r="Q50" i="308" s="1"/>
  <c r="R50" i="308"/>
  <c r="P62" i="312"/>
  <c r="X56" i="312"/>
  <c r="N174" i="315"/>
  <c r="G248" i="327" s="1"/>
  <c r="Q248" i="327" s="1"/>
  <c r="O174" i="315"/>
  <c r="X49" i="308"/>
  <c r="M177" i="315"/>
  <c r="F251" i="327" s="1"/>
  <c r="P251" i="327" s="1"/>
  <c r="X46" i="308"/>
  <c r="P302" i="312"/>
  <c r="X25" i="312"/>
  <c r="P371" i="315"/>
  <c r="P303" i="312"/>
  <c r="X45" i="312"/>
  <c r="T4" i="314"/>
  <c r="T4" i="313"/>
  <c r="T4" i="312"/>
  <c r="T4" i="311"/>
  <c r="T4" i="310"/>
  <c r="T4" i="308"/>
  <c r="S37" i="312"/>
  <c r="U4" i="305"/>
  <c r="T4" i="1"/>
  <c r="U32" i="3"/>
  <c r="U33" i="3" s="1"/>
  <c r="U30" i="3"/>
  <c r="U29" i="3"/>
  <c r="V27" i="3"/>
  <c r="V17" i="3"/>
  <c r="U23" i="3"/>
  <c r="U24" i="3" s="1"/>
  <c r="U20" i="3"/>
  <c r="U19" i="3"/>
  <c r="U25" i="3" s="1"/>
  <c r="P369" i="315" l="1"/>
  <c r="P31" i="314"/>
  <c r="P370" i="315"/>
  <c r="P32" i="314"/>
  <c r="X62" i="312"/>
  <c r="P64" i="312"/>
  <c r="N177" i="315"/>
  <c r="G251" i="327" s="1"/>
  <c r="Q251" i="327" s="1"/>
  <c r="O177" i="315"/>
  <c r="X50" i="308"/>
  <c r="M178" i="315"/>
  <c r="X303" i="312"/>
  <c r="X302" i="312"/>
  <c r="T37" i="312"/>
  <c r="U34" i="3"/>
  <c r="V28" i="3"/>
  <c r="V31" i="3"/>
  <c r="V22" i="3"/>
  <c r="V18" i="3"/>
  <c r="V21" i="3"/>
  <c r="P304" i="312" l="1"/>
  <c r="P33" i="314" s="1"/>
  <c r="P30" i="314" s="1"/>
  <c r="X64" i="312"/>
  <c r="N178" i="315"/>
  <c r="G252" i="327" s="1"/>
  <c r="Q252" i="327" s="1"/>
  <c r="F252" i="327"/>
  <c r="P252" i="327" s="1"/>
  <c r="X32" i="314"/>
  <c r="M213" i="315"/>
  <c r="P287" i="327" s="1"/>
  <c r="F287" i="327" s="1"/>
  <c r="X31" i="314"/>
  <c r="M212" i="315"/>
  <c r="V32" i="3"/>
  <c r="V33" i="3" s="1"/>
  <c r="V30" i="3"/>
  <c r="V29" i="3"/>
  <c r="W27" i="3"/>
  <c r="W17" i="3"/>
  <c r="V23" i="3"/>
  <c r="V20" i="3"/>
  <c r="V19" i="3"/>
  <c r="V25" i="3" s="1"/>
  <c r="X30" i="314" l="1"/>
  <c r="M211" i="315"/>
  <c r="P286" i="327" s="1"/>
  <c r="F286" i="327" s="1"/>
  <c r="P372" i="315"/>
  <c r="X304" i="312"/>
  <c r="V24" i="3"/>
  <c r="V34" i="3"/>
  <c r="W22" i="3"/>
  <c r="W18" i="3"/>
  <c r="W21" i="3"/>
  <c r="W28" i="3"/>
  <c r="W31" i="3"/>
  <c r="X33" i="314" l="1"/>
  <c r="M214" i="315"/>
  <c r="P288" i="327" s="1"/>
  <c r="F288" i="327" s="1"/>
  <c r="W32" i="3"/>
  <c r="W33" i="3" s="1"/>
  <c r="W30" i="3"/>
  <c r="W29" i="3"/>
  <c r="X27" i="3"/>
  <c r="X17" i="3"/>
  <c r="W23" i="3"/>
  <c r="W20" i="3"/>
  <c r="W19" i="3"/>
  <c r="W25" i="3" s="1"/>
  <c r="W24" i="3" l="1"/>
  <c r="W34" i="3"/>
  <c r="X28" i="3"/>
  <c r="X31" i="3"/>
  <c r="X22" i="3"/>
  <c r="X18" i="3"/>
  <c r="X21" i="3"/>
  <c r="N40" i="327" l="1"/>
  <c r="X23" i="3"/>
  <c r="X24" i="3" s="1"/>
  <c r="X20" i="3"/>
  <c r="X19" i="3"/>
  <c r="X25" i="3" s="1"/>
  <c r="Y17" i="3"/>
  <c r="X32" i="3"/>
  <c r="X33" i="3" s="1"/>
  <c r="X29" i="3"/>
  <c r="X30" i="3"/>
  <c r="Y27" i="3"/>
  <c r="X34" i="3" l="1"/>
  <c r="Y28" i="3"/>
  <c r="Y31" i="3"/>
  <c r="Y22" i="3"/>
  <c r="Y18" i="3"/>
  <c r="Y21" i="3"/>
  <c r="M347" i="315" l="1"/>
  <c r="F208" i="327" s="1"/>
  <c r="P208" i="327" s="1"/>
  <c r="P203" i="327"/>
  <c r="F203" i="327" s="1"/>
  <c r="Z17" i="3"/>
  <c r="Y23" i="3"/>
  <c r="Y24" i="3" s="1"/>
  <c r="Y20" i="3"/>
  <c r="Y19" i="3"/>
  <c r="Y25" i="3" s="1"/>
  <c r="Y32" i="3"/>
  <c r="Y33" i="3" s="1"/>
  <c r="Y30" i="3"/>
  <c r="Y29" i="3"/>
  <c r="Z27" i="3"/>
  <c r="Y34" i="3" l="1"/>
  <c r="Z28" i="3"/>
  <c r="Z31" i="3"/>
  <c r="Z22" i="3"/>
  <c r="Z18" i="3"/>
  <c r="Z21" i="3"/>
  <c r="Z32" i="3" l="1"/>
  <c r="Z33" i="3" s="1"/>
  <c r="Z29" i="3"/>
  <c r="Z30" i="3"/>
  <c r="AA27" i="3"/>
  <c r="AA17" i="3"/>
  <c r="Z23" i="3"/>
  <c r="Z24" i="3" s="1"/>
  <c r="Z20" i="3"/>
  <c r="Z19" i="3"/>
  <c r="Z25" i="3" s="1"/>
  <c r="Z34" i="3" l="1"/>
  <c r="AA28" i="3"/>
  <c r="AA31" i="3"/>
  <c r="AA22" i="3"/>
  <c r="AA18" i="3"/>
  <c r="AA21" i="3"/>
  <c r="AB17" i="3" l="1"/>
  <c r="AA23" i="3"/>
  <c r="AA24" i="3" s="1"/>
  <c r="AA20" i="3"/>
  <c r="AA19" i="3"/>
  <c r="AA25" i="3" s="1"/>
  <c r="AA32" i="3"/>
  <c r="AA33" i="3" s="1"/>
  <c r="AA30" i="3"/>
  <c r="AA29" i="3"/>
  <c r="AB27" i="3"/>
  <c r="AA34" i="3" l="1"/>
  <c r="AB28" i="3"/>
  <c r="AB31" i="3"/>
  <c r="AB22" i="3"/>
  <c r="AB18" i="3"/>
  <c r="AB21" i="3"/>
  <c r="AB23" i="3" l="1"/>
  <c r="AB24" i="3" s="1"/>
  <c r="AB20" i="3"/>
  <c r="AB19" i="3"/>
  <c r="AB25" i="3" s="1"/>
  <c r="AC17" i="3"/>
  <c r="AB32" i="3"/>
  <c r="AB33" i="3" s="1"/>
  <c r="AB30" i="3"/>
  <c r="AB29" i="3"/>
  <c r="AC27" i="3"/>
  <c r="AB34" i="3" l="1"/>
  <c r="AC28" i="3"/>
  <c r="AC31" i="3"/>
  <c r="AC22" i="3"/>
  <c r="AC18" i="3"/>
  <c r="AC21" i="3"/>
  <c r="AD17" i="3" l="1"/>
  <c r="AC23" i="3"/>
  <c r="AC24" i="3" s="1"/>
  <c r="AC20" i="3"/>
  <c r="AC19" i="3"/>
  <c r="AC25" i="3" s="1"/>
  <c r="AC32" i="3"/>
  <c r="AC33" i="3" s="1"/>
  <c r="AC30" i="3"/>
  <c r="AC29" i="3"/>
  <c r="AD27" i="3"/>
  <c r="AC34" i="3" l="1"/>
  <c r="AD28" i="3"/>
  <c r="AD31" i="3"/>
  <c r="AD22" i="3"/>
  <c r="AD18" i="3"/>
  <c r="AD21" i="3"/>
  <c r="AE17" i="3" l="1"/>
  <c r="AD23" i="3"/>
  <c r="AD24" i="3" s="1"/>
  <c r="AD20" i="3"/>
  <c r="AD19" i="3"/>
  <c r="AD25" i="3" s="1"/>
  <c r="AD32" i="3"/>
  <c r="AD33" i="3" s="1"/>
  <c r="AD30" i="3"/>
  <c r="AD29" i="3"/>
  <c r="AE27" i="3"/>
  <c r="AD34" i="3" l="1"/>
  <c r="AE28" i="3"/>
  <c r="AE31" i="3"/>
  <c r="AE22" i="3"/>
  <c r="AE18" i="3"/>
  <c r="AE21" i="3"/>
  <c r="AF17" i="3" l="1"/>
  <c r="AE23" i="3"/>
  <c r="AE24" i="3" s="1"/>
  <c r="AE20" i="3"/>
  <c r="AE19" i="3"/>
  <c r="AE25" i="3" s="1"/>
  <c r="AE32" i="3"/>
  <c r="AE33" i="3" s="1"/>
  <c r="AE30" i="3"/>
  <c r="AE29" i="3"/>
  <c r="AF27" i="3"/>
  <c r="AE34" i="3" l="1"/>
  <c r="AF28" i="3"/>
  <c r="AF31" i="3"/>
  <c r="AF22" i="3"/>
  <c r="AF18" i="3"/>
  <c r="AF21" i="3"/>
  <c r="AF23" i="3" l="1"/>
  <c r="AF24" i="3" s="1"/>
  <c r="AF20" i="3"/>
  <c r="AF19" i="3"/>
  <c r="AF25" i="3" s="1"/>
  <c r="AG17" i="3"/>
  <c r="AF32" i="3"/>
  <c r="AF33" i="3" s="1"/>
  <c r="AF29" i="3"/>
  <c r="AF30" i="3"/>
  <c r="AG27" i="3"/>
  <c r="AF34" i="3" l="1"/>
  <c r="AG28" i="3"/>
  <c r="AG31" i="3"/>
  <c r="AG22" i="3"/>
  <c r="AG18" i="3"/>
  <c r="AG21" i="3"/>
  <c r="AH17" i="3" l="1"/>
  <c r="AG23" i="3"/>
  <c r="AG24" i="3" s="1"/>
  <c r="AG20" i="3"/>
  <c r="AG19" i="3"/>
  <c r="AG25" i="3" s="1"/>
  <c r="AG32" i="3"/>
  <c r="AG33" i="3" s="1"/>
  <c r="AG30" i="3"/>
  <c r="AG29" i="3"/>
  <c r="AH27" i="3"/>
  <c r="AG34" i="3" l="1"/>
  <c r="AH28" i="3"/>
  <c r="AH31" i="3"/>
  <c r="AH22" i="3"/>
  <c r="AH18" i="3"/>
  <c r="AH21" i="3"/>
  <c r="AI17" i="3" l="1"/>
  <c r="AH23" i="3"/>
  <c r="AH24" i="3" s="1"/>
  <c r="AH20" i="3"/>
  <c r="AH19" i="3"/>
  <c r="AH25" i="3" s="1"/>
  <c r="AH32" i="3"/>
  <c r="AH33" i="3" s="1"/>
  <c r="AH29" i="3"/>
  <c r="AH30" i="3"/>
  <c r="AI27" i="3"/>
  <c r="AH34" i="3" l="1"/>
  <c r="AI28" i="3"/>
  <c r="AI31" i="3"/>
  <c r="AI22" i="3"/>
  <c r="AI18" i="3"/>
  <c r="AI21" i="3"/>
  <c r="AI32" i="3" l="1"/>
  <c r="AI33" i="3" s="1"/>
  <c r="AI30" i="3"/>
  <c r="AI29" i="3"/>
  <c r="AJ27" i="3"/>
  <c r="AJ17" i="3"/>
  <c r="AI23" i="3"/>
  <c r="AI24" i="3" s="1"/>
  <c r="AI20" i="3"/>
  <c r="AI19" i="3"/>
  <c r="AI25" i="3" s="1"/>
  <c r="AI34" i="3" l="1"/>
  <c r="AJ28" i="3"/>
  <c r="AJ31" i="3"/>
  <c r="AJ22" i="3"/>
  <c r="AJ18" i="3"/>
  <c r="AJ21" i="3"/>
  <c r="AJ23" i="3" l="1"/>
  <c r="AJ24" i="3" s="1"/>
  <c r="AJ20" i="3"/>
  <c r="AJ19" i="3"/>
  <c r="AJ25" i="3" s="1"/>
  <c r="AK17" i="3"/>
  <c r="AJ32" i="3"/>
  <c r="AJ33" i="3" s="1"/>
  <c r="AJ30" i="3"/>
  <c r="AJ29" i="3"/>
  <c r="AK27" i="3"/>
  <c r="AJ34" i="3" l="1"/>
  <c r="AK28" i="3"/>
  <c r="AK31" i="3"/>
  <c r="AK22" i="3"/>
  <c r="AK18" i="3"/>
  <c r="AK21" i="3"/>
  <c r="AL17" i="3" l="1"/>
  <c r="AK23" i="3"/>
  <c r="AK24" i="3" s="1"/>
  <c r="AK20" i="3"/>
  <c r="AK19" i="3"/>
  <c r="AK25" i="3" s="1"/>
  <c r="AK32" i="3"/>
  <c r="AK33" i="3" s="1"/>
  <c r="AK30" i="3"/>
  <c r="AK29" i="3"/>
  <c r="AL27" i="3"/>
  <c r="AK34" i="3" l="1"/>
  <c r="AL28" i="3"/>
  <c r="AL31" i="3"/>
  <c r="AL22" i="3"/>
  <c r="AL18" i="3"/>
  <c r="AL21" i="3"/>
  <c r="AM17" i="3" l="1"/>
  <c r="AL23" i="3"/>
  <c r="AL24" i="3" s="1"/>
  <c r="AL20" i="3"/>
  <c r="AL19" i="3"/>
  <c r="AL25" i="3" s="1"/>
  <c r="AL32" i="3"/>
  <c r="AL33" i="3" s="1"/>
  <c r="AL30" i="3"/>
  <c r="AL29" i="3"/>
  <c r="AM27" i="3"/>
  <c r="AL34" i="3" l="1"/>
  <c r="AM28" i="3"/>
  <c r="AM31" i="3"/>
  <c r="AM22" i="3"/>
  <c r="AM18" i="3"/>
  <c r="AM21" i="3"/>
  <c r="AN17" i="3" l="1"/>
  <c r="AM23" i="3"/>
  <c r="AM24" i="3" s="1"/>
  <c r="AM20" i="3"/>
  <c r="AM19" i="3"/>
  <c r="AM25" i="3" s="1"/>
  <c r="AM32" i="3"/>
  <c r="AM33" i="3" s="1"/>
  <c r="AM30" i="3"/>
  <c r="AM29" i="3"/>
  <c r="AN27" i="3"/>
  <c r="AM34" i="3" l="1"/>
  <c r="AN28" i="3"/>
  <c r="AN31" i="3"/>
  <c r="AN22" i="3"/>
  <c r="AN18" i="3"/>
  <c r="AN21" i="3"/>
  <c r="AN23" i="3" l="1"/>
  <c r="AN24" i="3" s="1"/>
  <c r="AN20" i="3"/>
  <c r="AN19" i="3"/>
  <c r="AN25" i="3" s="1"/>
  <c r="AO17" i="3"/>
  <c r="AN32" i="3"/>
  <c r="AN33" i="3" s="1"/>
  <c r="AN29" i="3"/>
  <c r="AN30" i="3"/>
  <c r="AO27" i="3"/>
  <c r="AN34" i="3" l="1"/>
  <c r="AO28" i="3"/>
  <c r="AO31" i="3"/>
  <c r="AO22" i="3"/>
  <c r="AO18" i="3"/>
  <c r="AO21" i="3"/>
  <c r="AP17" i="3" l="1"/>
  <c r="AO23" i="3"/>
  <c r="AO24" i="3" s="1"/>
  <c r="AO20" i="3"/>
  <c r="AO19" i="3"/>
  <c r="AO25" i="3" s="1"/>
  <c r="AO32" i="3"/>
  <c r="AO33" i="3" s="1"/>
  <c r="AO30" i="3"/>
  <c r="AO29" i="3"/>
  <c r="AP27" i="3"/>
  <c r="AO34" i="3" l="1"/>
  <c r="AP28" i="3"/>
  <c r="AP31" i="3"/>
  <c r="AP22" i="3"/>
  <c r="AP18" i="3"/>
  <c r="AP21" i="3"/>
  <c r="AQ17" i="3" l="1"/>
  <c r="AP23" i="3"/>
  <c r="AP24" i="3" s="1"/>
  <c r="AP20" i="3"/>
  <c r="AP19" i="3"/>
  <c r="AP25" i="3" s="1"/>
  <c r="AP32" i="3"/>
  <c r="AP33" i="3" s="1"/>
  <c r="AP29" i="3"/>
  <c r="AP30" i="3"/>
  <c r="AQ27" i="3"/>
  <c r="AP34" i="3" l="1"/>
  <c r="AQ28" i="3"/>
  <c r="AQ31" i="3"/>
  <c r="AQ22" i="3"/>
  <c r="AQ18" i="3"/>
  <c r="AQ21" i="3"/>
  <c r="AR17" i="3" l="1"/>
  <c r="AQ23" i="3"/>
  <c r="AQ24" i="3" s="1"/>
  <c r="AQ20" i="3"/>
  <c r="AQ19" i="3"/>
  <c r="AQ25" i="3" s="1"/>
  <c r="AQ32" i="3"/>
  <c r="AQ33" i="3" s="1"/>
  <c r="AQ30" i="3"/>
  <c r="AQ29" i="3"/>
  <c r="AR27" i="3"/>
  <c r="AQ34" i="3" l="1"/>
  <c r="AR28" i="3"/>
  <c r="AR31" i="3"/>
  <c r="AR22" i="3"/>
  <c r="AR18" i="3"/>
  <c r="AR21" i="3"/>
  <c r="AR23" i="3" l="1"/>
  <c r="AR24" i="3" s="1"/>
  <c r="AR20" i="3"/>
  <c r="AR19" i="3"/>
  <c r="AR25" i="3" s="1"/>
  <c r="AS17" i="3"/>
  <c r="AR32" i="3"/>
  <c r="AR33" i="3" s="1"/>
  <c r="AR30" i="3"/>
  <c r="AR29" i="3"/>
  <c r="AS27" i="3"/>
  <c r="AR34" i="3" l="1"/>
  <c r="AS28" i="3"/>
  <c r="AS31" i="3"/>
  <c r="AS22" i="3"/>
  <c r="AS18" i="3"/>
  <c r="AS21" i="3"/>
  <c r="AS23" i="3" l="1"/>
  <c r="AS24" i="3" s="1"/>
  <c r="AS20" i="3"/>
  <c r="AS19" i="3"/>
  <c r="AS25" i="3" s="1"/>
  <c r="AS32" i="3"/>
  <c r="AS33" i="3" s="1"/>
  <c r="AS30" i="3"/>
  <c r="AS29" i="3"/>
  <c r="AT27" i="3"/>
  <c r="AS34" i="3" l="1"/>
  <c r="AT28" i="3"/>
  <c r="AT31" i="3"/>
  <c r="AT32" i="3" l="1"/>
  <c r="AT33" i="3" s="1"/>
  <c r="AT30" i="3"/>
  <c r="AT29" i="3"/>
  <c r="AU27" i="3"/>
  <c r="AT34" i="3" l="1"/>
  <c r="AU28" i="3"/>
  <c r="AU31" i="3"/>
  <c r="AU32" i="3" l="1"/>
  <c r="AU33" i="3" s="1"/>
  <c r="AU30" i="3"/>
  <c r="AU29" i="3"/>
  <c r="AV27" i="3"/>
  <c r="AU34" i="3" l="1"/>
  <c r="AV28" i="3"/>
  <c r="AV31" i="3"/>
  <c r="AV32" i="3" l="1"/>
  <c r="AV33" i="3" s="1"/>
  <c r="AV29" i="3"/>
  <c r="AV30" i="3"/>
  <c r="AW27" i="3"/>
  <c r="AV34" i="3" l="1"/>
  <c r="AW28" i="3"/>
  <c r="AW31" i="3"/>
  <c r="AW32" i="3" l="1"/>
  <c r="AW33" i="3" s="1"/>
  <c r="AW30" i="3"/>
  <c r="AW29" i="3"/>
  <c r="AX27" i="3"/>
  <c r="AW34" i="3" l="1"/>
  <c r="AX28" i="3"/>
  <c r="AX31" i="3"/>
  <c r="AX32" i="3" l="1"/>
  <c r="AX33" i="3" s="1"/>
  <c r="AX29" i="3"/>
  <c r="AX30" i="3"/>
  <c r="AY27" i="3"/>
  <c r="AX34" i="3" l="1"/>
  <c r="AY28" i="3"/>
  <c r="AY31" i="3"/>
  <c r="AY32" i="3" l="1"/>
  <c r="AY33" i="3" s="1"/>
  <c r="AY30" i="3"/>
  <c r="AY29" i="3"/>
  <c r="AZ27" i="3"/>
  <c r="AY34" i="3" l="1"/>
  <c r="AZ28" i="3"/>
  <c r="AZ31" i="3"/>
  <c r="AZ32" i="3" l="1"/>
  <c r="AZ33" i="3" s="1"/>
  <c r="AZ30" i="3"/>
  <c r="AZ29" i="3"/>
  <c r="AZ34" i="3" s="1"/>
  <c r="BA27" i="3"/>
  <c r="BA28" i="3" l="1"/>
  <c r="BA31" i="3"/>
  <c r="BA32" i="3" l="1"/>
  <c r="BA33" i="3" s="1"/>
  <c r="BA30" i="3"/>
  <c r="BA29" i="3"/>
  <c r="BB27" i="3"/>
  <c r="BA34" i="3" l="1"/>
  <c r="BB28" i="3"/>
  <c r="BB31" i="3"/>
  <c r="BB32" i="3" l="1"/>
  <c r="BB33" i="3" s="1"/>
  <c r="BB30" i="3"/>
  <c r="BB29" i="3"/>
  <c r="BB34" i="3" s="1"/>
  <c r="BC27" i="3"/>
  <c r="BC28" i="3" l="1"/>
  <c r="BC31" i="3"/>
  <c r="BC32" i="3" l="1"/>
  <c r="BC33" i="3" s="1"/>
  <c r="BC30" i="3"/>
  <c r="BC29" i="3"/>
  <c r="BC34" i="3" s="1"/>
  <c r="BD27" i="3"/>
  <c r="BD28" i="3" l="1"/>
  <c r="BD31" i="3"/>
  <c r="BD32" i="3" l="1"/>
  <c r="BD33" i="3" s="1"/>
  <c r="BD29" i="3"/>
  <c r="BD34" i="3" s="1"/>
  <c r="BD30" i="3"/>
  <c r="BE27" i="3"/>
  <c r="BE28" i="3" l="1"/>
  <c r="BE31" i="3"/>
  <c r="BE32" i="3" l="1"/>
  <c r="BE33" i="3" s="1"/>
  <c r="BE30" i="3"/>
  <c r="BE29" i="3"/>
  <c r="BE34" i="3" s="1"/>
  <c r="BF27" i="3"/>
  <c r="BF28" i="3" l="1"/>
  <c r="BF31" i="3"/>
  <c r="BF32" i="3" l="1"/>
  <c r="BF33" i="3" s="1"/>
  <c r="BF29" i="3"/>
  <c r="BF34" i="3" s="1"/>
  <c r="BF30" i="3"/>
  <c r="BG27" i="3"/>
  <c r="BG28" i="3" l="1"/>
  <c r="BG31" i="3"/>
  <c r="BG32" i="3" l="1"/>
  <c r="BG33" i="3" s="1"/>
  <c r="BG30" i="3"/>
  <c r="BG29" i="3"/>
  <c r="BG34" i="3" s="1"/>
  <c r="BH27" i="3"/>
  <c r="BH28" i="3" l="1"/>
  <c r="BH31" i="3"/>
  <c r="BH32" i="3" l="1"/>
  <c r="BH33" i="3" s="1"/>
  <c r="BH30" i="3"/>
  <c r="BH29" i="3"/>
  <c r="BH34" i="3" s="1"/>
  <c r="BI27" i="3"/>
  <c r="BI28" i="3" l="1"/>
  <c r="BI31" i="3"/>
  <c r="BI32" i="3" l="1"/>
  <c r="BI33" i="3" s="1"/>
  <c r="BI30" i="3"/>
  <c r="BI29" i="3"/>
  <c r="BI34" i="3" s="1"/>
  <c r="BJ27" i="3"/>
  <c r="BJ28" i="3" l="1"/>
  <c r="BJ31" i="3"/>
  <c r="BJ32" i="3" l="1"/>
  <c r="BJ33" i="3" s="1"/>
  <c r="BJ30" i="3"/>
  <c r="BJ29" i="3"/>
  <c r="BJ34" i="3" s="1"/>
  <c r="BK27" i="3"/>
  <c r="BK28" i="3" l="1"/>
  <c r="BK31" i="3"/>
  <c r="BK32" i="3" l="1"/>
  <c r="BK33" i="3" s="1"/>
  <c r="BK30" i="3"/>
  <c r="BK29" i="3"/>
  <c r="BK34" i="3" s="1"/>
  <c r="BL27" i="3"/>
  <c r="BL28" i="3" l="1"/>
  <c r="BL31" i="3"/>
  <c r="BL32" i="3" l="1"/>
  <c r="BL33" i="3" s="1"/>
  <c r="BL29" i="3"/>
  <c r="BL34" i="3" s="1"/>
  <c r="BL30" i="3"/>
  <c r="BM27" i="3"/>
  <c r="BM28" i="3" l="1"/>
  <c r="BM31" i="3"/>
  <c r="BM32" i="3" l="1"/>
  <c r="BM33" i="3" s="1"/>
  <c r="BM30" i="3"/>
  <c r="BM29" i="3"/>
  <c r="BM34" i="3" s="1"/>
  <c r="BN27" i="3"/>
  <c r="BN28" i="3" l="1"/>
  <c r="BN31" i="3"/>
  <c r="BN32" i="3" l="1"/>
  <c r="BN33" i="3" s="1"/>
  <c r="BN29" i="3"/>
  <c r="BN34" i="3" s="1"/>
  <c r="BN30" i="3"/>
  <c r="BO27" i="3"/>
  <c r="BO28" i="3" l="1"/>
  <c r="BO31" i="3"/>
  <c r="BO32" i="3" l="1"/>
  <c r="BO33" i="3" s="1"/>
  <c r="BO30" i="3"/>
  <c r="BO29" i="3"/>
  <c r="BO34" i="3" s="1"/>
  <c r="BP27" i="3"/>
  <c r="BP28" i="3" l="1"/>
  <c r="BP31" i="3"/>
  <c r="BP32" i="3" l="1"/>
  <c r="BP33" i="3" s="1"/>
  <c r="BP30" i="3"/>
  <c r="BP29" i="3"/>
  <c r="BP34" i="3" s="1"/>
  <c r="BQ27" i="3"/>
  <c r="BQ28" i="3" l="1"/>
  <c r="BQ31" i="3"/>
  <c r="BQ32" i="3" l="1"/>
  <c r="BQ33" i="3" s="1"/>
  <c r="BQ30" i="3"/>
  <c r="BQ29" i="3"/>
  <c r="BQ34" i="3" s="1"/>
  <c r="BR27" i="3"/>
  <c r="BR28" i="3" l="1"/>
  <c r="BR31" i="3"/>
  <c r="BR32" i="3" l="1"/>
  <c r="BR33" i="3" s="1"/>
  <c r="BR30" i="3"/>
  <c r="BR29" i="3"/>
  <c r="BR34" i="3" s="1"/>
  <c r="BS27" i="3"/>
  <c r="BS28" i="3" l="1"/>
  <c r="BS31" i="3"/>
  <c r="BS32" i="3" l="1"/>
  <c r="BS33" i="3" s="1"/>
  <c r="BS30" i="3"/>
  <c r="BS29" i="3"/>
  <c r="BS34" i="3" s="1"/>
  <c r="BT27" i="3"/>
  <c r="BT28" i="3" l="1"/>
  <c r="BT31" i="3"/>
  <c r="BT32" i="3" l="1"/>
  <c r="BT33" i="3" s="1"/>
  <c r="BT29" i="3"/>
  <c r="BT34" i="3" s="1"/>
  <c r="BT30" i="3"/>
  <c r="BU27" i="3"/>
  <c r="BU28" i="3" l="1"/>
  <c r="BU31" i="3"/>
  <c r="BU32" i="3" l="1"/>
  <c r="BU33" i="3" s="1"/>
  <c r="BU30" i="3"/>
  <c r="BU29" i="3"/>
  <c r="BU34" i="3" s="1"/>
  <c r="BV27" i="3"/>
  <c r="BV28" i="3" l="1"/>
  <c r="BV31" i="3"/>
  <c r="BV32" i="3" l="1"/>
  <c r="BV33" i="3" s="1"/>
  <c r="BV29" i="3"/>
  <c r="BV34" i="3" s="1"/>
  <c r="BV30" i="3"/>
  <c r="BW27" i="3"/>
  <c r="BW28" i="3" l="1"/>
  <c r="BW31" i="3"/>
  <c r="BW32" i="3" l="1"/>
  <c r="BW33" i="3" s="1"/>
  <c r="BW30" i="3"/>
  <c r="BW29" i="3"/>
  <c r="BW34" i="3" s="1"/>
  <c r="BX27" i="3"/>
  <c r="BX28" i="3" l="1"/>
  <c r="BX31" i="3"/>
  <c r="BX32" i="3" l="1"/>
  <c r="BX33" i="3" s="1"/>
  <c r="BX30" i="3"/>
  <c r="BX29" i="3"/>
  <c r="BX34" i="3" s="1"/>
  <c r="BY27" i="3"/>
  <c r="BY28" i="3" l="1"/>
  <c r="BY31" i="3"/>
  <c r="BY32" i="3" l="1"/>
  <c r="BY33" i="3" s="1"/>
  <c r="BY30" i="3"/>
  <c r="BY29" i="3"/>
  <c r="BY34" i="3" s="1"/>
  <c r="BZ27" i="3"/>
  <c r="BZ28" i="3" l="1"/>
  <c r="BZ31" i="3"/>
  <c r="BZ32" i="3" l="1"/>
  <c r="BZ33" i="3" s="1"/>
  <c r="BZ30" i="3"/>
  <c r="BZ29" i="3"/>
  <c r="BZ34" i="3" s="1"/>
  <c r="CA27" i="3"/>
  <c r="CA28" i="3" l="1"/>
  <c r="CA31" i="3"/>
  <c r="CA32" i="3" l="1"/>
  <c r="CA33" i="3" s="1"/>
  <c r="CA30" i="3"/>
  <c r="CA29" i="3"/>
  <c r="CA34" i="3" s="1"/>
  <c r="CB27" i="3"/>
  <c r="CB28" i="3" l="1"/>
  <c r="CB31" i="3"/>
  <c r="CB32" i="3" l="1"/>
  <c r="CB33" i="3" s="1"/>
  <c r="CB29" i="3"/>
  <c r="CB34" i="3" s="1"/>
  <c r="CB30" i="3"/>
  <c r="CC27" i="3"/>
  <c r="CC28" i="3" l="1"/>
  <c r="CC31" i="3"/>
  <c r="CC32" i="3" l="1"/>
  <c r="CC33" i="3" s="1"/>
  <c r="CC30" i="3"/>
  <c r="CC29" i="3"/>
  <c r="CC34" i="3" s="1"/>
  <c r="CD27" i="3"/>
  <c r="CD28" i="3" l="1"/>
  <c r="CD31" i="3"/>
  <c r="CD32" i="3" l="1"/>
  <c r="CD33" i="3" s="1"/>
  <c r="CD29" i="3"/>
  <c r="CD34" i="3" s="1"/>
  <c r="CD30" i="3"/>
  <c r="CE27" i="3"/>
  <c r="CE28" i="3" l="1"/>
  <c r="CE31" i="3"/>
  <c r="CE32" i="3" l="1"/>
  <c r="CE33" i="3" s="1"/>
  <c r="CE30" i="3"/>
  <c r="CE29" i="3"/>
  <c r="CE34" i="3" s="1"/>
  <c r="CF27" i="3"/>
  <c r="CF28" i="3" l="1"/>
  <c r="CF31" i="3"/>
  <c r="CF32" i="3" l="1"/>
  <c r="CF33" i="3" s="1"/>
  <c r="CF30" i="3"/>
  <c r="CF29" i="3"/>
  <c r="CF34" i="3" s="1"/>
  <c r="CG27" i="3"/>
  <c r="CG28" i="3" l="1"/>
  <c r="CG31" i="3"/>
  <c r="CG32" i="3" l="1"/>
  <c r="CG33" i="3" s="1"/>
  <c r="CG30" i="3"/>
  <c r="CG29" i="3"/>
  <c r="CG34" i="3" s="1"/>
  <c r="CH27" i="3"/>
  <c r="CH28" i="3" l="1"/>
  <c r="CH31" i="3"/>
  <c r="CH32" i="3" l="1"/>
  <c r="CH33" i="3" s="1"/>
  <c r="CH30" i="3"/>
  <c r="CH29" i="3"/>
  <c r="CH34" i="3" s="1"/>
  <c r="CI27" i="3"/>
  <c r="CI28" i="3" l="1"/>
  <c r="CI31" i="3"/>
  <c r="CI32" i="3" l="1"/>
  <c r="CI33" i="3" s="1"/>
  <c r="CI30" i="3"/>
  <c r="CI29" i="3"/>
  <c r="CI34" i="3" s="1"/>
  <c r="CJ27" i="3"/>
  <c r="CJ28" i="3" l="1"/>
  <c r="CJ31" i="3"/>
  <c r="CJ32" i="3" l="1"/>
  <c r="CJ33" i="3" s="1"/>
  <c r="CJ29" i="3"/>
  <c r="CJ34" i="3" s="1"/>
  <c r="CJ30" i="3"/>
  <c r="CK27" i="3"/>
  <c r="CK28" i="3" l="1"/>
  <c r="CK31" i="3"/>
  <c r="CK32" i="3" l="1"/>
  <c r="CK33" i="3" s="1"/>
  <c r="CK30" i="3"/>
  <c r="CK29" i="3"/>
  <c r="CK34" i="3" s="1"/>
  <c r="CL27" i="3"/>
  <c r="CL28" i="3" l="1"/>
  <c r="CL31" i="3"/>
  <c r="CL32" i="3" l="1"/>
  <c r="CL33" i="3" s="1"/>
  <c r="CL29" i="3"/>
  <c r="CL34" i="3" s="1"/>
  <c r="CL30" i="3"/>
  <c r="CM27" i="3"/>
  <c r="CM28" i="3" l="1"/>
  <c r="CM31" i="3"/>
  <c r="CM32" i="3" l="1"/>
  <c r="CM33" i="3" s="1"/>
  <c r="CM30" i="3"/>
  <c r="CM29" i="3"/>
  <c r="CM34" i="3" s="1"/>
  <c r="CN27" i="3"/>
  <c r="CN28" i="3" l="1"/>
  <c r="CN31" i="3"/>
  <c r="CN32" i="3" l="1"/>
  <c r="CN33" i="3" s="1"/>
  <c r="CN30" i="3"/>
  <c r="CN29" i="3"/>
  <c r="CN34" i="3" s="1"/>
  <c r="CO27" i="3"/>
  <c r="CO28" i="3" l="1"/>
  <c r="CO31" i="3"/>
  <c r="CO32" i="3" l="1"/>
  <c r="CO33" i="3" s="1"/>
  <c r="CO30" i="3"/>
  <c r="CO29" i="3"/>
  <c r="CO34" i="3" s="1"/>
  <c r="CP27" i="3"/>
  <c r="CP28" i="3" l="1"/>
  <c r="CP31" i="3"/>
  <c r="CP32" i="3" l="1"/>
  <c r="CP33" i="3" s="1"/>
  <c r="CP30" i="3"/>
  <c r="CP29" i="3"/>
  <c r="CP34" i="3" s="1"/>
  <c r="CQ27" i="3"/>
  <c r="CQ28" i="3" l="1"/>
  <c r="CQ31" i="3"/>
  <c r="CQ32" i="3" l="1"/>
  <c r="CQ33" i="3" s="1"/>
  <c r="CQ30" i="3"/>
  <c r="CQ29" i="3"/>
  <c r="CQ34" i="3" s="1"/>
  <c r="CR27" i="3"/>
  <c r="CR28" i="3" l="1"/>
  <c r="CR31" i="3"/>
  <c r="CR32" i="3" l="1"/>
  <c r="CR33" i="3" s="1"/>
  <c r="CR29" i="3"/>
  <c r="CR34" i="3" s="1"/>
  <c r="CR30" i="3"/>
  <c r="CS27" i="3"/>
  <c r="CS28" i="3" l="1"/>
  <c r="CS31" i="3"/>
  <c r="CS32" i="3" l="1"/>
  <c r="CS33" i="3" s="1"/>
  <c r="CS30" i="3"/>
  <c r="CS29" i="3"/>
  <c r="CS34" i="3" s="1"/>
  <c r="CT27" i="3"/>
  <c r="CT28" i="3" l="1"/>
  <c r="CT31" i="3"/>
  <c r="CT32" i="3" l="1"/>
  <c r="CT33" i="3" s="1"/>
  <c r="CT29" i="3"/>
  <c r="CT34" i="3" s="1"/>
  <c r="CT30" i="3"/>
  <c r="CU27" i="3"/>
  <c r="CU28" i="3" l="1"/>
  <c r="CU31" i="3"/>
  <c r="CU32" i="3" l="1"/>
  <c r="CU33" i="3" s="1"/>
  <c r="CU30" i="3"/>
  <c r="CU29" i="3"/>
  <c r="CU34" i="3" s="1"/>
  <c r="CV27" i="3"/>
  <c r="CV28" i="3" l="1"/>
  <c r="CV31" i="3"/>
  <c r="CV32" i="3" l="1"/>
  <c r="CV33" i="3" s="1"/>
  <c r="CV30" i="3"/>
  <c r="CV29" i="3"/>
  <c r="CV34" i="3" s="1"/>
  <c r="CW27" i="3"/>
  <c r="CW28" i="3" l="1"/>
  <c r="CW31" i="3"/>
  <c r="CW32" i="3" l="1"/>
  <c r="CW33" i="3" s="1"/>
  <c r="CW30" i="3"/>
  <c r="CW29" i="3"/>
  <c r="CW34" i="3" s="1"/>
  <c r="CX27" i="3"/>
  <c r="CX28" i="3" l="1"/>
  <c r="CX31" i="3"/>
  <c r="CX32" i="3" l="1"/>
  <c r="CX33" i="3" s="1"/>
  <c r="CX30" i="3"/>
  <c r="CX29" i="3"/>
  <c r="CX34" i="3" s="1"/>
  <c r="CY27" i="3"/>
  <c r="CY28" i="3" l="1"/>
  <c r="CY31" i="3"/>
  <c r="CY32" i="3" l="1"/>
  <c r="CY33" i="3" s="1"/>
  <c r="CY30" i="3"/>
  <c r="CY29" i="3"/>
  <c r="CY34" i="3" s="1"/>
  <c r="CZ27" i="3"/>
  <c r="CZ28" i="3" l="1"/>
  <c r="CZ31" i="3"/>
  <c r="CZ32" i="3" l="1"/>
  <c r="CZ33" i="3" s="1"/>
  <c r="CZ29" i="3"/>
  <c r="CZ34" i="3" s="1"/>
  <c r="CZ30" i="3"/>
  <c r="DA27" i="3"/>
  <c r="DA28" i="3" l="1"/>
  <c r="DA31" i="3"/>
  <c r="DA32" i="3" l="1"/>
  <c r="DA33" i="3" s="1"/>
  <c r="DA30" i="3"/>
  <c r="DA29" i="3"/>
  <c r="DA34" i="3" s="1"/>
  <c r="DB27" i="3"/>
  <c r="DB28" i="3" l="1"/>
  <c r="DB31" i="3"/>
  <c r="DB32" i="3" l="1"/>
  <c r="DB33" i="3" s="1"/>
  <c r="DB29" i="3"/>
  <c r="DB34" i="3" s="1"/>
  <c r="DB30" i="3"/>
  <c r="DC27" i="3"/>
  <c r="DC28" i="3" l="1"/>
  <c r="DC31" i="3"/>
  <c r="DC32" i="3" l="1"/>
  <c r="DC33" i="3" s="1"/>
  <c r="DC30" i="3"/>
  <c r="DC29" i="3"/>
  <c r="DC34" i="3" s="1"/>
  <c r="DD27" i="3"/>
  <c r="DD28" i="3" l="1"/>
  <c r="DD31" i="3"/>
  <c r="DD32" i="3" l="1"/>
  <c r="DD33" i="3" s="1"/>
  <c r="DD30" i="3"/>
  <c r="DD29" i="3"/>
  <c r="DD34" i="3" s="1"/>
  <c r="DE27" i="3"/>
  <c r="DE28" i="3" l="1"/>
  <c r="DE31" i="3"/>
  <c r="DE32" i="3" l="1"/>
  <c r="DE33" i="3" s="1"/>
  <c r="DE30" i="3"/>
  <c r="DE29" i="3"/>
  <c r="DE34" i="3" s="1"/>
  <c r="DF27" i="3"/>
  <c r="DF28" i="3" l="1"/>
  <c r="DF31" i="3"/>
  <c r="DF32" i="3" l="1"/>
  <c r="DF33" i="3" s="1"/>
  <c r="DF30" i="3"/>
  <c r="DF29" i="3"/>
  <c r="DF34" i="3" s="1"/>
  <c r="DG27" i="3"/>
  <c r="DG28" i="3" l="1"/>
  <c r="DG31" i="3"/>
  <c r="DG32" i="3" l="1"/>
  <c r="DG33" i="3" s="1"/>
  <c r="DG30" i="3"/>
  <c r="DG29" i="3"/>
  <c r="DG34" i="3" s="1"/>
  <c r="DH27" i="3"/>
  <c r="DH28" i="3" l="1"/>
  <c r="DH31" i="3"/>
  <c r="DH32" i="3" l="1"/>
  <c r="DH33" i="3" s="1"/>
  <c r="DH29" i="3"/>
  <c r="DH34" i="3" s="1"/>
  <c r="DH30" i="3"/>
  <c r="DI27" i="3"/>
  <c r="DI28" i="3" l="1"/>
  <c r="DI31" i="3"/>
  <c r="DI32" i="3" l="1"/>
  <c r="DI33" i="3" s="1"/>
  <c r="DI30" i="3"/>
  <c r="DI29" i="3"/>
  <c r="DI34" i="3" s="1"/>
  <c r="DJ27" i="3"/>
  <c r="DJ28" i="3" l="1"/>
  <c r="DJ31" i="3"/>
  <c r="DJ32" i="3" l="1"/>
  <c r="DJ33" i="3" s="1"/>
  <c r="DJ29" i="3"/>
  <c r="DJ34" i="3" s="1"/>
  <c r="DJ30" i="3"/>
  <c r="DK27" i="3"/>
  <c r="DK28" i="3" l="1"/>
  <c r="DK31" i="3"/>
  <c r="DK32" i="3" l="1"/>
  <c r="DK33" i="3" s="1"/>
  <c r="DK30" i="3"/>
  <c r="DK29" i="3"/>
  <c r="DK34" i="3" s="1"/>
  <c r="DL27" i="3"/>
  <c r="DL28" i="3" l="1"/>
  <c r="DL31" i="3"/>
  <c r="DL32" i="3" l="1"/>
  <c r="DL33" i="3" s="1"/>
  <c r="DL30" i="3"/>
  <c r="DL29" i="3"/>
  <c r="DL34" i="3" s="1"/>
  <c r="DM27" i="3"/>
  <c r="DM28" i="3" l="1"/>
  <c r="DM31" i="3"/>
  <c r="DM32" i="3" l="1"/>
  <c r="DM33" i="3" s="1"/>
  <c r="DM30" i="3"/>
  <c r="DM29" i="3"/>
  <c r="DM34" i="3" s="1"/>
  <c r="A6" i="199" l="1"/>
  <c r="A6" i="3"/>
  <c r="B8" i="3" s="1"/>
  <c r="A6" i="1"/>
  <c r="B8" i="1" s="1"/>
  <c r="A6" i="56" l="1"/>
  <c r="A6" i="200"/>
  <c r="B8" i="200" s="1"/>
  <c r="B8" i="199"/>
  <c r="B16" i="3"/>
  <c r="B26" i="3" s="1"/>
  <c r="B8" i="56" l="1"/>
  <c r="B9" i="56" s="1"/>
  <c r="B10" i="56" s="1"/>
  <c r="B11" i="56" s="1"/>
  <c r="B22" i="200"/>
  <c r="B29" i="199"/>
  <c r="B43" i="199" s="1"/>
  <c r="B53" i="199" l="1"/>
  <c r="B73" i="199" s="1"/>
  <c r="B45" i="200"/>
  <c r="B48" i="200" s="1"/>
  <c r="B50" i="200" s="1"/>
  <c r="A17" i="56"/>
  <c r="A76" i="56" s="1"/>
  <c r="B12" i="56"/>
  <c r="B13" i="56" l="1"/>
  <c r="B14" i="56" s="1"/>
  <c r="B15" i="56" s="1"/>
  <c r="B78" i="56"/>
  <c r="B58" i="200"/>
  <c r="B61" i="200" s="1"/>
  <c r="B19" i="56" l="1"/>
  <c r="B23" i="56" l="1"/>
  <c r="B27" i="56" l="1"/>
  <c r="B31" i="56" s="1"/>
  <c r="B35" i="56" s="1"/>
  <c r="B39" i="56" l="1"/>
  <c r="B43" i="56" s="1"/>
  <c r="B47" i="56" s="1"/>
  <c r="B51" i="56" s="1"/>
  <c r="B55" i="56" s="1"/>
  <c r="B59" i="56" s="1"/>
  <c r="B63" i="56" s="1"/>
  <c r="B67" i="56" s="1"/>
  <c r="B71" i="56" l="1"/>
  <c r="B82" i="56" s="1"/>
  <c r="A87" i="56" l="1"/>
  <c r="B89" i="56" s="1"/>
  <c r="J40" i="305"/>
  <c r="J110" i="305"/>
  <c r="J80" i="305"/>
  <c r="J70" i="305"/>
  <c r="J100" i="305"/>
  <c r="J90" i="305"/>
  <c r="J50" i="305"/>
  <c r="J60" i="305"/>
  <c r="K40" i="305"/>
  <c r="K41" i="305" s="1"/>
  <c r="K80" i="305"/>
  <c r="K81" i="305" s="1"/>
  <c r="K100" i="305"/>
  <c r="K101" i="305" s="1"/>
  <c r="K90" i="305"/>
  <c r="K91" i="305" s="1"/>
  <c r="K50" i="305"/>
  <c r="K51" i="305" s="1"/>
  <c r="K110" i="305"/>
  <c r="K111" i="305" s="1"/>
  <c r="K70" i="305"/>
  <c r="K71" i="305" s="1"/>
  <c r="K60" i="305"/>
  <c r="K61" i="305" s="1"/>
  <c r="A186" i="56" l="1"/>
  <c r="A193" i="56" s="1"/>
  <c r="A201" i="56" s="1"/>
  <c r="A205" i="56" s="1"/>
  <c r="B96" i="56"/>
  <c r="B103" i="56" s="1"/>
  <c r="B110" i="56" s="1"/>
  <c r="B117" i="56" s="1"/>
  <c r="B124" i="56" s="1"/>
  <c r="B131" i="56" s="1"/>
  <c r="B138" i="56" s="1"/>
  <c r="B145" i="56" s="1"/>
  <c r="B150" i="56" s="1"/>
  <c r="B155" i="56" s="1"/>
  <c r="L100" i="305"/>
  <c r="L102" i="305" s="1"/>
  <c r="K52" i="305"/>
  <c r="J53" i="305"/>
  <c r="J52" i="305"/>
  <c r="J54" i="305"/>
  <c r="K54" i="305"/>
  <c r="K53" i="305"/>
  <c r="J51" i="305"/>
  <c r="J72" i="305"/>
  <c r="J73" i="305"/>
  <c r="K73" i="305"/>
  <c r="J74" i="305"/>
  <c r="K74" i="305"/>
  <c r="K72" i="305"/>
  <c r="J71" i="305"/>
  <c r="L80" i="305"/>
  <c r="L83" i="305" s="1"/>
  <c r="L110" i="305"/>
  <c r="L50" i="305"/>
  <c r="L40" i="305"/>
  <c r="L60" i="305"/>
  <c r="K94" i="305"/>
  <c r="J91" i="305"/>
  <c r="J93" i="305"/>
  <c r="J92" i="305"/>
  <c r="K92" i="305"/>
  <c r="J94" i="305"/>
  <c r="K93" i="305"/>
  <c r="J83" i="305"/>
  <c r="K83" i="305"/>
  <c r="K82" i="305"/>
  <c r="J84" i="305"/>
  <c r="J81" i="305"/>
  <c r="K84" i="305"/>
  <c r="J82" i="305"/>
  <c r="J112" i="305"/>
  <c r="K112" i="305"/>
  <c r="K113" i="305"/>
  <c r="K114" i="305"/>
  <c r="J114" i="305"/>
  <c r="J111" i="305"/>
  <c r="J113" i="305"/>
  <c r="L70" i="305"/>
  <c r="L90" i="305"/>
  <c r="K62" i="305"/>
  <c r="K63" i="305"/>
  <c r="J64" i="305"/>
  <c r="J62" i="305"/>
  <c r="K64" i="305"/>
  <c r="J61" i="305"/>
  <c r="J63" i="305"/>
  <c r="J104" i="305"/>
  <c r="L103" i="305"/>
  <c r="K103" i="305"/>
  <c r="K102" i="305"/>
  <c r="J102" i="305"/>
  <c r="J101" i="305"/>
  <c r="K104" i="305"/>
  <c r="J103" i="305"/>
  <c r="J43" i="305"/>
  <c r="K43" i="305"/>
  <c r="K42" i="305"/>
  <c r="J42" i="305"/>
  <c r="K44" i="305"/>
  <c r="J44" i="305"/>
  <c r="J41" i="305"/>
  <c r="W83" i="305" l="1"/>
  <c r="W103" i="305"/>
  <c r="W102" i="305"/>
  <c r="L53" i="305"/>
  <c r="W53" i="305" s="1"/>
  <c r="W50" i="305"/>
  <c r="X50" i="305"/>
  <c r="L93" i="305"/>
  <c r="W93" i="305" s="1"/>
  <c r="W90" i="305"/>
  <c r="X90" i="305"/>
  <c r="W110" i="305"/>
  <c r="X110" i="305"/>
  <c r="W100" i="305"/>
  <c r="X100" i="305"/>
  <c r="L74" i="305"/>
  <c r="W74" i="305" s="1"/>
  <c r="W70" i="305"/>
  <c r="X70" i="305"/>
  <c r="L64" i="305"/>
  <c r="W64" i="305" s="1"/>
  <c r="W60" i="305"/>
  <c r="X60" i="305"/>
  <c r="W80" i="305"/>
  <c r="X80" i="305"/>
  <c r="W40" i="305"/>
  <c r="X40" i="305"/>
  <c r="L82" i="305"/>
  <c r="W82" i="305" s="1"/>
  <c r="L113" i="305"/>
  <c r="W113" i="305" s="1"/>
  <c r="L43" i="305"/>
  <c r="W43" i="305" s="1"/>
  <c r="L84" i="305"/>
  <c r="W84" i="305" s="1"/>
  <c r="L104" i="305"/>
  <c r="W104" i="305" s="1"/>
  <c r="L114" i="305"/>
  <c r="W114" i="305" s="1"/>
  <c r="L112" i="305"/>
  <c r="W112" i="305" s="1"/>
  <c r="L42" i="305"/>
  <c r="W42" i="305" s="1"/>
  <c r="L44" i="305"/>
  <c r="W44" i="305" s="1"/>
  <c r="L92" i="305"/>
  <c r="W92" i="305" s="1"/>
  <c r="L94" i="305"/>
  <c r="W94" i="305" s="1"/>
  <c r="L73" i="305"/>
  <c r="W73" i="305" s="1"/>
  <c r="L72" i="305"/>
  <c r="L63" i="305"/>
  <c r="W63" i="305" s="1"/>
  <c r="L62" i="305"/>
  <c r="W62" i="305" s="1"/>
  <c r="L52" i="305"/>
  <c r="W52" i="305" s="1"/>
  <c r="L54" i="305"/>
  <c r="W54" i="305" s="1"/>
  <c r="L41" i="305"/>
  <c r="L91" i="305"/>
  <c r="L111" i="305"/>
  <c r="L71" i="305"/>
  <c r="L61" i="305"/>
  <c r="L51" i="305"/>
  <c r="L81" i="305"/>
  <c r="L101" i="305"/>
  <c r="B160" i="56"/>
  <c r="L85" i="305" l="1"/>
  <c r="M85" i="305" s="1"/>
  <c r="M30" i="308" s="1"/>
  <c r="L65" i="305"/>
  <c r="M65" i="305" s="1"/>
  <c r="M66" i="305" s="1"/>
  <c r="M26" i="308" s="1"/>
  <c r="L55" i="305"/>
  <c r="M55" i="305" s="1"/>
  <c r="M56" i="305" s="1"/>
  <c r="M25" i="308" s="1"/>
  <c r="L115" i="305"/>
  <c r="M115" i="305" s="1"/>
  <c r="M116" i="305" s="1"/>
  <c r="L95" i="305"/>
  <c r="M95" i="305" s="1"/>
  <c r="M96" i="305" s="1"/>
  <c r="L105" i="305"/>
  <c r="L45" i="305"/>
  <c r="M45" i="305" s="1"/>
  <c r="M46" i="305" s="1"/>
  <c r="W72" i="305"/>
  <c r="L75" i="305"/>
  <c r="M75" i="305" s="1"/>
  <c r="M76" i="305" s="1"/>
  <c r="M27" i="308" s="1"/>
  <c r="W51" i="305"/>
  <c r="X51" i="305"/>
  <c r="W101" i="305"/>
  <c r="X101" i="305"/>
  <c r="W71" i="305"/>
  <c r="X71" i="305"/>
  <c r="W91" i="305"/>
  <c r="X91" i="305"/>
  <c r="Y53" i="305"/>
  <c r="X53" i="305"/>
  <c r="Y44" i="305"/>
  <c r="X44" i="305"/>
  <c r="X62" i="305"/>
  <c r="Y62" i="305"/>
  <c r="Y93" i="305"/>
  <c r="X93" i="305"/>
  <c r="X113" i="305"/>
  <c r="Y113" i="305"/>
  <c r="Y94" i="305"/>
  <c r="X94" i="305"/>
  <c r="X43" i="305"/>
  <c r="Y43" i="305"/>
  <c r="W81" i="305"/>
  <c r="X81" i="305"/>
  <c r="W41" i="305"/>
  <c r="X41" i="305"/>
  <c r="Y42" i="305"/>
  <c r="X42" i="305"/>
  <c r="Y63" i="305"/>
  <c r="X63" i="305"/>
  <c r="Y83" i="305"/>
  <c r="X83" i="305"/>
  <c r="X92" i="305"/>
  <c r="Y92" i="305"/>
  <c r="X74" i="305"/>
  <c r="Y74" i="305"/>
  <c r="Y72" i="305"/>
  <c r="X72" i="305"/>
  <c r="X54" i="305"/>
  <c r="Y54" i="305"/>
  <c r="X112" i="305"/>
  <c r="Y112" i="305"/>
  <c r="Y73" i="305"/>
  <c r="X73" i="305"/>
  <c r="X103" i="305"/>
  <c r="Y103" i="305"/>
  <c r="X84" i="305"/>
  <c r="Y84" i="305"/>
  <c r="Y114" i="305"/>
  <c r="X114" i="305"/>
  <c r="W111" i="305"/>
  <c r="X111" i="305"/>
  <c r="W61" i="305"/>
  <c r="X61" i="305"/>
  <c r="Y52" i="305"/>
  <c r="X52" i="305"/>
  <c r="X64" i="305"/>
  <c r="Y64" i="305"/>
  <c r="Y102" i="305"/>
  <c r="X102" i="305"/>
  <c r="Y82" i="305"/>
  <c r="X82" i="305"/>
  <c r="Y104" i="305"/>
  <c r="X104" i="305"/>
  <c r="X115" i="305"/>
  <c r="B165" i="56"/>
  <c r="B170" i="56" s="1"/>
  <c r="B175" i="56" s="1"/>
  <c r="B180" i="56" s="1"/>
  <c r="M105" i="305" l="1"/>
  <c r="N105" i="305" s="1"/>
  <c r="N106" i="305" s="1"/>
  <c r="N34" i="308" s="1"/>
  <c r="W85" i="305"/>
  <c r="W65" i="305"/>
  <c r="W95" i="305"/>
  <c r="M24" i="308"/>
  <c r="W45" i="305"/>
  <c r="W115" i="305"/>
  <c r="W105" i="305"/>
  <c r="W55" i="305"/>
  <c r="W75" i="305"/>
  <c r="X55" i="305"/>
  <c r="X85" i="305"/>
  <c r="X66" i="305"/>
  <c r="X56" i="305"/>
  <c r="X65" i="305"/>
  <c r="X96" i="305"/>
  <c r="M33" i="308"/>
  <c r="X46" i="305"/>
  <c r="X76" i="305"/>
  <c r="X86" i="305"/>
  <c r="X116" i="305"/>
  <c r="M35" i="308"/>
  <c r="N45" i="305"/>
  <c r="N46" i="305" s="1"/>
  <c r="X45" i="305"/>
  <c r="N95" i="305"/>
  <c r="O95" i="305" s="1"/>
  <c r="X95" i="305"/>
  <c r="N75" i="305"/>
  <c r="O75" i="305" s="1"/>
  <c r="P75" i="305" s="1"/>
  <c r="Q75" i="305" s="1"/>
  <c r="X75" i="305"/>
  <c r="N85" i="305"/>
  <c r="O85" i="305" s="1"/>
  <c r="N115" i="305"/>
  <c r="N65" i="305"/>
  <c r="N55" i="305"/>
  <c r="B188" i="56"/>
  <c r="M106" i="305" l="1"/>
  <c r="M8" i="305" s="1"/>
  <c r="X105" i="305"/>
  <c r="N24" i="308"/>
  <c r="X106" i="305"/>
  <c r="M34" i="308"/>
  <c r="J161" i="315" s="1"/>
  <c r="C235" i="327" s="1"/>
  <c r="M235" i="327" s="1"/>
  <c r="Y75" i="305"/>
  <c r="R75" i="305"/>
  <c r="R76" i="305" s="1"/>
  <c r="R27" i="308" s="1"/>
  <c r="O45" i="305"/>
  <c r="P45" i="305" s="1"/>
  <c r="Q45" i="305" s="1"/>
  <c r="W29" i="308"/>
  <c r="J156" i="315"/>
  <c r="C230" i="327" s="1"/>
  <c r="M230" i="327" s="1"/>
  <c r="O105" i="305"/>
  <c r="N96" i="305"/>
  <c r="N33" i="308" s="1"/>
  <c r="N76" i="305"/>
  <c r="N27" i="308" s="1"/>
  <c r="N30" i="308"/>
  <c r="O115" i="305"/>
  <c r="N116" i="305"/>
  <c r="N35" i="308" s="1"/>
  <c r="P95" i="305"/>
  <c r="O96" i="305"/>
  <c r="K159" i="315"/>
  <c r="D233" i="327" s="1"/>
  <c r="N233" i="327" s="1"/>
  <c r="O30" i="308"/>
  <c r="P85" i="305"/>
  <c r="Q85" i="305" s="1"/>
  <c r="N66" i="305"/>
  <c r="N26" i="308" s="1"/>
  <c r="O65" i="305"/>
  <c r="P65" i="305" s="1"/>
  <c r="Q65" i="305" s="1"/>
  <c r="O55" i="305"/>
  <c r="P55" i="305" s="1"/>
  <c r="Q55" i="305" s="1"/>
  <c r="N56" i="305"/>
  <c r="N25" i="308" s="1"/>
  <c r="B195" i="56"/>
  <c r="B198" i="56" s="1"/>
  <c r="B199" i="56" s="1"/>
  <c r="B203" i="56" s="1"/>
  <c r="W34" i="308" l="1"/>
  <c r="N8" i="305"/>
  <c r="P105" i="305"/>
  <c r="Q105" i="305" s="1"/>
  <c r="Y85" i="305"/>
  <c r="R85" i="305"/>
  <c r="R30" i="308" s="1"/>
  <c r="J158" i="315"/>
  <c r="C232" i="327" s="1"/>
  <c r="M232" i="327" s="1"/>
  <c r="K158" i="315"/>
  <c r="D232" i="327" s="1"/>
  <c r="N232" i="327" s="1"/>
  <c r="Y55" i="305"/>
  <c r="R55" i="305"/>
  <c r="R56" i="305" s="1"/>
  <c r="R25" i="308" s="1"/>
  <c r="K157" i="315"/>
  <c r="D231" i="327" s="1"/>
  <c r="N231" i="327" s="1"/>
  <c r="Y65" i="305"/>
  <c r="R65" i="305"/>
  <c r="R66" i="305" s="1"/>
  <c r="R26" i="308" s="1"/>
  <c r="K160" i="315"/>
  <c r="D234" i="327" s="1"/>
  <c r="N234" i="327" s="1"/>
  <c r="O33" i="308"/>
  <c r="Y45" i="305"/>
  <c r="R45" i="305"/>
  <c r="R46" i="305" s="1"/>
  <c r="W31" i="308"/>
  <c r="W28" i="308"/>
  <c r="J155" i="315"/>
  <c r="C229" i="327" s="1"/>
  <c r="M229" i="327" s="1"/>
  <c r="W25" i="308"/>
  <c r="J153" i="315"/>
  <c r="W24" i="308"/>
  <c r="J152" i="315"/>
  <c r="C226" i="327" s="1"/>
  <c r="M226" i="327" s="1"/>
  <c r="W33" i="308"/>
  <c r="J160" i="315"/>
  <c r="C234" i="327" s="1"/>
  <c r="M234" i="327" s="1"/>
  <c r="W26" i="308"/>
  <c r="J154" i="315"/>
  <c r="C228" i="327" s="1"/>
  <c r="M228" i="327" s="1"/>
  <c r="W30" i="308"/>
  <c r="J157" i="315"/>
  <c r="C231" i="327" s="1"/>
  <c r="M231" i="327" s="1"/>
  <c r="W35" i="308"/>
  <c r="J162" i="315"/>
  <c r="C236" i="327" s="1"/>
  <c r="M236" i="327" s="1"/>
  <c r="W32" i="308"/>
  <c r="J159" i="315"/>
  <c r="C233" i="327" s="1"/>
  <c r="M233" i="327" s="1"/>
  <c r="O106" i="305"/>
  <c r="M23" i="308"/>
  <c r="O116" i="305"/>
  <c r="P115" i="305"/>
  <c r="P106" i="305"/>
  <c r="Q95" i="305"/>
  <c r="R95" i="305" s="1"/>
  <c r="R96" i="305" s="1"/>
  <c r="R33" i="308" s="1"/>
  <c r="P96" i="305"/>
  <c r="B207" i="56"/>
  <c r="B208" i="56" s="1"/>
  <c r="R24" i="308" l="1"/>
  <c r="R105" i="305"/>
  <c r="R106" i="305" s="1"/>
  <c r="R34" i="308" s="1"/>
  <c r="Y105" i="305"/>
  <c r="K161" i="315"/>
  <c r="D235" i="327" s="1"/>
  <c r="N235" i="327" s="1"/>
  <c r="O34" i="308"/>
  <c r="L161" i="315" s="1"/>
  <c r="E235" i="327" s="1"/>
  <c r="O235" i="327" s="1"/>
  <c r="L160" i="315"/>
  <c r="E234" i="327" s="1"/>
  <c r="O234" i="327" s="1"/>
  <c r="P33" i="308"/>
  <c r="K162" i="315"/>
  <c r="D236" i="327" s="1"/>
  <c r="N236" i="327" s="1"/>
  <c r="O35" i="308"/>
  <c r="P34" i="308"/>
  <c r="K156" i="315"/>
  <c r="D230" i="327" s="1"/>
  <c r="N230" i="327" s="1"/>
  <c r="J313" i="315"/>
  <c r="C263" i="327" s="1"/>
  <c r="M263" i="327" s="1"/>
  <c r="C227" i="327"/>
  <c r="M227" i="327" s="1"/>
  <c r="W23" i="308"/>
  <c r="J151" i="315"/>
  <c r="C225" i="327" s="1"/>
  <c r="M225" i="327" s="1"/>
  <c r="J312" i="315"/>
  <c r="C262" i="327" s="1"/>
  <c r="M262" i="327" s="1"/>
  <c r="Q96" i="305"/>
  <c r="Q33" i="308" s="1"/>
  <c r="Y95" i="305"/>
  <c r="M267" i="312"/>
  <c r="M284" i="312"/>
  <c r="M233" i="312"/>
  <c r="M199" i="312"/>
  <c r="M165" i="312"/>
  <c r="M250" i="312"/>
  <c r="M216" i="312"/>
  <c r="W216" i="312" s="1"/>
  <c r="M182" i="312"/>
  <c r="P116" i="305"/>
  <c r="Q115" i="305"/>
  <c r="R115" i="305" s="1"/>
  <c r="R116" i="305" s="1"/>
  <c r="R35" i="308" s="1"/>
  <c r="R8" i="305" l="1"/>
  <c r="R23" i="308"/>
  <c r="R36" i="308" s="1"/>
  <c r="L162" i="315"/>
  <c r="E236" i="327" s="1"/>
  <c r="O236" i="327" s="1"/>
  <c r="P35" i="308"/>
  <c r="M166" i="312"/>
  <c r="M170" i="312" s="1"/>
  <c r="W165" i="312"/>
  <c r="M268" i="312"/>
  <c r="M272" i="312" s="1"/>
  <c r="W267" i="312"/>
  <c r="M183" i="312"/>
  <c r="M187" i="312" s="1"/>
  <c r="W182" i="312"/>
  <c r="M200" i="312"/>
  <c r="M204" i="312" s="1"/>
  <c r="W199" i="312"/>
  <c r="M234" i="312"/>
  <c r="M238" i="312" s="1"/>
  <c r="W233" i="312"/>
  <c r="Q116" i="305"/>
  <c r="Q35" i="308" s="1"/>
  <c r="Y115" i="305"/>
  <c r="M251" i="312"/>
  <c r="M255" i="312" s="1"/>
  <c r="W250" i="312"/>
  <c r="M285" i="312"/>
  <c r="M289" i="312" s="1"/>
  <c r="W284" i="312"/>
  <c r="Y96" i="305"/>
  <c r="O53" i="311"/>
  <c r="O100" i="311" s="1"/>
  <c r="O40" i="308" s="1"/>
  <c r="O52" i="311"/>
  <c r="R233" i="312" l="1"/>
  <c r="R234" i="312" s="1"/>
  <c r="R238" i="312" s="1"/>
  <c r="R250" i="312"/>
  <c r="R251" i="312" s="1"/>
  <c r="R255" i="312" s="1"/>
  <c r="R165" i="312"/>
  <c r="R166" i="312" s="1"/>
  <c r="R170" i="312" s="1"/>
  <c r="R182" i="312"/>
  <c r="R183" i="312" s="1"/>
  <c r="R187" i="312" s="1"/>
  <c r="R267" i="312"/>
  <c r="R268" i="312" s="1"/>
  <c r="R272" i="312" s="1"/>
  <c r="R216" i="312"/>
  <c r="R284" i="312"/>
  <c r="R285" i="312" s="1"/>
  <c r="R289" i="312" s="1"/>
  <c r="R199" i="312"/>
  <c r="R200" i="312" s="1"/>
  <c r="R204" i="312" s="1"/>
  <c r="L167" i="315"/>
  <c r="E241" i="327" s="1"/>
  <c r="O241" i="327" s="1"/>
  <c r="X33" i="308"/>
  <c r="M160" i="315"/>
  <c r="F234" i="327" s="1"/>
  <c r="P234" i="327" s="1"/>
  <c r="W234" i="312"/>
  <c r="W285" i="312"/>
  <c r="Y116" i="305"/>
  <c r="W200" i="312"/>
  <c r="W268" i="312"/>
  <c r="W251" i="312"/>
  <c r="W183" i="312"/>
  <c r="W166" i="312"/>
  <c r="O54" i="311"/>
  <c r="O88" i="311" s="1"/>
  <c r="O10" i="313" l="1"/>
  <c r="X35" i="308"/>
  <c r="M162" i="315"/>
  <c r="F236" i="327" s="1"/>
  <c r="P236" i="327" s="1"/>
  <c r="N160" i="315"/>
  <c r="G234" i="327" s="1"/>
  <c r="Q234" i="327" s="1"/>
  <c r="O160" i="315"/>
  <c r="P160" i="315"/>
  <c r="O16" i="314"/>
  <c r="P50" i="311"/>
  <c r="X50" i="311" s="1"/>
  <c r="N162" i="315" l="1"/>
  <c r="G236" i="327" s="1"/>
  <c r="Q236" i="327" s="1"/>
  <c r="O162" i="315"/>
  <c r="P162" i="315"/>
  <c r="O13" i="314"/>
  <c r="L196" i="315"/>
  <c r="X205" i="312"/>
  <c r="X290" i="312"/>
  <c r="X273" i="312"/>
  <c r="X239" i="312"/>
  <c r="X171" i="312"/>
  <c r="X256" i="312"/>
  <c r="X188" i="312"/>
  <c r="P8" i="310"/>
  <c r="N196" i="315" l="1"/>
  <c r="Q281" i="327" s="1"/>
  <c r="G281" i="327" s="1"/>
  <c r="O281" i="327"/>
  <c r="E281" i="327" s="1"/>
  <c r="P11" i="310"/>
  <c r="X8" i="310"/>
  <c r="O28" i="314"/>
  <c r="L209" i="315" s="1"/>
  <c r="L193" i="315"/>
  <c r="P52" i="311"/>
  <c r="X52" i="311" s="1"/>
  <c r="P53" i="311"/>
  <c r="N209" i="315" l="1"/>
  <c r="Q285" i="327" s="1"/>
  <c r="G285" i="327" s="1"/>
  <c r="O285" i="327"/>
  <c r="E285" i="327" s="1"/>
  <c r="N193" i="315"/>
  <c r="Q278" i="327" s="1"/>
  <c r="G278" i="327" s="1"/>
  <c r="O278" i="327"/>
  <c r="E278" i="327" s="1"/>
  <c r="P13" i="310"/>
  <c r="X11" i="310"/>
  <c r="P100" i="311"/>
  <c r="P40" i="308" s="1"/>
  <c r="X53" i="311"/>
  <c r="P54" i="311"/>
  <c r="Q50" i="311" s="1"/>
  <c r="Q54" i="311" s="1"/>
  <c r="R50" i="311" l="1"/>
  <c r="R54" i="311" s="1"/>
  <c r="R88" i="311" s="1"/>
  <c r="R16" i="314" s="1"/>
  <c r="R13" i="314" s="1"/>
  <c r="R28" i="314" s="1"/>
  <c r="Q88" i="311"/>
  <c r="Q16" i="314" s="1"/>
  <c r="Q13" i="314" s="1"/>
  <c r="Q28" i="314" s="1"/>
  <c r="P35" i="313"/>
  <c r="P60" i="311"/>
  <c r="X13" i="310"/>
  <c r="M167" i="315"/>
  <c r="X100" i="311"/>
  <c r="P88" i="311"/>
  <c r="X54" i="311"/>
  <c r="Q61" i="311" l="1"/>
  <c r="Q34" i="304" s="1"/>
  <c r="R61" i="311"/>
  <c r="R34" i="304" s="1"/>
  <c r="N167" i="315"/>
  <c r="G241" i="327" s="1"/>
  <c r="Q241" i="327" s="1"/>
  <c r="F241" i="327"/>
  <c r="P241" i="327" s="1"/>
  <c r="X60" i="311"/>
  <c r="P61" i="311"/>
  <c r="P36" i="313"/>
  <c r="X36" i="313" s="1"/>
  <c r="X35" i="313"/>
  <c r="O167" i="315"/>
  <c r="P10" i="313"/>
  <c r="X10" i="313" s="1"/>
  <c r="X40" i="308"/>
  <c r="P16" i="314"/>
  <c r="M196" i="315" s="1"/>
  <c r="P281" i="327" s="1"/>
  <c r="F281" i="327" s="1"/>
  <c r="X88" i="311"/>
  <c r="P63" i="311" l="1"/>
  <c r="Q59" i="311" s="1"/>
  <c r="Q63" i="311" s="1"/>
  <c r="P34" i="304"/>
  <c r="P16" i="308" s="1"/>
  <c r="R16" i="308"/>
  <c r="Q16" i="308"/>
  <c r="X61" i="311"/>
  <c r="P13" i="314"/>
  <c r="M193" i="315" s="1"/>
  <c r="P278" i="327" s="1"/>
  <c r="F278" i="327" s="1"/>
  <c r="X16" i="314"/>
  <c r="Q46" i="305"/>
  <c r="Q106" i="305"/>
  <c r="Q34" i="308" s="1"/>
  <c r="Q56" i="305"/>
  <c r="Q25" i="308" s="1"/>
  <c r="Q76" i="305"/>
  <c r="Q27" i="308" s="1"/>
  <c r="Q66" i="305"/>
  <c r="Q26" i="308" s="1"/>
  <c r="Q30" i="308"/>
  <c r="O46" i="305"/>
  <c r="O66" i="305"/>
  <c r="O26" i="308" s="1"/>
  <c r="O56" i="305"/>
  <c r="O25" i="308" s="1"/>
  <c r="O76" i="305"/>
  <c r="O27" i="308" s="1"/>
  <c r="Q24" i="308" l="1"/>
  <c r="Q8" i="305"/>
  <c r="O24" i="308"/>
  <c r="O8" i="305"/>
  <c r="Q13" i="313"/>
  <c r="Q15" i="308"/>
  <c r="Q70" i="312" s="1"/>
  <c r="Q71" i="312" s="1"/>
  <c r="Q75" i="312" s="1"/>
  <c r="Q81" i="312" s="1"/>
  <c r="Q83" i="312" s="1"/>
  <c r="Q305" i="312" s="1"/>
  <c r="R13" i="313"/>
  <c r="R15" i="308"/>
  <c r="R89" i="312" s="1"/>
  <c r="R90" i="312" s="1"/>
  <c r="R94" i="312" s="1"/>
  <c r="R100" i="312" s="1"/>
  <c r="R102" i="312" s="1"/>
  <c r="R306" i="312" s="1"/>
  <c r="R35" i="314" s="1"/>
  <c r="K153" i="315"/>
  <c r="K154" i="315"/>
  <c r="D228" i="327" s="1"/>
  <c r="N228" i="327" s="1"/>
  <c r="Y46" i="305"/>
  <c r="Q23" i="308"/>
  <c r="K155" i="315"/>
  <c r="D229" i="327" s="1"/>
  <c r="N229" i="327" s="1"/>
  <c r="R59" i="311"/>
  <c r="R63" i="311" s="1"/>
  <c r="Q70" i="314"/>
  <c r="Q69" i="314" s="1"/>
  <c r="K313" i="315"/>
  <c r="D263" i="327" s="1"/>
  <c r="N263" i="327" s="1"/>
  <c r="D227" i="327"/>
  <c r="N227" i="327" s="1"/>
  <c r="P70" i="314"/>
  <c r="X63" i="311"/>
  <c r="M144" i="315"/>
  <c r="F218" i="327" s="1"/>
  <c r="P218" i="327" s="1"/>
  <c r="P13" i="313"/>
  <c r="X13" i="313" s="1"/>
  <c r="X16" i="308"/>
  <c r="P15" i="308"/>
  <c r="P28" i="314"/>
  <c r="X13" i="314"/>
  <c r="Y86" i="305"/>
  <c r="Y56" i="305"/>
  <c r="Y66" i="305"/>
  <c r="Y76" i="305"/>
  <c r="Y106" i="305"/>
  <c r="P46" i="305"/>
  <c r="P30" i="308"/>
  <c r="P56" i="305"/>
  <c r="P25" i="308" s="1"/>
  <c r="L159" i="315"/>
  <c r="E233" i="327" s="1"/>
  <c r="O233" i="327" s="1"/>
  <c r="P76" i="305"/>
  <c r="P27" i="308" s="1"/>
  <c r="P66" i="305"/>
  <c r="P26" i="308" s="1"/>
  <c r="P8" i="305" l="1"/>
  <c r="P24" i="308"/>
  <c r="M152" i="315" s="1"/>
  <c r="R32" i="312"/>
  <c r="R12" i="312"/>
  <c r="Q108" i="312"/>
  <c r="Q109" i="312" s="1"/>
  <c r="Q113" i="312" s="1"/>
  <c r="Q119" i="312" s="1"/>
  <c r="Q121" i="312" s="1"/>
  <c r="Q307" i="312" s="1"/>
  <c r="Q36" i="314" s="1"/>
  <c r="R17" i="308"/>
  <c r="R38" i="308" s="1"/>
  <c r="R41" i="308" s="1"/>
  <c r="R127" i="312"/>
  <c r="R128" i="312" s="1"/>
  <c r="R132" i="312" s="1"/>
  <c r="R138" i="312" s="1"/>
  <c r="R140" i="312" s="1"/>
  <c r="R308" i="312" s="1"/>
  <c r="R37" i="314" s="1"/>
  <c r="R51" i="312"/>
  <c r="Q12" i="312"/>
  <c r="R70" i="312"/>
  <c r="R71" i="312" s="1"/>
  <c r="R75" i="312" s="1"/>
  <c r="R81" i="312" s="1"/>
  <c r="R83" i="312" s="1"/>
  <c r="R305" i="312" s="1"/>
  <c r="R34" i="314" s="1"/>
  <c r="R108" i="312"/>
  <c r="R109" i="312" s="1"/>
  <c r="R113" i="312" s="1"/>
  <c r="R119" i="312" s="1"/>
  <c r="R121" i="312" s="1"/>
  <c r="R307" i="312" s="1"/>
  <c r="R36" i="314" s="1"/>
  <c r="Q17" i="308"/>
  <c r="Q146" i="312"/>
  <c r="Q147" i="312" s="1"/>
  <c r="Q151" i="312" s="1"/>
  <c r="Q157" i="312" s="1"/>
  <c r="Q159" i="312" s="1"/>
  <c r="Q309" i="312" s="1"/>
  <c r="Q38" i="314" s="1"/>
  <c r="R146" i="312"/>
  <c r="R147" i="312" s="1"/>
  <c r="R151" i="312" s="1"/>
  <c r="R157" i="312" s="1"/>
  <c r="R159" i="312" s="1"/>
  <c r="R309" i="312" s="1"/>
  <c r="R38" i="314" s="1"/>
  <c r="Q51" i="312"/>
  <c r="Q32" i="312"/>
  <c r="Q89" i="312"/>
  <c r="Q90" i="312" s="1"/>
  <c r="Q94" i="312" s="1"/>
  <c r="Q100" i="312" s="1"/>
  <c r="Q102" i="312" s="1"/>
  <c r="Q306" i="312" s="1"/>
  <c r="Q35" i="314" s="1"/>
  <c r="Q127" i="312"/>
  <c r="Q128" i="312" s="1"/>
  <c r="Q132" i="312" s="1"/>
  <c r="Q138" i="312" s="1"/>
  <c r="Q140" i="312" s="1"/>
  <c r="Q308" i="312" s="1"/>
  <c r="Q37" i="314" s="1"/>
  <c r="R70" i="314"/>
  <c r="R69" i="314" s="1"/>
  <c r="Q34" i="314"/>
  <c r="L158" i="315"/>
  <c r="E232" i="327" s="1"/>
  <c r="O232" i="327" s="1"/>
  <c r="X31" i="308"/>
  <c r="L157" i="315"/>
  <c r="E231" i="327" s="1"/>
  <c r="O231" i="327" s="1"/>
  <c r="X30" i="308"/>
  <c r="L154" i="315"/>
  <c r="E228" i="327" s="1"/>
  <c r="O228" i="327" s="1"/>
  <c r="X26" i="308"/>
  <c r="L153" i="315"/>
  <c r="L313" i="315" s="1"/>
  <c r="E263" i="327" s="1"/>
  <c r="O263" i="327" s="1"/>
  <c r="X25" i="308"/>
  <c r="L155" i="315"/>
  <c r="E229" i="327" s="1"/>
  <c r="O229" i="327" s="1"/>
  <c r="M155" i="315"/>
  <c r="F229" i="327" s="1"/>
  <c r="P229" i="327" s="1"/>
  <c r="L156" i="315"/>
  <c r="E230" i="327" s="1"/>
  <c r="O230" i="327" s="1"/>
  <c r="X29" i="308"/>
  <c r="Q36" i="308"/>
  <c r="Q284" i="312"/>
  <c r="Q285" i="312" s="1"/>
  <c r="Q289" i="312" s="1"/>
  <c r="Q267" i="312"/>
  <c r="Q268" i="312" s="1"/>
  <c r="Q272" i="312" s="1"/>
  <c r="Q233" i="312"/>
  <c r="Q234" i="312" s="1"/>
  <c r="Q238" i="312" s="1"/>
  <c r="Q216" i="312"/>
  <c r="Q199" i="312"/>
  <c r="Q200" i="312" s="1"/>
  <c r="Q204" i="312" s="1"/>
  <c r="Q250" i="312"/>
  <c r="Q251" i="312" s="1"/>
  <c r="Q255" i="312" s="1"/>
  <c r="Q165" i="312"/>
  <c r="Q166" i="312" s="1"/>
  <c r="Q170" i="312" s="1"/>
  <c r="Q182" i="312"/>
  <c r="Q183" i="312" s="1"/>
  <c r="Q187" i="312" s="1"/>
  <c r="N144" i="315"/>
  <c r="G218" i="327" s="1"/>
  <c r="Q218" i="327" s="1"/>
  <c r="O144" i="315"/>
  <c r="M143" i="315"/>
  <c r="F217" i="327" s="1"/>
  <c r="P217" i="327" s="1"/>
  <c r="P70" i="312"/>
  <c r="P12" i="312"/>
  <c r="X12" i="312" s="1"/>
  <c r="P108" i="312"/>
  <c r="P127" i="312"/>
  <c r="X15" i="308"/>
  <c r="P146" i="312"/>
  <c r="P51" i="312"/>
  <c r="X51" i="312" s="1"/>
  <c r="P32" i="312"/>
  <c r="X32" i="312" s="1"/>
  <c r="P89" i="312"/>
  <c r="P17" i="308"/>
  <c r="P69" i="314"/>
  <c r="M250" i="315"/>
  <c r="P314" i="327" s="1"/>
  <c r="F314" i="327" s="1"/>
  <c r="X70" i="314"/>
  <c r="N23" i="308"/>
  <c r="K152" i="315"/>
  <c r="D226" i="327" s="1"/>
  <c r="N226" i="327" s="1"/>
  <c r="X34" i="308"/>
  <c r="M161" i="315"/>
  <c r="F235" i="327" s="1"/>
  <c r="P235" i="327" s="1"/>
  <c r="X32" i="308"/>
  <c r="M159" i="315"/>
  <c r="F233" i="327" s="1"/>
  <c r="P233" i="327" s="1"/>
  <c r="X28" i="314"/>
  <c r="M209" i="315"/>
  <c r="P285" i="327" s="1"/>
  <c r="F285" i="327" s="1"/>
  <c r="P23" i="308"/>
  <c r="X24" i="308"/>
  <c r="E227" i="327" l="1"/>
  <c r="O227" i="327" s="1"/>
  <c r="F226" i="327"/>
  <c r="P226" i="327" s="1"/>
  <c r="M312" i="315"/>
  <c r="F262" i="327" s="1"/>
  <c r="P262" i="327" s="1"/>
  <c r="P152" i="315"/>
  <c r="N152" i="315"/>
  <c r="G226" i="327" s="1"/>
  <c r="Q226" i="327" s="1"/>
  <c r="M154" i="315"/>
  <c r="F228" i="327" s="1"/>
  <c r="P228" i="327" s="1"/>
  <c r="X28" i="308"/>
  <c r="M158" i="315"/>
  <c r="F232" i="327" s="1"/>
  <c r="P232" i="327" s="1"/>
  <c r="M157" i="315"/>
  <c r="F231" i="327" s="1"/>
  <c r="P231" i="327" s="1"/>
  <c r="M156" i="315"/>
  <c r="F230" i="327" s="1"/>
  <c r="P230" i="327" s="1"/>
  <c r="R39" i="308"/>
  <c r="M153" i="315"/>
  <c r="F227" i="327" s="1"/>
  <c r="P227" i="327" s="1"/>
  <c r="Q38" i="308"/>
  <c r="Q39" i="308" s="1"/>
  <c r="R301" i="312"/>
  <c r="Q301" i="312"/>
  <c r="R42" i="308"/>
  <c r="R51" i="308"/>
  <c r="R8" i="313" s="1"/>
  <c r="P233" i="312"/>
  <c r="P234" i="312" s="1"/>
  <c r="X234" i="312" s="1"/>
  <c r="K151" i="315"/>
  <c r="D225" i="327" s="1"/>
  <c r="N225" i="327" s="1"/>
  <c r="X70" i="312"/>
  <c r="P71" i="312"/>
  <c r="M249" i="315"/>
  <c r="P313" i="327" s="1"/>
  <c r="F313" i="327" s="1"/>
  <c r="X69" i="314"/>
  <c r="X127" i="312"/>
  <c r="P128" i="312"/>
  <c r="N143" i="315"/>
  <c r="G217" i="327" s="1"/>
  <c r="Q217" i="327" s="1"/>
  <c r="O143" i="315"/>
  <c r="P266" i="315"/>
  <c r="M145" i="315"/>
  <c r="F219" i="327" s="1"/>
  <c r="P219" i="327" s="1"/>
  <c r="X17" i="308"/>
  <c r="X108" i="312"/>
  <c r="P109" i="312"/>
  <c r="X89" i="312"/>
  <c r="P90" i="312"/>
  <c r="X146" i="312"/>
  <c r="P147" i="312"/>
  <c r="N216" i="312"/>
  <c r="N165" i="312"/>
  <c r="N166" i="312" s="1"/>
  <c r="N267" i="312"/>
  <c r="N268" i="312" s="1"/>
  <c r="N233" i="312"/>
  <c r="N234" i="312" s="1"/>
  <c r="N182" i="312"/>
  <c r="N183" i="312" s="1"/>
  <c r="N199" i="312"/>
  <c r="N200" i="312" s="1"/>
  <c r="O23" i="308"/>
  <c r="L152" i="315"/>
  <c r="E226" i="327" s="1"/>
  <c r="O226" i="327" s="1"/>
  <c r="N250" i="312"/>
  <c r="N251" i="312" s="1"/>
  <c r="N284" i="312"/>
  <c r="N285" i="312" s="1"/>
  <c r="K312" i="315"/>
  <c r="D262" i="327" s="1"/>
  <c r="N262" i="327" s="1"/>
  <c r="X23" i="308"/>
  <c r="M151" i="315"/>
  <c r="F225" i="327" s="1"/>
  <c r="P225" i="327" s="1"/>
  <c r="N161" i="315"/>
  <c r="G235" i="327" s="1"/>
  <c r="Q235" i="327" s="1"/>
  <c r="O161" i="315"/>
  <c r="P161" i="315"/>
  <c r="N156" i="315"/>
  <c r="G230" i="327" s="1"/>
  <c r="Q230" i="327" s="1"/>
  <c r="O156" i="315"/>
  <c r="P156" i="315"/>
  <c r="N155" i="315"/>
  <c r="G229" i="327" s="1"/>
  <c r="Q229" i="327" s="1"/>
  <c r="O155" i="315"/>
  <c r="P155" i="315"/>
  <c r="N157" i="315"/>
  <c r="G231" i="327" s="1"/>
  <c r="Q231" i="327" s="1"/>
  <c r="N159" i="315"/>
  <c r="G233" i="327" s="1"/>
  <c r="Q233" i="327" s="1"/>
  <c r="O159" i="315"/>
  <c r="P159" i="315"/>
  <c r="P216" i="312"/>
  <c r="X216" i="312" s="1"/>
  <c r="P250" i="312"/>
  <c r="X250" i="312" s="1"/>
  <c r="P284" i="312"/>
  <c r="X284" i="312" s="1"/>
  <c r="P165" i="312"/>
  <c r="X165" i="312" s="1"/>
  <c r="P267" i="312"/>
  <c r="P268" i="312" s="1"/>
  <c r="X268" i="312" s="1"/>
  <c r="P199" i="312"/>
  <c r="P200" i="312" s="1"/>
  <c r="X200" i="312" s="1"/>
  <c r="P182" i="312"/>
  <c r="P183" i="312" s="1"/>
  <c r="X183" i="312" s="1"/>
  <c r="P158" i="315" l="1"/>
  <c r="N158" i="315"/>
  <c r="G232" i="327" s="1"/>
  <c r="Q232" i="327" s="1"/>
  <c r="O158" i="315"/>
  <c r="P154" i="315"/>
  <c r="O154" i="315"/>
  <c r="N154" i="315"/>
  <c r="G228" i="327" s="1"/>
  <c r="Q228" i="327" s="1"/>
  <c r="P157" i="315"/>
  <c r="O157" i="315"/>
  <c r="X233" i="312"/>
  <c r="P153" i="315"/>
  <c r="M313" i="315"/>
  <c r="F263" i="327" s="1"/>
  <c r="P263" i="327" s="1"/>
  <c r="O153" i="315"/>
  <c r="P251" i="312"/>
  <c r="X251" i="312" s="1"/>
  <c r="N153" i="315"/>
  <c r="G227" i="327" s="1"/>
  <c r="Q227" i="327" s="1"/>
  <c r="Q41" i="308"/>
  <c r="Q51" i="308" s="1"/>
  <c r="Q8" i="313" s="1"/>
  <c r="R53" i="308"/>
  <c r="R16" i="313" s="1"/>
  <c r="R17" i="313" s="1"/>
  <c r="R52" i="308"/>
  <c r="L151" i="315"/>
  <c r="E225" i="327" s="1"/>
  <c r="O225" i="327" s="1"/>
  <c r="X90" i="312"/>
  <c r="P94" i="312"/>
  <c r="N145" i="315"/>
  <c r="G219" i="327" s="1"/>
  <c r="Q219" i="327" s="1"/>
  <c r="O145" i="315"/>
  <c r="X128" i="312"/>
  <c r="P132" i="312"/>
  <c r="P75" i="312"/>
  <c r="X71" i="312"/>
  <c r="P151" i="312"/>
  <c r="X147" i="312"/>
  <c r="P113" i="312"/>
  <c r="X109" i="312"/>
  <c r="S4" i="327"/>
  <c r="I4" i="327"/>
  <c r="Q266" i="315"/>
  <c r="O182" i="312"/>
  <c r="O183" i="312" s="1"/>
  <c r="O199" i="312"/>
  <c r="O200" i="312" s="1"/>
  <c r="O233" i="312"/>
  <c r="O234" i="312" s="1"/>
  <c r="O216" i="312"/>
  <c r="O284" i="312"/>
  <c r="O285" i="312" s="1"/>
  <c r="O250" i="312"/>
  <c r="O251" i="312" s="1"/>
  <c r="O165" i="312"/>
  <c r="O166" i="312" s="1"/>
  <c r="O267" i="312"/>
  <c r="O268" i="312" s="1"/>
  <c r="L312" i="315"/>
  <c r="E262" i="327" s="1"/>
  <c r="O262" i="327" s="1"/>
  <c r="O152" i="315"/>
  <c r="N151" i="315"/>
  <c r="G225" i="327" s="1"/>
  <c r="Q225" i="327" s="1"/>
  <c r="P151" i="315"/>
  <c r="P166" i="312"/>
  <c r="X166" i="312" s="1"/>
  <c r="P285" i="312"/>
  <c r="X285" i="312" s="1"/>
  <c r="X267" i="312"/>
  <c r="X182" i="312"/>
  <c r="X199" i="312"/>
  <c r="L19" i="308"/>
  <c r="Q42" i="308" l="1"/>
  <c r="R54" i="308"/>
  <c r="O151" i="315"/>
  <c r="Q53" i="308"/>
  <c r="Q16" i="313" s="1"/>
  <c r="Q17" i="313" s="1"/>
  <c r="Q52" i="308"/>
  <c r="T4" i="327"/>
  <c r="J4" i="327"/>
  <c r="P119" i="312"/>
  <c r="X113" i="312"/>
  <c r="P81" i="312"/>
  <c r="X75" i="312"/>
  <c r="X132" i="312"/>
  <c r="P138" i="312"/>
  <c r="X94" i="312"/>
  <c r="P100" i="312"/>
  <c r="P157" i="312"/>
  <c r="X151" i="312"/>
  <c r="V19" i="308"/>
  <c r="L36" i="308"/>
  <c r="C73" i="327" s="1"/>
  <c r="L266" i="312"/>
  <c r="V266" i="312" s="1"/>
  <c r="L164" i="312"/>
  <c r="V164" i="312" s="1"/>
  <c r="L283" i="312"/>
  <c r="V283" i="312" s="1"/>
  <c r="L232" i="312"/>
  <c r="V232" i="312" s="1"/>
  <c r="L198" i="312"/>
  <c r="V198" i="312" s="1"/>
  <c r="L249" i="312"/>
  <c r="V249" i="312" s="1"/>
  <c r="L215" i="312"/>
  <c r="L181" i="312"/>
  <c r="V181" i="312" s="1"/>
  <c r="R55" i="308" l="1"/>
  <c r="R50" i="314"/>
  <c r="Q54" i="308"/>
  <c r="Q50" i="314" s="1"/>
  <c r="C71" i="327"/>
  <c r="P140" i="312"/>
  <c r="X138" i="312"/>
  <c r="P159" i="312"/>
  <c r="X157" i="312"/>
  <c r="P121" i="312"/>
  <c r="X119" i="312"/>
  <c r="D25" i="327"/>
  <c r="F25" i="327"/>
  <c r="P25" i="327" s="1"/>
  <c r="P102" i="312"/>
  <c r="X100" i="312"/>
  <c r="P83" i="312"/>
  <c r="X81" i="312"/>
  <c r="L38" i="308"/>
  <c r="V36" i="308"/>
  <c r="L217" i="312"/>
  <c r="V217" i="312" s="1"/>
  <c r="V215" i="312"/>
  <c r="K289" i="312"/>
  <c r="K272" i="312"/>
  <c r="K278" i="312" s="1"/>
  <c r="K238" i="312"/>
  <c r="K244" i="312" s="1"/>
  <c r="K221" i="312"/>
  <c r="K204" i="312"/>
  <c r="K210" i="312" s="1"/>
  <c r="K187" i="312"/>
  <c r="K193" i="312" s="1"/>
  <c r="K255" i="312"/>
  <c r="K261" i="312" s="1"/>
  <c r="K170" i="312"/>
  <c r="K176" i="312" s="1"/>
  <c r="D27" i="327" l="1"/>
  <c r="N27" i="327" s="1"/>
  <c r="Q55" i="308"/>
  <c r="M71" i="327"/>
  <c r="C72" i="327"/>
  <c r="M72" i="327" s="1"/>
  <c r="X83" i="312"/>
  <c r="P305" i="312"/>
  <c r="G18" i="327"/>
  <c r="Q18" i="327" s="1"/>
  <c r="N25" i="327"/>
  <c r="P309" i="312"/>
  <c r="X159" i="312"/>
  <c r="X102" i="312"/>
  <c r="P306" i="312"/>
  <c r="X121" i="312"/>
  <c r="P307" i="312"/>
  <c r="P308" i="312"/>
  <c r="X140" i="312"/>
  <c r="D28" i="327"/>
  <c r="N28" i="327" s="1"/>
  <c r="V38" i="308"/>
  <c r="L268" i="315"/>
  <c r="K222" i="312"/>
  <c r="K227" i="312"/>
  <c r="K229" i="312" s="1"/>
  <c r="K314" i="312" s="1"/>
  <c r="K382" i="315" s="1"/>
  <c r="K290" i="312"/>
  <c r="K295" i="312"/>
  <c r="K297" i="312" s="1"/>
  <c r="K318" i="312" s="1"/>
  <c r="K386" i="315" s="1"/>
  <c r="K273" i="312"/>
  <c r="K280" i="312"/>
  <c r="K317" i="312" s="1"/>
  <c r="K385" i="315" s="1"/>
  <c r="K256" i="312"/>
  <c r="K263" i="312"/>
  <c r="K316" i="312" s="1"/>
  <c r="K384" i="315" s="1"/>
  <c r="K246" i="312"/>
  <c r="K315" i="312" s="1"/>
  <c r="K383" i="315" s="1"/>
  <c r="K239" i="312"/>
  <c r="K205" i="312"/>
  <c r="K212" i="312"/>
  <c r="K313" i="312" s="1"/>
  <c r="K381" i="315" s="1"/>
  <c r="K195" i="312"/>
  <c r="K312" i="312" s="1"/>
  <c r="K380" i="315" s="1"/>
  <c r="K188" i="312"/>
  <c r="K171" i="312"/>
  <c r="K178" i="312"/>
  <c r="L41" i="308"/>
  <c r="V41" i="308" s="1"/>
  <c r="L39" i="308"/>
  <c r="G27" i="327" l="1"/>
  <c r="O6" i="327"/>
  <c r="E6" i="327"/>
  <c r="P35" i="314"/>
  <c r="X306" i="312"/>
  <c r="P374" i="315"/>
  <c r="P376" i="315"/>
  <c r="P37" i="314"/>
  <c r="X308" i="312"/>
  <c r="P373" i="315"/>
  <c r="P34" i="314"/>
  <c r="N509" i="315" s="1"/>
  <c r="X305" i="312"/>
  <c r="P301" i="312"/>
  <c r="X301" i="312" s="1"/>
  <c r="P375" i="315"/>
  <c r="X307" i="312"/>
  <c r="P36" i="314"/>
  <c r="P377" i="315"/>
  <c r="X309" i="312"/>
  <c r="P38" i="314"/>
  <c r="V37" i="308"/>
  <c r="L291" i="315"/>
  <c r="E12" i="327" s="1"/>
  <c r="O12" i="327" s="1"/>
  <c r="V39" i="308"/>
  <c r="L269" i="315"/>
  <c r="K311" i="312"/>
  <c r="J272" i="312"/>
  <c r="K275" i="312" s="1"/>
  <c r="J289" i="312"/>
  <c r="J291" i="312" s="1"/>
  <c r="J255" i="312"/>
  <c r="J238" i="312"/>
  <c r="J241" i="312" s="1"/>
  <c r="J221" i="312"/>
  <c r="K224" i="312" s="1"/>
  <c r="J204" i="312"/>
  <c r="J187" i="312"/>
  <c r="K191" i="312" s="1"/>
  <c r="J170" i="312"/>
  <c r="J171" i="312" s="1"/>
  <c r="L221" i="312"/>
  <c r="L204" i="312"/>
  <c r="L255" i="312"/>
  <c r="L187" i="312"/>
  <c r="L289" i="312"/>
  <c r="L238" i="312"/>
  <c r="L272" i="312"/>
  <c r="L170" i="312"/>
  <c r="L51" i="308"/>
  <c r="V51" i="308" s="1"/>
  <c r="L42" i="308"/>
  <c r="V42" i="308" s="1"/>
  <c r="K276" i="312" l="1"/>
  <c r="K274" i="312"/>
  <c r="L277" i="312" s="1"/>
  <c r="V277" i="312" s="1"/>
  <c r="J223" i="312"/>
  <c r="J274" i="312"/>
  <c r="J276" i="312"/>
  <c r="E7" i="327"/>
  <c r="O7" i="327"/>
  <c r="X36" i="314"/>
  <c r="M217" i="315"/>
  <c r="X37" i="314"/>
  <c r="M218" i="315"/>
  <c r="P291" i="327" s="1"/>
  <c r="F291" i="327" s="1"/>
  <c r="X35" i="314"/>
  <c r="M216" i="315"/>
  <c r="P290" i="327" s="1"/>
  <c r="F290" i="327" s="1"/>
  <c r="X38" i="314"/>
  <c r="M219" i="315"/>
  <c r="X34" i="314"/>
  <c r="M215" i="315"/>
  <c r="P289" i="327" s="1"/>
  <c r="F289" i="327" s="1"/>
  <c r="K310" i="312"/>
  <c r="K319" i="312" s="1"/>
  <c r="K379" i="315"/>
  <c r="K291" i="312"/>
  <c r="V170" i="312"/>
  <c r="W170" i="312"/>
  <c r="V187" i="312"/>
  <c r="W187" i="312"/>
  <c r="V272" i="312"/>
  <c r="W272" i="312"/>
  <c r="V255" i="312"/>
  <c r="W255" i="312"/>
  <c r="V238" i="312"/>
  <c r="W238" i="312"/>
  <c r="V204" i="312"/>
  <c r="W204" i="312"/>
  <c r="V289" i="312"/>
  <c r="W289" i="312"/>
  <c r="V221" i="312"/>
  <c r="J275" i="312"/>
  <c r="K189" i="312"/>
  <c r="J189" i="312"/>
  <c r="K240" i="312"/>
  <c r="K241" i="312"/>
  <c r="K293" i="312"/>
  <c r="J239" i="312"/>
  <c r="J242" i="312"/>
  <c r="K292" i="312"/>
  <c r="J240" i="312"/>
  <c r="K242" i="312"/>
  <c r="J208" i="312"/>
  <c r="J210" i="312"/>
  <c r="J212" i="312" s="1"/>
  <c r="J313" i="312" s="1"/>
  <c r="J381" i="315" s="1"/>
  <c r="J290" i="312"/>
  <c r="J295" i="312"/>
  <c r="J297" i="312" s="1"/>
  <c r="J318" i="312" s="1"/>
  <c r="J386" i="315" s="1"/>
  <c r="J225" i="312"/>
  <c r="J227" i="312"/>
  <c r="J229" i="312" s="1"/>
  <c r="J314" i="312" s="1"/>
  <c r="J382" i="315" s="1"/>
  <c r="J293" i="312"/>
  <c r="J292" i="312"/>
  <c r="J273" i="312"/>
  <c r="J278" i="312"/>
  <c r="J280" i="312" s="1"/>
  <c r="J317" i="312" s="1"/>
  <c r="J385" i="315" s="1"/>
  <c r="K257" i="312"/>
  <c r="J261" i="312"/>
  <c r="J263" i="312" s="1"/>
  <c r="J316" i="312" s="1"/>
  <c r="J384" i="315" s="1"/>
  <c r="J259" i="312"/>
  <c r="K258" i="312"/>
  <c r="J256" i="312"/>
  <c r="J258" i="312"/>
  <c r="J257" i="312"/>
  <c r="K259" i="312"/>
  <c r="J244" i="312"/>
  <c r="J246" i="312" s="1"/>
  <c r="J315" i="312" s="1"/>
  <c r="J383" i="315" s="1"/>
  <c r="K207" i="312"/>
  <c r="J205" i="312"/>
  <c r="K225" i="312"/>
  <c r="J224" i="312"/>
  <c r="K223" i="312"/>
  <c r="L226" i="312" s="1"/>
  <c r="V226" i="312" s="1"/>
  <c r="J222" i="312"/>
  <c r="K208" i="312"/>
  <c r="J207" i="312"/>
  <c r="K206" i="312"/>
  <c r="J206" i="312"/>
  <c r="J191" i="312"/>
  <c r="J193" i="312"/>
  <c r="J195" i="312" s="1"/>
  <c r="J312" i="312" s="1"/>
  <c r="J380" i="315" s="1"/>
  <c r="K190" i="312"/>
  <c r="J190" i="312"/>
  <c r="J188" i="312"/>
  <c r="J173" i="312"/>
  <c r="J176" i="312"/>
  <c r="J178" i="312" s="1"/>
  <c r="K172" i="312"/>
  <c r="K174" i="312"/>
  <c r="J174" i="312"/>
  <c r="J172" i="312"/>
  <c r="K173" i="312"/>
  <c r="L273" i="312"/>
  <c r="L275" i="312"/>
  <c r="L274" i="312"/>
  <c r="V274" i="312" s="1"/>
  <c r="L276" i="312"/>
  <c r="L290" i="312"/>
  <c r="L292" i="312"/>
  <c r="L293" i="312"/>
  <c r="L291" i="312"/>
  <c r="V291" i="312" s="1"/>
  <c r="L256" i="312"/>
  <c r="L258" i="312"/>
  <c r="L259" i="312"/>
  <c r="V259" i="312" s="1"/>
  <c r="L257" i="312"/>
  <c r="L171" i="312"/>
  <c r="L172" i="312"/>
  <c r="L173" i="312"/>
  <c r="L174" i="312"/>
  <c r="L239" i="312"/>
  <c r="L240" i="312"/>
  <c r="L242" i="312"/>
  <c r="V242" i="312" s="1"/>
  <c r="L241" i="312"/>
  <c r="V241" i="312" s="1"/>
  <c r="L188" i="312"/>
  <c r="L190" i="312"/>
  <c r="L189" i="312"/>
  <c r="L191" i="312"/>
  <c r="L205" i="312"/>
  <c r="L206" i="312"/>
  <c r="L208" i="312"/>
  <c r="L207" i="312"/>
  <c r="L222" i="312"/>
  <c r="L224" i="312"/>
  <c r="L225" i="312"/>
  <c r="L223" i="312"/>
  <c r="V223" i="312" s="1"/>
  <c r="L54" i="308"/>
  <c r="V54" i="308" s="1"/>
  <c r="L52" i="308"/>
  <c r="V52" i="308" s="1"/>
  <c r="M19" i="308"/>
  <c r="M36" i="308" s="1"/>
  <c r="M38" i="308" s="1"/>
  <c r="V173" i="312" l="1"/>
  <c r="V208" i="312"/>
  <c r="M277" i="312"/>
  <c r="M260" i="312"/>
  <c r="M294" i="312"/>
  <c r="M192" i="312"/>
  <c r="M175" i="312"/>
  <c r="V293" i="312"/>
  <c r="M226" i="312"/>
  <c r="M209" i="312"/>
  <c r="M243" i="312"/>
  <c r="V189" i="312"/>
  <c r="V206" i="312"/>
  <c r="V258" i="312"/>
  <c r="L175" i="312"/>
  <c r="V175" i="312" s="1"/>
  <c r="L278" i="312"/>
  <c r="V278" i="312" s="1"/>
  <c r="L243" i="312"/>
  <c r="L192" i="312"/>
  <c r="L294" i="312"/>
  <c r="L260" i="312"/>
  <c r="L227" i="312"/>
  <c r="L229" i="312" s="1"/>
  <c r="L209" i="312"/>
  <c r="V276" i="312"/>
  <c r="M41" i="308"/>
  <c r="M39" i="308"/>
  <c r="V174" i="312"/>
  <c r="V225" i="312"/>
  <c r="K387" i="315"/>
  <c r="W19" i="308"/>
  <c r="J147" i="315"/>
  <c r="C221" i="327" s="1"/>
  <c r="M221" i="327" s="1"/>
  <c r="V207" i="312"/>
  <c r="V191" i="312"/>
  <c r="V257" i="312"/>
  <c r="V190" i="312"/>
  <c r="V240" i="312"/>
  <c r="V172" i="312"/>
  <c r="V222" i="312"/>
  <c r="V224" i="312"/>
  <c r="V292" i="312"/>
  <c r="V275" i="312"/>
  <c r="X240" i="312"/>
  <c r="W240" i="312"/>
  <c r="X259" i="312"/>
  <c r="W259" i="312"/>
  <c r="X293" i="312"/>
  <c r="W293" i="312"/>
  <c r="W174" i="312"/>
  <c r="X174" i="312"/>
  <c r="X191" i="312"/>
  <c r="W191" i="312"/>
  <c r="X241" i="312"/>
  <c r="W241" i="312"/>
  <c r="W274" i="312"/>
  <c r="X274" i="312"/>
  <c r="X291" i="312"/>
  <c r="W291" i="312"/>
  <c r="X208" i="312"/>
  <c r="W208" i="312"/>
  <c r="W173" i="312"/>
  <c r="X173" i="312"/>
  <c r="W190" i="312"/>
  <c r="X190" i="312"/>
  <c r="W242" i="312"/>
  <c r="X242" i="312"/>
  <c r="X257" i="312"/>
  <c r="W257" i="312"/>
  <c r="X275" i="312"/>
  <c r="W275" i="312"/>
  <c r="X292" i="312"/>
  <c r="W292" i="312"/>
  <c r="X207" i="312"/>
  <c r="W207" i="312"/>
  <c r="V205" i="312"/>
  <c r="W205" i="312"/>
  <c r="V188" i="312"/>
  <c r="W188" i="312"/>
  <c r="V239" i="312"/>
  <c r="W239" i="312"/>
  <c r="V171" i="312"/>
  <c r="W171" i="312"/>
  <c r="V256" i="312"/>
  <c r="W256" i="312"/>
  <c r="V290" i="312"/>
  <c r="W290" i="312"/>
  <c r="V273" i="312"/>
  <c r="W273" i="312"/>
  <c r="X172" i="312"/>
  <c r="W172" i="312"/>
  <c r="X189" i="312"/>
  <c r="W189" i="312"/>
  <c r="W258" i="312"/>
  <c r="X258" i="312"/>
  <c r="X276" i="312"/>
  <c r="W276" i="312"/>
  <c r="W206" i="312"/>
  <c r="X206" i="312"/>
  <c r="J163" i="315"/>
  <c r="M283" i="312"/>
  <c r="W283" i="312" s="1"/>
  <c r="M232" i="312"/>
  <c r="W232" i="312" s="1"/>
  <c r="M198" i="312"/>
  <c r="W198" i="312" s="1"/>
  <c r="M249" i="312"/>
  <c r="W249" i="312" s="1"/>
  <c r="M215" i="312"/>
  <c r="M181" i="312"/>
  <c r="W181" i="312" s="1"/>
  <c r="M266" i="312"/>
  <c r="W266" i="312" s="1"/>
  <c r="M164" i="312"/>
  <c r="W164" i="312" s="1"/>
  <c r="J311" i="312"/>
  <c r="N19" i="308"/>
  <c r="L55" i="308"/>
  <c r="V55" i="308" s="1"/>
  <c r="P19" i="308"/>
  <c r="P36" i="308" s="1"/>
  <c r="P38" i="308" s="1"/>
  <c r="N502" i="315" s="1"/>
  <c r="L280" i="312" l="1"/>
  <c r="L176" i="312"/>
  <c r="L178" i="312" s="1"/>
  <c r="V227" i="312"/>
  <c r="V209" i="312"/>
  <c r="L210" i="312"/>
  <c r="V260" i="312"/>
  <c r="L261" i="312"/>
  <c r="V294" i="312"/>
  <c r="L295" i="312"/>
  <c r="V192" i="312"/>
  <c r="L193" i="312"/>
  <c r="V243" i="312"/>
  <c r="L244" i="312"/>
  <c r="P41" i="308"/>
  <c r="P39" i="308"/>
  <c r="N503" i="315" s="1"/>
  <c r="K147" i="315"/>
  <c r="D221" i="327" s="1"/>
  <c r="N221" i="327" s="1"/>
  <c r="N36" i="308"/>
  <c r="N38" i="308" s="1"/>
  <c r="X37" i="308" s="1"/>
  <c r="W37" i="308"/>
  <c r="M51" i="308"/>
  <c r="M42" i="308"/>
  <c r="C237" i="327"/>
  <c r="M237" i="327" s="1"/>
  <c r="M266" i="327"/>
  <c r="J314" i="315"/>
  <c r="C264" i="327" s="1"/>
  <c r="M264" i="327" s="1"/>
  <c r="X19" i="308"/>
  <c r="M147" i="315"/>
  <c r="F221" i="327" s="1"/>
  <c r="P221" i="327" s="1"/>
  <c r="J310" i="312"/>
  <c r="J319" i="312" s="1"/>
  <c r="K320" i="312" s="1"/>
  <c r="J379" i="315"/>
  <c r="J311" i="315"/>
  <c r="C261" i="327" s="1"/>
  <c r="M261" i="327" s="1"/>
  <c r="W36" i="308"/>
  <c r="L317" i="312"/>
  <c r="V280" i="312"/>
  <c r="W226" i="312"/>
  <c r="M217" i="312"/>
  <c r="M221" i="312" s="1"/>
  <c r="W215" i="312"/>
  <c r="N260" i="312"/>
  <c r="O260" i="312" s="1"/>
  <c r="P260" i="312" s="1"/>
  <c r="W260" i="312"/>
  <c r="L314" i="312"/>
  <c r="V229" i="312"/>
  <c r="N209" i="312"/>
  <c r="O209" i="312" s="1"/>
  <c r="P209" i="312" s="1"/>
  <c r="W209" i="312"/>
  <c r="N294" i="312"/>
  <c r="O294" i="312" s="1"/>
  <c r="P294" i="312" s="1"/>
  <c r="W294" i="312"/>
  <c r="N277" i="312"/>
  <c r="O277" i="312" s="1"/>
  <c r="P277" i="312" s="1"/>
  <c r="W277" i="312"/>
  <c r="L311" i="312"/>
  <c r="V178" i="312"/>
  <c r="N175" i="312"/>
  <c r="O175" i="312" s="1"/>
  <c r="P175" i="312" s="1"/>
  <c r="W175" i="312"/>
  <c r="N192" i="312"/>
  <c r="O192" i="312" s="1"/>
  <c r="P192" i="312" s="1"/>
  <c r="W192" i="312"/>
  <c r="N243" i="312"/>
  <c r="O243" i="312" s="1"/>
  <c r="P243" i="312" s="1"/>
  <c r="W243" i="312"/>
  <c r="N249" i="312"/>
  <c r="N215" i="312"/>
  <c r="N217" i="312" s="1"/>
  <c r="N181" i="312"/>
  <c r="N266" i="312"/>
  <c r="N164" i="312"/>
  <c r="N283" i="312"/>
  <c r="N232" i="312"/>
  <c r="N198" i="312"/>
  <c r="M163" i="315"/>
  <c r="P266" i="312"/>
  <c r="X266" i="312" s="1"/>
  <c r="P164" i="312"/>
  <c r="X164" i="312" s="1"/>
  <c r="P283" i="312"/>
  <c r="X283" i="312" s="1"/>
  <c r="P232" i="312"/>
  <c r="X232" i="312" s="1"/>
  <c r="P198" i="312"/>
  <c r="X198" i="312" s="1"/>
  <c r="P249" i="312"/>
  <c r="X249" i="312" s="1"/>
  <c r="P215" i="312"/>
  <c r="P181" i="312"/>
  <c r="X181" i="312" s="1"/>
  <c r="M295" i="312"/>
  <c r="M210" i="312"/>
  <c r="W210" i="312" s="1"/>
  <c r="M278" i="312"/>
  <c r="M261" i="312"/>
  <c r="M244" i="312"/>
  <c r="M193" i="312"/>
  <c r="W193" i="312" s="1"/>
  <c r="M176" i="312"/>
  <c r="W176" i="312" s="1"/>
  <c r="O19" i="308"/>
  <c r="M53" i="308" l="1"/>
  <c r="M16" i="313" s="1"/>
  <c r="M17" i="313" s="1"/>
  <c r="M8" i="313"/>
  <c r="W244" i="312"/>
  <c r="V176" i="312"/>
  <c r="W261" i="312"/>
  <c r="K311" i="315"/>
  <c r="D261" i="327" s="1"/>
  <c r="N261" i="327" s="1"/>
  <c r="W295" i="312"/>
  <c r="V193" i="312"/>
  <c r="L195" i="312"/>
  <c r="L297" i="312"/>
  <c r="V295" i="312"/>
  <c r="L263" i="312"/>
  <c r="V261" i="312"/>
  <c r="L246" i="312"/>
  <c r="V244" i="312"/>
  <c r="L212" i="312"/>
  <c r="V210" i="312"/>
  <c r="W278" i="312"/>
  <c r="M280" i="312"/>
  <c r="N280" i="312" s="1"/>
  <c r="N41" i="308"/>
  <c r="K169" i="315" s="1"/>
  <c r="N39" i="308"/>
  <c r="L147" i="315"/>
  <c r="E221" i="327" s="1"/>
  <c r="O221" i="327" s="1"/>
  <c r="O36" i="308"/>
  <c r="O38" i="308" s="1"/>
  <c r="P51" i="308"/>
  <c r="P8" i="313" s="1"/>
  <c r="P42" i="308"/>
  <c r="M52" i="308"/>
  <c r="X243" i="312"/>
  <c r="Q243" i="312"/>
  <c r="X260" i="312"/>
  <c r="Q260" i="312"/>
  <c r="X175" i="312"/>
  <c r="Q175" i="312"/>
  <c r="X294" i="312"/>
  <c r="Q294" i="312"/>
  <c r="X192" i="312"/>
  <c r="Q192" i="312"/>
  <c r="X277" i="312"/>
  <c r="Q277" i="312"/>
  <c r="X209" i="312"/>
  <c r="Q209" i="312"/>
  <c r="F237" i="327"/>
  <c r="P237" i="327" s="1"/>
  <c r="P266" i="327"/>
  <c r="M314" i="315"/>
  <c r="F264" i="327" s="1"/>
  <c r="P264" i="327" s="1"/>
  <c r="M265" i="327"/>
  <c r="M267" i="327" s="1"/>
  <c r="J387" i="315"/>
  <c r="N147" i="315"/>
  <c r="G221" i="327" s="1"/>
  <c r="Q221" i="327" s="1"/>
  <c r="M311" i="315"/>
  <c r="F261" i="327" s="1"/>
  <c r="P261" i="327" s="1"/>
  <c r="P147" i="315"/>
  <c r="V311" i="312"/>
  <c r="L379" i="315"/>
  <c r="V314" i="312"/>
  <c r="L382" i="315"/>
  <c r="V317" i="312"/>
  <c r="L385" i="315"/>
  <c r="K163" i="315"/>
  <c r="W38" i="308"/>
  <c r="M268" i="315"/>
  <c r="J165" i="315"/>
  <c r="C239" i="327" s="1"/>
  <c r="M239" i="327" s="1"/>
  <c r="N163" i="315"/>
  <c r="G237" i="327" s="1"/>
  <c r="Q237" i="327" s="1"/>
  <c r="X36" i="308"/>
  <c r="P217" i="312"/>
  <c r="X217" i="312" s="1"/>
  <c r="X215" i="312"/>
  <c r="W217" i="312"/>
  <c r="O215" i="312"/>
  <c r="O217" i="312" s="1"/>
  <c r="O181" i="312"/>
  <c r="O266" i="312"/>
  <c r="O164" i="312"/>
  <c r="O283" i="312"/>
  <c r="O232" i="312"/>
  <c r="O198" i="312"/>
  <c r="O249" i="312"/>
  <c r="N289" i="312"/>
  <c r="N272" i="312"/>
  <c r="N278" i="312" s="1"/>
  <c r="N255" i="312"/>
  <c r="N238" i="312"/>
  <c r="N221" i="312"/>
  <c r="N204" i="312"/>
  <c r="N187" i="312"/>
  <c r="N170" i="312"/>
  <c r="N176" i="312" s="1"/>
  <c r="O289" i="312"/>
  <c r="O272" i="312"/>
  <c r="O255" i="312"/>
  <c r="J169" i="315"/>
  <c r="M54" i="308" l="1"/>
  <c r="M504" i="315" s="1"/>
  <c r="W280" i="312"/>
  <c r="M317" i="312"/>
  <c r="O147" i="315"/>
  <c r="V246" i="312"/>
  <c r="L315" i="312"/>
  <c r="V263" i="312"/>
  <c r="L316" i="312"/>
  <c r="L318" i="312"/>
  <c r="V297" i="312"/>
  <c r="L312" i="312"/>
  <c r="V195" i="312"/>
  <c r="L313" i="312"/>
  <c r="V212" i="312"/>
  <c r="P53" i="308"/>
  <c r="P54" i="308" s="1"/>
  <c r="P52" i="308"/>
  <c r="N51" i="308"/>
  <c r="N42" i="308"/>
  <c r="K170" i="315" s="1"/>
  <c r="L311" i="315"/>
  <c r="E261" i="327" s="1"/>
  <c r="O261" i="327" s="1"/>
  <c r="O41" i="308"/>
  <c r="O39" i="308"/>
  <c r="R277" i="312"/>
  <c r="R278" i="312" s="1"/>
  <c r="Q278" i="312"/>
  <c r="R294" i="312"/>
  <c r="R295" i="312" s="1"/>
  <c r="R297" i="312" s="1"/>
  <c r="Q295" i="312"/>
  <c r="Q297" i="312" s="1"/>
  <c r="R260" i="312"/>
  <c r="R261" i="312" s="1"/>
  <c r="R263" i="312" s="1"/>
  <c r="R316" i="312" s="1"/>
  <c r="R65" i="314" s="1"/>
  <c r="Q261" i="312"/>
  <c r="Q263" i="312" s="1"/>
  <c r="Q316" i="312" s="1"/>
  <c r="Q65" i="314" s="1"/>
  <c r="R209" i="312"/>
  <c r="R210" i="312" s="1"/>
  <c r="R212" i="312" s="1"/>
  <c r="R313" i="312" s="1"/>
  <c r="R62" i="314" s="1"/>
  <c r="Q210" i="312"/>
  <c r="Q212" i="312" s="1"/>
  <c r="Q313" i="312" s="1"/>
  <c r="Q62" i="314" s="1"/>
  <c r="R192" i="312"/>
  <c r="R193" i="312" s="1"/>
  <c r="R195" i="312" s="1"/>
  <c r="R312" i="312" s="1"/>
  <c r="R61" i="314" s="1"/>
  <c r="Q193" i="312"/>
  <c r="Q195" i="312" s="1"/>
  <c r="Q312" i="312" s="1"/>
  <c r="Q61" i="314" s="1"/>
  <c r="R175" i="312"/>
  <c r="R176" i="312" s="1"/>
  <c r="R178" i="312" s="1"/>
  <c r="R311" i="312" s="1"/>
  <c r="R60" i="314" s="1"/>
  <c r="Q176" i="312"/>
  <c r="Q178" i="312" s="1"/>
  <c r="Q311" i="312" s="1"/>
  <c r="Q60" i="314" s="1"/>
  <c r="R243" i="312"/>
  <c r="R244" i="312" s="1"/>
  <c r="R246" i="312" s="1"/>
  <c r="R315" i="312" s="1"/>
  <c r="R64" i="314" s="1"/>
  <c r="Q244" i="312"/>
  <c r="Q246" i="312" s="1"/>
  <c r="Q315" i="312" s="1"/>
  <c r="Q64" i="314" s="1"/>
  <c r="P265" i="327"/>
  <c r="P267" i="327" s="1"/>
  <c r="D237" i="327"/>
  <c r="N237" i="327" s="1"/>
  <c r="N266" i="327"/>
  <c r="K314" i="315"/>
  <c r="D264" i="327" s="1"/>
  <c r="N264" i="327" s="1"/>
  <c r="N265" i="327" s="1"/>
  <c r="K318" i="315"/>
  <c r="D271" i="327" s="1"/>
  <c r="N271" i="327" s="1"/>
  <c r="D243" i="327"/>
  <c r="N243" i="327" s="1"/>
  <c r="J318" i="315"/>
  <c r="C271" i="327" s="1"/>
  <c r="M271" i="327" s="1"/>
  <c r="C243" i="327"/>
  <c r="M243" i="327" s="1"/>
  <c r="F6" i="327"/>
  <c r="P6" i="327"/>
  <c r="M291" i="315"/>
  <c r="F12" i="327" s="1"/>
  <c r="L163" i="315"/>
  <c r="W39" i="308"/>
  <c r="M269" i="315"/>
  <c r="J166" i="315"/>
  <c r="J437" i="315"/>
  <c r="J317" i="315"/>
  <c r="C270" i="327" s="1"/>
  <c r="M270" i="327" s="1"/>
  <c r="N268" i="315"/>
  <c r="K165" i="315"/>
  <c r="D239" i="327" s="1"/>
  <c r="N239" i="327" s="1"/>
  <c r="M169" i="315"/>
  <c r="P268" i="315"/>
  <c r="M165" i="315"/>
  <c r="P165" i="315" s="1"/>
  <c r="J179" i="315"/>
  <c r="C253" i="327" s="1"/>
  <c r="M253" i="327" s="1"/>
  <c r="W41" i="308"/>
  <c r="X38" i="308"/>
  <c r="W221" i="312"/>
  <c r="M227" i="312"/>
  <c r="W227" i="312" s="1"/>
  <c r="O280" i="312"/>
  <c r="N317" i="312"/>
  <c r="N66" i="314" s="1"/>
  <c r="N295" i="312"/>
  <c r="N297" i="312" s="1"/>
  <c r="N318" i="312" s="1"/>
  <c r="O295" i="312"/>
  <c r="O297" i="312" s="1"/>
  <c r="O318" i="312" s="1"/>
  <c r="N210" i="312"/>
  <c r="N212" i="312" s="1"/>
  <c r="N313" i="312" s="1"/>
  <c r="O278" i="312"/>
  <c r="N261" i="312"/>
  <c r="N263" i="312" s="1"/>
  <c r="N316" i="312" s="1"/>
  <c r="O261" i="312"/>
  <c r="O263" i="312" s="1"/>
  <c r="O316" i="312" s="1"/>
  <c r="N244" i="312"/>
  <c r="N246" i="312" s="1"/>
  <c r="N315" i="312" s="1"/>
  <c r="O204" i="312"/>
  <c r="O238" i="312"/>
  <c r="O221" i="312"/>
  <c r="N193" i="312"/>
  <c r="N195" i="312" s="1"/>
  <c r="N312" i="312" s="1"/>
  <c r="O187" i="312"/>
  <c r="N178" i="312"/>
  <c r="N311" i="312" s="1"/>
  <c r="O170" i="312"/>
  <c r="O176" i="312" s="1"/>
  <c r="P289" i="312"/>
  <c r="X289" i="312" s="1"/>
  <c r="P221" i="312"/>
  <c r="X221" i="312" s="1"/>
  <c r="P170" i="312"/>
  <c r="X170" i="312" s="1"/>
  <c r="P272" i="312"/>
  <c r="X272" i="312" s="1"/>
  <c r="P238" i="312"/>
  <c r="X238" i="312" s="1"/>
  <c r="P204" i="312"/>
  <c r="X204" i="312" s="1"/>
  <c r="P187" i="312"/>
  <c r="X187" i="312" s="1"/>
  <c r="P255" i="312"/>
  <c r="X255" i="312" s="1"/>
  <c r="P55" i="308" l="1"/>
  <c r="N505" i="315" s="1"/>
  <c r="N504" i="315"/>
  <c r="W317" i="312"/>
  <c r="M66" i="314"/>
  <c r="M55" i="308"/>
  <c r="M505" i="315" s="1"/>
  <c r="M50" i="314"/>
  <c r="M52" i="314" s="1"/>
  <c r="K179" i="315"/>
  <c r="D253" i="327" s="1"/>
  <c r="N253" i="327" s="1"/>
  <c r="N8" i="313"/>
  <c r="M385" i="315"/>
  <c r="L380" i="315"/>
  <c r="L310" i="312"/>
  <c r="V312" i="312"/>
  <c r="L386" i="315"/>
  <c r="V318" i="312"/>
  <c r="V316" i="312"/>
  <c r="L384" i="315"/>
  <c r="L383" i="315"/>
  <c r="V315" i="312"/>
  <c r="L381" i="315"/>
  <c r="V313" i="312"/>
  <c r="N52" i="308"/>
  <c r="K180" i="315" s="1"/>
  <c r="D254" i="327" s="1"/>
  <c r="N254" i="327" s="1"/>
  <c r="N53" i="308"/>
  <c r="N54" i="308" s="1"/>
  <c r="N55" i="308" s="1"/>
  <c r="O51" i="308"/>
  <c r="O8" i="313" s="1"/>
  <c r="O42" i="308"/>
  <c r="N226" i="312"/>
  <c r="F239" i="327"/>
  <c r="P239" i="327" s="1"/>
  <c r="N267" i="327"/>
  <c r="O266" i="327"/>
  <c r="L314" i="315"/>
  <c r="E264" i="327" s="1"/>
  <c r="O264" i="327" s="1"/>
  <c r="O265" i="327" s="1"/>
  <c r="O163" i="315"/>
  <c r="E237" i="327"/>
  <c r="O237" i="327" s="1"/>
  <c r="K320" i="315"/>
  <c r="D273" i="327" s="1"/>
  <c r="N273" i="327" s="1"/>
  <c r="D244" i="327"/>
  <c r="N244" i="327" s="1"/>
  <c r="M318" i="315"/>
  <c r="F271" i="327" s="1"/>
  <c r="P271" i="327" s="1"/>
  <c r="F243" i="327"/>
  <c r="P243" i="327" s="1"/>
  <c r="J319" i="315"/>
  <c r="C272" i="327" s="1"/>
  <c r="M272" i="327" s="1"/>
  <c r="C240" i="327"/>
  <c r="M240" i="327" s="1"/>
  <c r="Q6" i="327"/>
  <c r="G6" i="327"/>
  <c r="S6" i="327"/>
  <c r="I6" i="327"/>
  <c r="P7" i="327"/>
  <c r="F7" i="327"/>
  <c r="N291" i="315"/>
  <c r="G12" i="327" s="1"/>
  <c r="N385" i="315"/>
  <c r="W66" i="314"/>
  <c r="M270" i="315"/>
  <c r="J247" i="315"/>
  <c r="M311" i="327" s="1"/>
  <c r="C311" i="327" s="1"/>
  <c r="M170" i="315"/>
  <c r="O65" i="314"/>
  <c r="L246" i="315" s="1"/>
  <c r="O384" i="315"/>
  <c r="O67" i="314"/>
  <c r="L248" i="315" s="1"/>
  <c r="O312" i="327" s="1"/>
  <c r="E312" i="327" s="1"/>
  <c r="O386" i="315"/>
  <c r="N269" i="315"/>
  <c r="K166" i="315"/>
  <c r="N60" i="314"/>
  <c r="K241" i="315" s="1"/>
  <c r="N306" i="327" s="1"/>
  <c r="D306" i="327" s="1"/>
  <c r="N379" i="315"/>
  <c r="N65" i="314"/>
  <c r="K246" i="315" s="1"/>
  <c r="N384" i="315"/>
  <c r="N67" i="314"/>
  <c r="K248" i="315" s="1"/>
  <c r="N312" i="327" s="1"/>
  <c r="D312" i="327" s="1"/>
  <c r="N386" i="315"/>
  <c r="K437" i="315"/>
  <c r="K317" i="315"/>
  <c r="D270" i="327" s="1"/>
  <c r="N270" i="327" s="1"/>
  <c r="N61" i="314"/>
  <c r="K242" i="315" s="1"/>
  <c r="N307" i="327" s="1"/>
  <c r="D307" i="327" s="1"/>
  <c r="N380" i="315"/>
  <c r="N64" i="314"/>
  <c r="K245" i="315" s="1"/>
  <c r="N310" i="327" s="1"/>
  <c r="D310" i="327" s="1"/>
  <c r="N383" i="315"/>
  <c r="N62" i="314"/>
  <c r="K243" i="315" s="1"/>
  <c r="N308" i="327" s="1"/>
  <c r="D308" i="327" s="1"/>
  <c r="N381" i="315"/>
  <c r="O268" i="315"/>
  <c r="L165" i="315"/>
  <c r="N169" i="315"/>
  <c r="G243" i="327" s="1"/>
  <c r="Q243" i="327" s="1"/>
  <c r="M179" i="315"/>
  <c r="X39" i="308"/>
  <c r="P269" i="315"/>
  <c r="M166" i="315"/>
  <c r="F240" i="327" s="1"/>
  <c r="P240" i="327" s="1"/>
  <c r="M317" i="315"/>
  <c r="F270" i="327" s="1"/>
  <c r="P270" i="327" s="1"/>
  <c r="Q270" i="327" s="1"/>
  <c r="M437" i="315"/>
  <c r="N165" i="315"/>
  <c r="G239" i="327" s="1"/>
  <c r="Q239" i="327" s="1"/>
  <c r="X41" i="308"/>
  <c r="P291" i="315"/>
  <c r="I12" i="327" s="1"/>
  <c r="Q268" i="315"/>
  <c r="J170" i="315"/>
  <c r="C244" i="327" s="1"/>
  <c r="M244" i="327" s="1"/>
  <c r="W51" i="308"/>
  <c r="W42" i="308"/>
  <c r="X224" i="312"/>
  <c r="W224" i="312"/>
  <c r="X225" i="312"/>
  <c r="W225" i="312"/>
  <c r="W222" i="312"/>
  <c r="X222" i="312"/>
  <c r="X223" i="312"/>
  <c r="W223" i="312"/>
  <c r="J181" i="315"/>
  <c r="C255" i="327" s="1"/>
  <c r="M255" i="327" s="1"/>
  <c r="P280" i="312"/>
  <c r="Q280" i="312" s="1"/>
  <c r="O317" i="312"/>
  <c r="P210" i="312"/>
  <c r="P295" i="312"/>
  <c r="O210" i="312"/>
  <c r="O212" i="312" s="1"/>
  <c r="O313" i="312" s="1"/>
  <c r="P278" i="312"/>
  <c r="X278" i="312" s="1"/>
  <c r="P261" i="312"/>
  <c r="O244" i="312"/>
  <c r="O246" i="312" s="1"/>
  <c r="O315" i="312" s="1"/>
  <c r="P244" i="312"/>
  <c r="O193" i="312"/>
  <c r="O195" i="312" s="1"/>
  <c r="O312" i="312" s="1"/>
  <c r="P193" i="312"/>
  <c r="O178" i="312"/>
  <c r="P176" i="312"/>
  <c r="J180" i="315"/>
  <c r="C254" i="327" s="1"/>
  <c r="M254" i="327" s="1"/>
  <c r="V310" i="312" l="1"/>
  <c r="L319" i="312"/>
  <c r="L387" i="315"/>
  <c r="R280" i="312"/>
  <c r="R317" i="312" s="1"/>
  <c r="R66" i="314" s="1"/>
  <c r="Q317" i="312"/>
  <c r="Q66" i="314" s="1"/>
  <c r="O53" i="308"/>
  <c r="O54" i="308" s="1"/>
  <c r="O55" i="308" s="1"/>
  <c r="O52" i="308"/>
  <c r="O226" i="312"/>
  <c r="N227" i="312"/>
  <c r="N229" i="312" s="1"/>
  <c r="N314" i="312" s="1"/>
  <c r="O267" i="327"/>
  <c r="K319" i="315"/>
  <c r="D272" i="327" s="1"/>
  <c r="N272" i="327" s="1"/>
  <c r="D240" i="327"/>
  <c r="N240" i="327" s="1"/>
  <c r="O165" i="315"/>
  <c r="E239" i="327"/>
  <c r="O239" i="327" s="1"/>
  <c r="M320" i="315"/>
  <c r="F273" i="327" s="1"/>
  <c r="P273" i="327" s="1"/>
  <c r="F244" i="327"/>
  <c r="P244" i="327" s="1"/>
  <c r="N179" i="315"/>
  <c r="G253" i="327" s="1"/>
  <c r="Q253" i="327" s="1"/>
  <c r="F253" i="327"/>
  <c r="P253" i="327" s="1"/>
  <c r="P8" i="327"/>
  <c r="F8" i="327"/>
  <c r="S7" i="327"/>
  <c r="I7" i="327"/>
  <c r="T6" i="327"/>
  <c r="J6" i="327"/>
  <c r="Q7" i="327"/>
  <c r="G7" i="327"/>
  <c r="R6" i="327"/>
  <c r="H6" i="327"/>
  <c r="O291" i="315"/>
  <c r="H12" i="327" s="1"/>
  <c r="Q269" i="315"/>
  <c r="O66" i="314"/>
  <c r="O385" i="315"/>
  <c r="N270" i="315"/>
  <c r="K247" i="315"/>
  <c r="N311" i="327" s="1"/>
  <c r="D311" i="327" s="1"/>
  <c r="N170" i="315"/>
  <c r="G244" i="327" s="1"/>
  <c r="Q244" i="327" s="1"/>
  <c r="X42" i="308"/>
  <c r="X51" i="308"/>
  <c r="M181" i="315"/>
  <c r="M180" i="315"/>
  <c r="X8" i="313"/>
  <c r="O64" i="314"/>
  <c r="L245" i="315" s="1"/>
  <c r="O310" i="327" s="1"/>
  <c r="E310" i="327" s="1"/>
  <c r="O383" i="315"/>
  <c r="L169" i="315"/>
  <c r="E243" i="327" s="1"/>
  <c r="O243" i="327" s="1"/>
  <c r="L170" i="315"/>
  <c r="E244" i="327" s="1"/>
  <c r="O244" i="327" s="1"/>
  <c r="O61" i="314"/>
  <c r="L242" i="315" s="1"/>
  <c r="O307" i="327" s="1"/>
  <c r="E307" i="327" s="1"/>
  <c r="O380" i="315"/>
  <c r="O62" i="314"/>
  <c r="L243" i="315" s="1"/>
  <c r="O308" i="327" s="1"/>
  <c r="E308" i="327" s="1"/>
  <c r="O381" i="315"/>
  <c r="O269" i="315"/>
  <c r="L166" i="315"/>
  <c r="L437" i="315"/>
  <c r="L317" i="315"/>
  <c r="E270" i="327" s="1"/>
  <c r="O270" i="327" s="1"/>
  <c r="M319" i="315"/>
  <c r="F272" i="327" s="1"/>
  <c r="P272" i="327" s="1"/>
  <c r="N166" i="315"/>
  <c r="G240" i="327" s="1"/>
  <c r="Q240" i="327" s="1"/>
  <c r="J320" i="315"/>
  <c r="C273" i="327" s="1"/>
  <c r="M273" i="327" s="1"/>
  <c r="K182" i="315"/>
  <c r="K181" i="315"/>
  <c r="D255" i="327" s="1"/>
  <c r="N255" i="327" s="1"/>
  <c r="O178" i="315"/>
  <c r="N16" i="313"/>
  <c r="N17" i="313" s="1"/>
  <c r="W52" i="308"/>
  <c r="W53" i="308"/>
  <c r="W8" i="313"/>
  <c r="P178" i="312"/>
  <c r="X176" i="312"/>
  <c r="P246" i="312"/>
  <c r="X244" i="312"/>
  <c r="P212" i="312"/>
  <c r="X210" i="312"/>
  <c r="P297" i="312"/>
  <c r="X295" i="312"/>
  <c r="P195" i="312"/>
  <c r="X193" i="312"/>
  <c r="P263" i="312"/>
  <c r="X261" i="312"/>
  <c r="P317" i="312"/>
  <c r="X280" i="312"/>
  <c r="O311" i="312"/>
  <c r="O379" i="315" s="1"/>
  <c r="M229" i="312"/>
  <c r="M195" i="312"/>
  <c r="M297" i="312"/>
  <c r="M263" i="312"/>
  <c r="M246" i="312"/>
  <c r="M212" i="312"/>
  <c r="M178" i="312"/>
  <c r="J182" i="315"/>
  <c r="V319" i="312" l="1"/>
  <c r="L320" i="312"/>
  <c r="V320" i="312" s="1"/>
  <c r="N310" i="312"/>
  <c r="N319" i="312" s="1"/>
  <c r="N63" i="314"/>
  <c r="N382" i="315"/>
  <c r="N387" i="315" s="1"/>
  <c r="P226" i="312"/>
  <c r="Q226" i="312" s="1"/>
  <c r="O227" i="312"/>
  <c r="O229" i="312" s="1"/>
  <c r="O314" i="312" s="1"/>
  <c r="O310" i="312" s="1"/>
  <c r="O319" i="312" s="1"/>
  <c r="K438" i="315"/>
  <c r="D256" i="327"/>
  <c r="N256" i="327" s="1"/>
  <c r="J438" i="315"/>
  <c r="C256" i="327"/>
  <c r="M256" i="327" s="1"/>
  <c r="N180" i="315"/>
  <c r="G254" i="327" s="1"/>
  <c r="Q254" i="327" s="1"/>
  <c r="F254" i="327"/>
  <c r="P254" i="327" s="1"/>
  <c r="L319" i="315"/>
  <c r="E272" i="327" s="1"/>
  <c r="O272" i="327" s="1"/>
  <c r="E240" i="327"/>
  <c r="O240" i="327" s="1"/>
  <c r="N181" i="315"/>
  <c r="G255" i="327" s="1"/>
  <c r="Q255" i="327" s="1"/>
  <c r="F255" i="327"/>
  <c r="P255" i="327" s="1"/>
  <c r="Q8" i="327"/>
  <c r="G8" i="327"/>
  <c r="R7" i="327"/>
  <c r="H7" i="327"/>
  <c r="T7" i="327"/>
  <c r="J7" i="327"/>
  <c r="X317" i="312"/>
  <c r="P385" i="315"/>
  <c r="O270" i="315"/>
  <c r="L247" i="315"/>
  <c r="X53" i="308"/>
  <c r="P16" i="313"/>
  <c r="P17" i="313" s="1"/>
  <c r="M182" i="315"/>
  <c r="O166" i="315"/>
  <c r="X52" i="308"/>
  <c r="L320" i="315"/>
  <c r="E273" i="327" s="1"/>
  <c r="O273" i="327" s="1"/>
  <c r="O170" i="315"/>
  <c r="L179" i="315"/>
  <c r="L180" i="315"/>
  <c r="L318" i="315"/>
  <c r="E271" i="327" s="1"/>
  <c r="O271" i="327" s="1"/>
  <c r="O169" i="315"/>
  <c r="N50" i="314"/>
  <c r="K183" i="315"/>
  <c r="D257" i="327" s="1"/>
  <c r="N257" i="327" s="1"/>
  <c r="W54" i="308"/>
  <c r="V41" i="313"/>
  <c r="V40" i="313"/>
  <c r="W16" i="313"/>
  <c r="M315" i="312"/>
  <c r="M64" i="314" s="1"/>
  <c r="W246" i="312"/>
  <c r="M314" i="312"/>
  <c r="M63" i="314" s="1"/>
  <c r="W229" i="312"/>
  <c r="M316" i="312"/>
  <c r="M65" i="314" s="1"/>
  <c r="W263" i="312"/>
  <c r="P316" i="312"/>
  <c r="P384" i="315" s="1"/>
  <c r="X263" i="312"/>
  <c r="P386" i="315"/>
  <c r="X297" i="312"/>
  <c r="P315" i="312"/>
  <c r="P383" i="315" s="1"/>
  <c r="X246" i="312"/>
  <c r="M311" i="312"/>
  <c r="M60" i="314" s="1"/>
  <c r="W178" i="312"/>
  <c r="M318" i="312"/>
  <c r="M67" i="314" s="1"/>
  <c r="W297" i="312"/>
  <c r="M313" i="312"/>
  <c r="M62" i="314" s="1"/>
  <c r="W212" i="312"/>
  <c r="M312" i="312"/>
  <c r="M61" i="314" s="1"/>
  <c r="W195" i="312"/>
  <c r="P66" i="314"/>
  <c r="P312" i="312"/>
  <c r="P380" i="315" s="1"/>
  <c r="X195" i="312"/>
  <c r="P313" i="312"/>
  <c r="P381" i="315" s="1"/>
  <c r="X212" i="312"/>
  <c r="P311" i="312"/>
  <c r="P379" i="315" s="1"/>
  <c r="X178" i="312"/>
  <c r="O60" i="314"/>
  <c r="J183" i="315"/>
  <c r="C257" i="327" s="1"/>
  <c r="M257" i="327" s="1"/>
  <c r="J231" i="315"/>
  <c r="M300" i="327" s="1"/>
  <c r="C300" i="327" s="1"/>
  <c r="M59" i="314" l="1"/>
  <c r="M72" i="314" s="1"/>
  <c r="K231" i="315"/>
  <c r="N300" i="327" s="1"/>
  <c r="D300" i="327" s="1"/>
  <c r="O320" i="312"/>
  <c r="R226" i="312"/>
  <c r="R227" i="312" s="1"/>
  <c r="R229" i="312" s="1"/>
  <c r="R314" i="312" s="1"/>
  <c r="Q227" i="312"/>
  <c r="Q229" i="312" s="1"/>
  <c r="Q314" i="312" s="1"/>
  <c r="X226" i="312"/>
  <c r="P227" i="312"/>
  <c r="K244" i="315"/>
  <c r="N309" i="327" s="1"/>
  <c r="D309" i="327" s="1"/>
  <c r="N59" i="314"/>
  <c r="N72" i="314" s="1"/>
  <c r="O63" i="314"/>
  <c r="L244" i="315" s="1"/>
  <c r="O309" i="327" s="1"/>
  <c r="E309" i="327" s="1"/>
  <c r="O382" i="315"/>
  <c r="O387" i="315" s="1"/>
  <c r="N247" i="315"/>
  <c r="Q311" i="327" s="1"/>
  <c r="G311" i="327" s="1"/>
  <c r="O311" i="327"/>
  <c r="E311" i="327" s="1"/>
  <c r="O180" i="315"/>
  <c r="E254" i="327"/>
  <c r="O254" i="327" s="1"/>
  <c r="M438" i="315"/>
  <c r="F256" i="327"/>
  <c r="P256" i="327" s="1"/>
  <c r="O179" i="315"/>
  <c r="E253" i="327"/>
  <c r="O253" i="327" s="1"/>
  <c r="R8" i="327"/>
  <c r="H8" i="327"/>
  <c r="X66" i="314"/>
  <c r="P270" i="315"/>
  <c r="M247" i="315"/>
  <c r="P311" i="327" s="1"/>
  <c r="F311" i="327" s="1"/>
  <c r="X54" i="308"/>
  <c r="M183" i="315"/>
  <c r="N182" i="315"/>
  <c r="G256" i="327" s="1"/>
  <c r="Q256" i="327" s="1"/>
  <c r="P50" i="314"/>
  <c r="M231" i="315" s="1"/>
  <c r="P300" i="327" s="1"/>
  <c r="F300" i="327" s="1"/>
  <c r="X16" i="313"/>
  <c r="W313" i="312"/>
  <c r="M381" i="315"/>
  <c r="W311" i="312"/>
  <c r="M379" i="315"/>
  <c r="W316" i="312"/>
  <c r="M384" i="315"/>
  <c r="W315" i="312"/>
  <c r="M383" i="315"/>
  <c r="L241" i="315"/>
  <c r="O306" i="327" s="1"/>
  <c r="E306" i="327" s="1"/>
  <c r="W312" i="312"/>
  <c r="M380" i="315"/>
  <c r="W318" i="312"/>
  <c r="M386" i="315"/>
  <c r="W314" i="312"/>
  <c r="M382" i="315"/>
  <c r="L181" i="315"/>
  <c r="O16" i="313"/>
  <c r="O17" i="313" s="1"/>
  <c r="W55" i="308"/>
  <c r="X313" i="312"/>
  <c r="X311" i="312"/>
  <c r="W17" i="313"/>
  <c r="W50" i="314"/>
  <c r="X315" i="312"/>
  <c r="X312" i="312"/>
  <c r="X316" i="312"/>
  <c r="X318" i="312"/>
  <c r="X17" i="313"/>
  <c r="P62" i="314"/>
  <c r="M243" i="315" s="1"/>
  <c r="P308" i="327" s="1"/>
  <c r="F308" i="327" s="1"/>
  <c r="P64" i="314"/>
  <c r="M245" i="315" s="1"/>
  <c r="P310" i="327" s="1"/>
  <c r="F310" i="327" s="1"/>
  <c r="P65" i="314"/>
  <c r="M246" i="315" s="1"/>
  <c r="P60" i="314"/>
  <c r="M241" i="315" s="1"/>
  <c r="P306" i="327" s="1"/>
  <c r="F306" i="327" s="1"/>
  <c r="P61" i="314"/>
  <c r="M242" i="315" s="1"/>
  <c r="P307" i="327" s="1"/>
  <c r="F307" i="327" s="1"/>
  <c r="P67" i="314"/>
  <c r="M248" i="315" s="1"/>
  <c r="P312" i="327" s="1"/>
  <c r="F312" i="327" s="1"/>
  <c r="N49" i="314"/>
  <c r="N52" i="314" s="1"/>
  <c r="M310" i="312"/>
  <c r="W310" i="312" s="1"/>
  <c r="O9" i="313" l="1"/>
  <c r="O14" i="313" s="1"/>
  <c r="O18" i="313" s="1"/>
  <c r="R310" i="312"/>
  <c r="R319" i="312" s="1"/>
  <c r="R63" i="314"/>
  <c r="R59" i="314" s="1"/>
  <c r="Q310" i="312"/>
  <c r="Q319" i="312" s="1"/>
  <c r="Q63" i="314"/>
  <c r="Q59" i="314" s="1"/>
  <c r="K240" i="315"/>
  <c r="N305" i="327" s="1"/>
  <c r="D305" i="327" s="1"/>
  <c r="O59" i="314"/>
  <c r="O72" i="314" s="1"/>
  <c r="P229" i="312"/>
  <c r="X227" i="312"/>
  <c r="N183" i="315"/>
  <c r="G257" i="327" s="1"/>
  <c r="Q257" i="327" s="1"/>
  <c r="F257" i="327"/>
  <c r="P257" i="327" s="1"/>
  <c r="O181" i="315"/>
  <c r="E255" i="327"/>
  <c r="O255" i="327" s="1"/>
  <c r="S8" i="327"/>
  <c r="I8" i="327"/>
  <c r="Q270" i="315"/>
  <c r="X55" i="308"/>
  <c r="X50" i="314"/>
  <c r="W60" i="314"/>
  <c r="J241" i="315"/>
  <c r="W67" i="314"/>
  <c r="J248" i="315"/>
  <c r="L182" i="315"/>
  <c r="E256" i="327" s="1"/>
  <c r="O256" i="327" s="1"/>
  <c r="O50" i="314"/>
  <c r="L231" i="315" s="1"/>
  <c r="L183" i="315"/>
  <c r="M387" i="315"/>
  <c r="W65" i="314"/>
  <c r="J246" i="315"/>
  <c r="N246" i="315" s="1"/>
  <c r="W64" i="314"/>
  <c r="J245" i="315"/>
  <c r="W62" i="314"/>
  <c r="J243" i="315"/>
  <c r="W63" i="314"/>
  <c r="J244" i="315"/>
  <c r="W61" i="314"/>
  <c r="J242" i="315"/>
  <c r="O49" i="314"/>
  <c r="K230" i="315"/>
  <c r="N299" i="327" s="1"/>
  <c r="D299" i="327" s="1"/>
  <c r="X61" i="314"/>
  <c r="X67" i="314"/>
  <c r="X60" i="314"/>
  <c r="X65" i="314"/>
  <c r="X64" i="314"/>
  <c r="X62" i="314"/>
  <c r="J240" i="315"/>
  <c r="M305" i="327" s="1"/>
  <c r="C305" i="327" s="1"/>
  <c r="J233" i="315"/>
  <c r="M302" i="327" s="1"/>
  <c r="C302" i="327" s="1"/>
  <c r="K233" i="315"/>
  <c r="N302" i="327" s="1"/>
  <c r="D302" i="327" s="1"/>
  <c r="M319" i="312"/>
  <c r="W319" i="312" s="1"/>
  <c r="Q72" i="314" l="1"/>
  <c r="Q80" i="314" s="1"/>
  <c r="R72" i="314"/>
  <c r="R80" i="314" s="1"/>
  <c r="R320" i="312"/>
  <c r="L240" i="315"/>
  <c r="O305" i="327" s="1"/>
  <c r="E305" i="327" s="1"/>
  <c r="P314" i="312"/>
  <c r="X229" i="312"/>
  <c r="N80" i="314"/>
  <c r="K260" i="315" s="1"/>
  <c r="N317" i="327" s="1"/>
  <c r="D317" i="327" s="1"/>
  <c r="K252" i="315"/>
  <c r="N315" i="327" s="1"/>
  <c r="D315" i="327" s="1"/>
  <c r="N241" i="315"/>
  <c r="Q306" i="327" s="1"/>
  <c r="G306" i="327" s="1"/>
  <c r="M306" i="327"/>
  <c r="C306" i="327" s="1"/>
  <c r="N244" i="315"/>
  <c r="Q309" i="327" s="1"/>
  <c r="G309" i="327" s="1"/>
  <c r="M309" i="327"/>
  <c r="C309" i="327" s="1"/>
  <c r="N245" i="315"/>
  <c r="Q310" i="327" s="1"/>
  <c r="G310" i="327" s="1"/>
  <c r="M310" i="327"/>
  <c r="C310" i="327" s="1"/>
  <c r="N248" i="315"/>
  <c r="Q312" i="327" s="1"/>
  <c r="G312" i="327" s="1"/>
  <c r="M312" i="327"/>
  <c r="C312" i="327" s="1"/>
  <c r="N242" i="315"/>
  <c r="Q307" i="327" s="1"/>
  <c r="G307" i="327" s="1"/>
  <c r="M307" i="327"/>
  <c r="C307" i="327" s="1"/>
  <c r="N243" i="315"/>
  <c r="Q308" i="327" s="1"/>
  <c r="G308" i="327" s="1"/>
  <c r="M308" i="327"/>
  <c r="C308" i="327" s="1"/>
  <c r="N231" i="315"/>
  <c r="Q300" i="327" s="1"/>
  <c r="G300" i="327" s="1"/>
  <c r="O300" i="327"/>
  <c r="E300" i="327" s="1"/>
  <c r="O183" i="315"/>
  <c r="E257" i="327"/>
  <c r="O257" i="327" s="1"/>
  <c r="T8" i="327"/>
  <c r="J8" i="327"/>
  <c r="O80" i="314"/>
  <c r="L260" i="315" s="1"/>
  <c r="O317" i="327" s="1"/>
  <c r="E317" i="327" s="1"/>
  <c r="L252" i="315"/>
  <c r="O315" i="327" s="1"/>
  <c r="E315" i="327" s="1"/>
  <c r="L438" i="315"/>
  <c r="O182" i="315"/>
  <c r="P49" i="314"/>
  <c r="L230" i="315"/>
  <c r="W52" i="314"/>
  <c r="W59" i="314"/>
  <c r="O52" i="314"/>
  <c r="L233" i="315" s="1"/>
  <c r="M320" i="312"/>
  <c r="N320" i="312"/>
  <c r="W320" i="312" l="1"/>
  <c r="M9" i="313"/>
  <c r="M14" i="313" s="1"/>
  <c r="M18" i="313" s="1"/>
  <c r="M40" i="313" s="1"/>
  <c r="M41" i="313" s="1"/>
  <c r="M44" i="313" s="1"/>
  <c r="M45" i="313" s="1"/>
  <c r="N9" i="313"/>
  <c r="N14" i="313" s="1"/>
  <c r="N18" i="313" s="1"/>
  <c r="R9" i="313"/>
  <c r="R14" i="313" s="1"/>
  <c r="R18" i="313" s="1"/>
  <c r="R40" i="313" s="1"/>
  <c r="R41" i="313" s="1"/>
  <c r="R44" i="313" s="1"/>
  <c r="J252" i="315"/>
  <c r="M315" i="327" s="1"/>
  <c r="C315" i="327" s="1"/>
  <c r="M80" i="314"/>
  <c r="M81" i="314" s="1"/>
  <c r="P52" i="314"/>
  <c r="X52" i="314" s="1"/>
  <c r="Q49" i="314"/>
  <c r="N240" i="315"/>
  <c r="Q305" i="327" s="1"/>
  <c r="G305" i="327" s="1"/>
  <c r="N81" i="314"/>
  <c r="K261" i="315" s="1"/>
  <c r="N318" i="327" s="1"/>
  <c r="D318" i="327" s="1"/>
  <c r="P382" i="315"/>
  <c r="P387" i="315" s="1"/>
  <c r="P63" i="314"/>
  <c r="P310" i="312"/>
  <c r="X314" i="312"/>
  <c r="N233" i="315"/>
  <c r="Q302" i="327" s="1"/>
  <c r="G302" i="327" s="1"/>
  <c r="O302" i="327"/>
  <c r="E302" i="327" s="1"/>
  <c r="N230" i="315"/>
  <c r="Q299" i="327" s="1"/>
  <c r="G299" i="327" s="1"/>
  <c r="O299" i="327"/>
  <c r="E299" i="327" s="1"/>
  <c r="X49" i="314"/>
  <c r="M230" i="315"/>
  <c r="P299" i="327" s="1"/>
  <c r="F299" i="327" s="1"/>
  <c r="W72" i="314"/>
  <c r="O81" i="314"/>
  <c r="L261" i="315" s="1"/>
  <c r="O318" i="327" s="1"/>
  <c r="E318" i="327" s="1"/>
  <c r="N43" i="313" l="1"/>
  <c r="M39" i="314"/>
  <c r="M40" i="314" s="1"/>
  <c r="N252" i="315"/>
  <c r="Q315" i="327" s="1"/>
  <c r="G315" i="327" s="1"/>
  <c r="J260" i="315"/>
  <c r="N260" i="315" s="1"/>
  <c r="Q317" i="327" s="1"/>
  <c r="G317" i="327" s="1"/>
  <c r="M233" i="315"/>
  <c r="P302" i="327" s="1"/>
  <c r="F302" i="327" s="1"/>
  <c r="R49" i="314"/>
  <c r="R52" i="314" s="1"/>
  <c r="R81" i="314" s="1"/>
  <c r="Q52" i="314"/>
  <c r="Q81" i="314" s="1"/>
  <c r="X310" i="312"/>
  <c r="P319" i="312"/>
  <c r="Q320" i="312" s="1"/>
  <c r="M244" i="315"/>
  <c r="P309" i="327" s="1"/>
  <c r="F309" i="327" s="1"/>
  <c r="X63" i="314"/>
  <c r="P59" i="314"/>
  <c r="P72" i="314" s="1"/>
  <c r="W80" i="314"/>
  <c r="J261" i="315"/>
  <c r="W9" i="313"/>
  <c r="M317" i="327" l="1"/>
  <c r="C317" i="327" s="1"/>
  <c r="Q9" i="313"/>
  <c r="Q14" i="313" s="1"/>
  <c r="Q18" i="313" s="1"/>
  <c r="Q40" i="313" s="1"/>
  <c r="Q41" i="313" s="1"/>
  <c r="Q44" i="313" s="1"/>
  <c r="M240" i="315"/>
  <c r="P305" i="327" s="1"/>
  <c r="F305" i="327" s="1"/>
  <c r="X59" i="314"/>
  <c r="X319" i="312"/>
  <c r="P320" i="312"/>
  <c r="P9" i="313" s="1"/>
  <c r="N261" i="315"/>
  <c r="Q318" i="327" s="1"/>
  <c r="G318" i="327" s="1"/>
  <c r="M318" i="327"/>
  <c r="C318" i="327" s="1"/>
  <c r="W14" i="313"/>
  <c r="W81" i="314"/>
  <c r="X320" i="312" l="1"/>
  <c r="M252" i="315"/>
  <c r="P315" i="327" s="1"/>
  <c r="F315" i="327" s="1"/>
  <c r="P80" i="314"/>
  <c r="X72" i="314"/>
  <c r="W18" i="313"/>
  <c r="P14" i="313" l="1"/>
  <c r="X9" i="313"/>
  <c r="M260" i="315"/>
  <c r="P317" i="327" s="1"/>
  <c r="F317" i="327" s="1"/>
  <c r="P81" i="314"/>
  <c r="X80" i="314"/>
  <c r="W40" i="313"/>
  <c r="P18" i="313" l="1"/>
  <c r="X14" i="313"/>
  <c r="M261" i="315"/>
  <c r="P318" i="327" s="1"/>
  <c r="F318" i="327" s="1"/>
  <c r="X81" i="314"/>
  <c r="W41" i="313"/>
  <c r="P40" i="313" l="1"/>
  <c r="X18" i="313"/>
  <c r="W44" i="313"/>
  <c r="P41" i="313" l="1"/>
  <c r="X40" i="313"/>
  <c r="J220" i="315"/>
  <c r="M292" i="327" s="1"/>
  <c r="C292" i="327" s="1"/>
  <c r="W45" i="313"/>
  <c r="P44" i="313" l="1"/>
  <c r="X44" i="313" s="1"/>
  <c r="X41" i="313"/>
  <c r="W39" i="314"/>
  <c r="J221" i="315"/>
  <c r="O221" i="315" l="1"/>
  <c r="M293" i="327"/>
  <c r="C293" i="327" s="1"/>
  <c r="M41" i="314"/>
  <c r="J222" i="315" s="1"/>
  <c r="M294" i="327" s="1"/>
  <c r="C294" i="327" s="1"/>
  <c r="W40" i="314"/>
  <c r="M83" i="314" l="1"/>
  <c r="W41" i="314"/>
  <c r="C10" i="305" l="1"/>
  <c r="C17" i="305" s="1"/>
  <c r="B37" i="305"/>
  <c r="B47" i="305" l="1"/>
  <c r="B57" i="305" s="1"/>
  <c r="C27" i="305"/>
  <c r="B67" i="305" l="1"/>
  <c r="B77" i="305" s="1"/>
  <c r="B87" i="305" l="1"/>
  <c r="B97" i="305" s="1"/>
  <c r="B107" i="305" s="1"/>
  <c r="P12" i="327" l="1"/>
  <c r="Q12" i="327" l="1"/>
  <c r="S12" i="327"/>
  <c r="R12" i="327" l="1"/>
  <c r="O25" i="313" l="1"/>
  <c r="O40" i="313" s="1"/>
  <c r="O41" i="313" s="1"/>
  <c r="O44" i="313" s="1"/>
  <c r="N25" i="313"/>
  <c r="N40" i="313" s="1"/>
  <c r="N41" i="313" s="1"/>
  <c r="N44" i="313" s="1"/>
  <c r="N45" i="313" s="1"/>
  <c r="N39" i="314" s="1"/>
  <c r="N40" i="314" s="1"/>
  <c r="K218" i="315"/>
  <c r="N291" i="327" s="1"/>
  <c r="D291" i="327" s="1"/>
  <c r="K220" i="315" l="1"/>
  <c r="N292" i="327" s="1"/>
  <c r="D292" i="327" s="1"/>
  <c r="O43" i="313"/>
  <c r="O45" i="313" s="1"/>
  <c r="O39" i="314" s="1"/>
  <c r="O40" i="314" s="1"/>
  <c r="P43" i="313" l="1"/>
  <c r="L220" i="315" l="1"/>
  <c r="N41" i="314"/>
  <c r="K221" i="315"/>
  <c r="P45" i="313"/>
  <c r="P39" i="314" s="1"/>
  <c r="P40" i="314" s="1"/>
  <c r="X43" i="313"/>
  <c r="P221" i="315" l="1"/>
  <c r="N293" i="327"/>
  <c r="D293" i="327" s="1"/>
  <c r="N83" i="314"/>
  <c r="K222" i="315"/>
  <c r="N294" i="327" s="1"/>
  <c r="D294" i="327" s="1"/>
  <c r="O292" i="327"/>
  <c r="E292" i="327" s="1"/>
  <c r="N220" i="315"/>
  <c r="Q292" i="327" s="1"/>
  <c r="G292" i="327" s="1"/>
  <c r="Q43" i="313"/>
  <c r="Q45" i="313" s="1"/>
  <c r="Q39" i="314" s="1"/>
  <c r="Q40" i="314" s="1"/>
  <c r="X45" i="313"/>
  <c r="O41" i="314"/>
  <c r="L221" i="315"/>
  <c r="R221" i="315" l="1"/>
  <c r="R222" i="315" s="1"/>
  <c r="N221" i="315"/>
  <c r="Q293" i="327" s="1"/>
  <c r="G293" i="327" s="1"/>
  <c r="O293" i="327"/>
  <c r="E293" i="327" s="1"/>
  <c r="Q41" i="314"/>
  <c r="Q83" i="314" s="1"/>
  <c r="R43" i="313"/>
  <c r="R45" i="313" s="1"/>
  <c r="O83" i="314"/>
  <c r="L222" i="315"/>
  <c r="X39" i="314"/>
  <c r="M220" i="315"/>
  <c r="P292" i="327" s="1"/>
  <c r="F292" i="327" s="1"/>
  <c r="R39" i="314" l="1"/>
  <c r="X40" i="314"/>
  <c r="P41" i="314"/>
  <c r="M221" i="315"/>
  <c r="P293" i="327" s="1"/>
  <c r="F293" i="327" s="1"/>
  <c r="O294" i="327"/>
  <c r="E294" i="327" s="1"/>
  <c r="N222" i="315"/>
  <c r="Q294" i="327" s="1"/>
  <c r="G294" i="327" s="1"/>
  <c r="R40" i="314" l="1"/>
  <c r="R41" i="314" s="1"/>
  <c r="R83" i="314" s="1"/>
  <c r="P83" i="314"/>
  <c r="X41" i="314"/>
  <c r="M222" i="315"/>
  <c r="P294" i="327" s="1"/>
  <c r="F294" i="327" s="1"/>
</calcChain>
</file>

<file path=xl/sharedStrings.xml><?xml version="1.0" encoding="utf-8"?>
<sst xmlns="http://schemas.openxmlformats.org/spreadsheetml/2006/main" count="6828" uniqueCount="1618">
  <si>
    <t>End of worksheet</t>
  </si>
  <si>
    <t>BNR http://bnr.ro/Cursul-de-schimb-3544.aspx</t>
  </si>
  <si>
    <t>USD:RON year end</t>
  </si>
  <si>
    <t>USD:RON av</t>
  </si>
  <si>
    <t>EUR:RON year end</t>
  </si>
  <si>
    <t>EUR:RON av</t>
  </si>
  <si>
    <t>FX rates</t>
  </si>
  <si>
    <t>Total/Average</t>
  </si>
  <si>
    <t>U.M.</t>
  </si>
  <si>
    <t>CAGR</t>
  </si>
  <si>
    <t>yoy</t>
  </si>
  <si>
    <t>Source/Comments</t>
  </si>
  <si>
    <t>#</t>
  </si>
  <si>
    <t>Actual/Estimate/Forecast</t>
  </si>
  <si>
    <t>hours</t>
  </si>
  <si>
    <t>Hours in period</t>
  </si>
  <si>
    <t>days</t>
  </si>
  <si>
    <t>Days in period</t>
  </si>
  <si>
    <t>Year no.</t>
  </si>
  <si>
    <t>Period no.</t>
  </si>
  <si>
    <t>Quarter and year</t>
  </si>
  <si>
    <t>Year</t>
  </si>
  <si>
    <t>date</t>
  </si>
  <si>
    <t>End date</t>
  </si>
  <si>
    <t>Start date</t>
  </si>
  <si>
    <t>Monthly timeline</t>
  </si>
  <si>
    <t>Quarterly timeline</t>
  </si>
  <si>
    <t>Period no</t>
  </si>
  <si>
    <t>Annual timeline</t>
  </si>
  <si>
    <t>Multiplier</t>
  </si>
  <si>
    <t>Latest available information</t>
  </si>
  <si>
    <t>Hours in a day</t>
  </si>
  <si>
    <t>Period start</t>
  </si>
  <si>
    <t>months</t>
  </si>
  <si>
    <t>Months in a month</t>
  </si>
  <si>
    <t>Months in a quarter</t>
  </si>
  <si>
    <t>Months in a year</t>
  </si>
  <si>
    <t>Model timeline</t>
  </si>
  <si>
    <t>Provisions</t>
  </si>
  <si>
    <t>Interest income</t>
  </si>
  <si>
    <t>Other operating expenses</t>
  </si>
  <si>
    <t>Cash and cash equivalents</t>
  </si>
  <si>
    <t>Other payables and accrued expenses</t>
  </si>
  <si>
    <t>Trade payables</t>
  </si>
  <si>
    <t>Fixtures and fittings</t>
  </si>
  <si>
    <t>Intangible assets in progress</t>
  </si>
  <si>
    <t>Tangible assets in progress</t>
  </si>
  <si>
    <t>Profit appropriation</t>
  </si>
  <si>
    <t>Retained earnings</t>
  </si>
  <si>
    <t>Legal reserves</t>
  </si>
  <si>
    <t>Premium related to capital</t>
  </si>
  <si>
    <t>Share capital</t>
  </si>
  <si>
    <t>Check</t>
  </si>
  <si>
    <t>EAT</t>
  </si>
  <si>
    <t>EBT</t>
  </si>
  <si>
    <t>Net financial loss / (revenues)</t>
  </si>
  <si>
    <t>EBIT</t>
  </si>
  <si>
    <t>EBITDA</t>
  </si>
  <si>
    <t>Total operating expenditures</t>
  </si>
  <si>
    <t>OPEX</t>
  </si>
  <si>
    <t>Total operating revenues</t>
  </si>
  <si>
    <t>Operating revenues</t>
  </si>
  <si>
    <t>Income Statement - Historical</t>
  </si>
  <si>
    <t>!!! Unadjusted figures !!!</t>
  </si>
  <si>
    <t>Total equity &amp; liabilities</t>
  </si>
  <si>
    <t>Total liabilities</t>
  </si>
  <si>
    <t>Other liabilities</t>
  </si>
  <si>
    <t>Long term liabilities</t>
  </si>
  <si>
    <t>Short term liabilities</t>
  </si>
  <si>
    <t>Equity</t>
  </si>
  <si>
    <t>Total assets</t>
  </si>
  <si>
    <t>Current assets</t>
  </si>
  <si>
    <t>Non-current assets</t>
  </si>
  <si>
    <t>Balance sheet - Historical</t>
  </si>
  <si>
    <t>Closing</t>
  </si>
  <si>
    <t>Additions</t>
  </si>
  <si>
    <t>Opening balance</t>
  </si>
  <si>
    <t>Depreciation</t>
  </si>
  <si>
    <t>Existing assets</t>
  </si>
  <si>
    <t>New assets</t>
  </si>
  <si>
    <t>Summary depreciation</t>
  </si>
  <si>
    <t>Summary - Closing balance</t>
  </si>
  <si>
    <t>Summary</t>
  </si>
  <si>
    <t>Gross book value</t>
  </si>
  <si>
    <t>Opening</t>
  </si>
  <si>
    <t>%</t>
  </si>
  <si>
    <t>years</t>
  </si>
  <si>
    <t>Taxation</t>
  </si>
  <si>
    <t>Legal reserves from Net income</t>
  </si>
  <si>
    <t>Legal reserves of share capital</t>
  </si>
  <si>
    <t>Turnover days</t>
  </si>
  <si>
    <t>Turnover days - Forecasted</t>
  </si>
  <si>
    <t>Turnover days - Actual</t>
  </si>
  <si>
    <t>Revenues considered</t>
  </si>
  <si>
    <t>Current Assets</t>
  </si>
  <si>
    <t>[ABC]</t>
  </si>
  <si>
    <t>Issues still to be clarified:</t>
  </si>
  <si>
    <t>ABC</t>
  </si>
  <si>
    <t>Change in formula that occurs in a row:</t>
  </si>
  <si>
    <t>Hard coded numbers:</t>
  </si>
  <si>
    <t>Legend of cells codding:</t>
  </si>
  <si>
    <t>HOW TO USE THE MODEL</t>
  </si>
  <si>
    <t xml:space="preserve"> </t>
  </si>
  <si>
    <t>Salaries</t>
  </si>
  <si>
    <t>Social security contributions</t>
  </si>
  <si>
    <t>Concessions, patents, licenses, trademarks and similar rights and assets</t>
  </si>
  <si>
    <t>Financial assets</t>
  </si>
  <si>
    <t>Intangible assets</t>
  </si>
  <si>
    <t>Tangible assets</t>
  </si>
  <si>
    <t>Inventories</t>
  </si>
  <si>
    <t>Advances from clients</t>
  </si>
  <si>
    <t>Deferred income</t>
  </si>
  <si>
    <t>ST interest bearing debt</t>
  </si>
  <si>
    <t>Subsidies</t>
  </si>
  <si>
    <t>Short term portion of deferred income</t>
  </si>
  <si>
    <t>Other reserves</t>
  </si>
  <si>
    <t>Average</t>
  </si>
  <si>
    <t>Maximum</t>
  </si>
  <si>
    <t>Minimum</t>
  </si>
  <si>
    <t>Long-term debts towards related parties</t>
  </si>
  <si>
    <t>Goodwill and others</t>
  </si>
  <si>
    <t>New assets - intangible</t>
  </si>
  <si>
    <t>New assets - tangible</t>
  </si>
  <si>
    <t>Intangible assets in progress - closing balance</t>
  </si>
  <si>
    <t>Scenario 1</t>
  </si>
  <si>
    <t>Scenario 2</t>
  </si>
  <si>
    <t>Scenario 3</t>
  </si>
  <si>
    <t>Chosen input</t>
  </si>
  <si>
    <t>Working Capital</t>
  </si>
  <si>
    <t>CAPEX</t>
  </si>
  <si>
    <t>Model functionality</t>
  </si>
  <si>
    <t>Corporate Income Tax</t>
  </si>
  <si>
    <t>Loans</t>
  </si>
  <si>
    <t>Applicable percentage</t>
  </si>
  <si>
    <t>Losses carried forward</t>
  </si>
  <si>
    <t>Last</t>
  </si>
  <si>
    <t>Values not considered in the analysis or cells not to be populated with numbers:</t>
  </si>
  <si>
    <t>Call-ups from other worksheet/workbooks:</t>
  </si>
  <si>
    <t>Other operating revenues</t>
  </si>
  <si>
    <t>Depreciation, amortisation and impairment</t>
  </si>
  <si>
    <t>Foreign exchange losses</t>
  </si>
  <si>
    <t>Income tax and other taxes</t>
  </si>
  <si>
    <t>Foreign exchange gains</t>
  </si>
  <si>
    <t>Other receivables</t>
  </si>
  <si>
    <t>Salaries, wages and related costs</t>
  </si>
  <si>
    <t>Meal tickets</t>
  </si>
  <si>
    <t>Third party services</t>
  </si>
  <si>
    <t>Consumables</t>
  </si>
  <si>
    <t>Loans to affiliates</t>
  </si>
  <si>
    <t>Shares held in affiliates</t>
  </si>
  <si>
    <t>Other investments</t>
  </si>
  <si>
    <t>Short term investments</t>
  </si>
  <si>
    <t>Prepayments</t>
  </si>
  <si>
    <t>Revaluation reserves</t>
  </si>
  <si>
    <t>Short-term finance lease</t>
  </si>
  <si>
    <t>Short term position of borrowings</t>
  </si>
  <si>
    <t>Finance lease liabilities</t>
  </si>
  <si>
    <t>Sources of information</t>
  </si>
  <si>
    <t>Scenarios</t>
  </si>
  <si>
    <t>Net reduction in value (impairment)</t>
  </si>
  <si>
    <t>Current liabilities</t>
  </si>
  <si>
    <t>Short term loans</t>
  </si>
  <si>
    <t>Total</t>
  </si>
  <si>
    <t>Income Statement</t>
  </si>
  <si>
    <t>Revenues considered: 0 - Not considered; 1 - Considered</t>
  </si>
  <si>
    <t>Method of forecasting</t>
  </si>
  <si>
    <t>Costs considered: 0 - Not considered; 1 - Considered</t>
  </si>
  <si>
    <t>Technical equipment</t>
  </si>
  <si>
    <t>Grand Total</t>
  </si>
  <si>
    <t>RON</t>
  </si>
  <si>
    <t>Useful life of new investments</t>
  </si>
  <si>
    <t>1. Macros need to be enabled (in general, a pop-up will appear to enable macros);
2. Disclaimer needs to be accepted in order to go through the model;
3. Scenarios can be run via designated buttons (i.e. Scenario 1 - Target' scenario; Scenario 2 - RM' scenario, with growth in line with market trend; Scenario 3 - RM' scenario, with growth in line with market trend, but kept at 100% capacity);
4. Each scenario is the result of combination of inputs; therefore each scenario can be adjusted by both source of input and input value.</t>
  </si>
  <si>
    <t>Synergies</t>
  </si>
  <si>
    <t>Synergies &amp; Dissynergies</t>
  </si>
  <si>
    <t>Disynergies</t>
  </si>
  <si>
    <t>Cont</t>
  </si>
  <si>
    <t>Debit</t>
  </si>
  <si>
    <t>Credit</t>
  </si>
  <si>
    <t>101</t>
  </si>
  <si>
    <t>106</t>
  </si>
  <si>
    <t>11</t>
  </si>
  <si>
    <t>12</t>
  </si>
  <si>
    <t>121</t>
  </si>
  <si>
    <t>162</t>
  </si>
  <si>
    <t>167</t>
  </si>
  <si>
    <t>20</t>
  </si>
  <si>
    <t>23</t>
  </si>
  <si>
    <t>33</t>
  </si>
  <si>
    <t>34</t>
  </si>
  <si>
    <t>38</t>
  </si>
  <si>
    <t>41</t>
  </si>
  <si>
    <t>43</t>
  </si>
  <si>
    <t>44</t>
  </si>
  <si>
    <t>45</t>
  </si>
  <si>
    <t>47</t>
  </si>
  <si>
    <t>54</t>
  </si>
  <si>
    <t>58</t>
  </si>
  <si>
    <t>60</t>
  </si>
  <si>
    <t>62</t>
  </si>
  <si>
    <t>63</t>
  </si>
  <si>
    <t>64</t>
  </si>
  <si>
    <t>66</t>
  </si>
  <si>
    <t>68</t>
  </si>
  <si>
    <t>70</t>
  </si>
  <si>
    <t>72</t>
  </si>
  <si>
    <t>76</t>
  </si>
  <si>
    <t>74</t>
  </si>
  <si>
    <t>37</t>
  </si>
  <si>
    <t>Descriere</t>
  </si>
  <si>
    <t>x</t>
  </si>
  <si>
    <t>14</t>
  </si>
  <si>
    <t>15</t>
  </si>
  <si>
    <t>Land</t>
  </si>
  <si>
    <t>Buildings</t>
  </si>
  <si>
    <t>Measurement, control and adjustment devices</t>
  </si>
  <si>
    <t>Motor vehicles</t>
  </si>
  <si>
    <t>Raw materials</t>
  </si>
  <si>
    <t>Finished goods</t>
  </si>
  <si>
    <t>Packaging materials</t>
  </si>
  <si>
    <t>Suppliers of non-current assets</t>
  </si>
  <si>
    <t>VAT payable</t>
  </si>
  <si>
    <t>Other debts payable to the Treasury</t>
  </si>
  <si>
    <t>Shareholders/ associates - current accounts</t>
  </si>
  <si>
    <t>Royalties and rental expenses</t>
  </si>
  <si>
    <t>Insurance premiums</t>
  </si>
  <si>
    <t>Entertaining, promotion and advertising</t>
  </si>
  <si>
    <t>Interest expense</t>
  </si>
  <si>
    <t>Income tax</t>
  </si>
  <si>
    <t>Services rendered</t>
  </si>
  <si>
    <t>Sale of goods purchased for resale</t>
  </si>
  <si>
    <t>Profit/ loss for the period</t>
  </si>
  <si>
    <t>Long term bank loans</t>
  </si>
  <si>
    <t>Trade receivables</t>
  </si>
  <si>
    <t>Utility</t>
  </si>
  <si>
    <t>Maintenance and repair</t>
  </si>
  <si>
    <t>Other costs</t>
  </si>
  <si>
    <t>Travel &amp; transport</t>
  </si>
  <si>
    <t>Trade and other payables</t>
  </si>
  <si>
    <t>Plant, machinery and motor vehicles</t>
  </si>
  <si>
    <t>!!! Adjustments !!!</t>
  </si>
  <si>
    <t>Trial balance</t>
  </si>
  <si>
    <t>Turnover</t>
  </si>
  <si>
    <t>Working capital</t>
  </si>
  <si>
    <t>129</t>
  </si>
  <si>
    <t>32</t>
  </si>
  <si>
    <t>111</t>
  </si>
  <si>
    <t>Valoare ramasa</t>
  </si>
  <si>
    <t>36</t>
  </si>
  <si>
    <t>Salaries and related payables</t>
  </si>
  <si>
    <t>Other financial costs</t>
  </si>
  <si>
    <t>Other financial revenues</t>
  </si>
  <si>
    <t>EUR</t>
  </si>
  <si>
    <t>Adj EUR</t>
  </si>
  <si>
    <t xml:space="preserve">('14-'16) </t>
  </si>
  <si>
    <t>n/a</t>
  </si>
  <si>
    <t>EUR thd</t>
  </si>
  <si>
    <t>('14-'16)</t>
  </si>
  <si>
    <t>('16-'17)</t>
  </si>
  <si>
    <t>Historical figures</t>
  </si>
  <si>
    <t>Item line/ operating revenues</t>
  </si>
  <si>
    <t>Change in working capital</t>
  </si>
  <si>
    <t>Loan</t>
  </si>
  <si>
    <t>Base case</t>
  </si>
  <si>
    <t>Variation 1</t>
  </si>
  <si>
    <t>Variation 2</t>
  </si>
  <si>
    <t>Variation 3</t>
  </si>
  <si>
    <t>Headcount</t>
  </si>
  <si>
    <t>Average gross salary</t>
  </si>
  <si>
    <t>Total headcount</t>
  </si>
  <si>
    <t>Cod</t>
  </si>
  <si>
    <t>105</t>
  </si>
  <si>
    <t>141</t>
  </si>
  <si>
    <t>151</t>
  </si>
  <si>
    <t>161</t>
  </si>
  <si>
    <t>168</t>
  </si>
  <si>
    <t>512.1.11</t>
  </si>
  <si>
    <t>512.1.12</t>
  </si>
  <si>
    <t>Animals and plantations</t>
  </si>
  <si>
    <t>Bearer biological assets</t>
  </si>
  <si>
    <t>Other tangible assets</t>
  </si>
  <si>
    <t>Production in progress</t>
  </si>
  <si>
    <t>Good purchased for resale</t>
  </si>
  <si>
    <t>Investment subsidies</t>
  </si>
  <si>
    <t>Sale of finished goods</t>
  </si>
  <si>
    <t>Sale of semifinished goods</t>
  </si>
  <si>
    <t>Revenues associated to the production cost</t>
  </si>
  <si>
    <t>Production capacity</t>
  </si>
  <si>
    <t>Utilization rate</t>
  </si>
  <si>
    <t>Quota of previous year</t>
  </si>
  <si>
    <t>Forecast</t>
  </si>
  <si>
    <t>Marginal increase due to investments</t>
  </si>
  <si>
    <t>Average salary</t>
  </si>
  <si>
    <t>EUR/ month/ employee</t>
  </si>
  <si>
    <t>Total salaries</t>
  </si>
  <si>
    <t>Total operating revenues, except revenues from investment subsidies, fines and penalties</t>
  </si>
  <si>
    <t>Revenues from investment subsidies, fines and penalties</t>
  </si>
  <si>
    <t>Operating revenues, except revenues from investment subsidies, fines and penalties</t>
  </si>
  <si>
    <t>Valoare</t>
  </si>
  <si>
    <t>24</t>
  </si>
  <si>
    <t>35</t>
  </si>
  <si>
    <t>180</t>
  </si>
  <si>
    <t>120</t>
  </si>
  <si>
    <t>138</t>
  </si>
  <si>
    <t>96</t>
  </si>
  <si>
    <t>48</t>
  </si>
  <si>
    <t>174</t>
  </si>
  <si>
    <t>108</t>
  </si>
  <si>
    <t>95</t>
  </si>
  <si>
    <t>103</t>
  </si>
  <si>
    <t>17</t>
  </si>
  <si>
    <t>80</t>
  </si>
  <si>
    <t>49</t>
  </si>
  <si>
    <t>77</t>
  </si>
  <si>
    <t>97</t>
  </si>
  <si>
    <t>78</t>
  </si>
  <si>
    <t>52</t>
  </si>
  <si>
    <t>99</t>
  </si>
  <si>
    <t>172</t>
  </si>
  <si>
    <t>83</t>
  </si>
  <si>
    <t>110</t>
  </si>
  <si>
    <t>109</t>
  </si>
  <si>
    <t>132</t>
  </si>
  <si>
    <t>100</t>
  </si>
  <si>
    <t>144</t>
  </si>
  <si>
    <t>19</t>
  </si>
  <si>
    <t>90</t>
  </si>
  <si>
    <t>94</t>
  </si>
  <si>
    <t>93</t>
  </si>
  <si>
    <t>18</t>
  </si>
  <si>
    <t>8</t>
  </si>
  <si>
    <t>56</t>
  </si>
  <si>
    <t>39</t>
  </si>
  <si>
    <t>82</t>
  </si>
  <si>
    <t>92</t>
  </si>
  <si>
    <t>86</t>
  </si>
  <si>
    <t>91</t>
  </si>
  <si>
    <t>115</t>
  </si>
  <si>
    <t>85</t>
  </si>
  <si>
    <t>107</t>
  </si>
  <si>
    <t>29</t>
  </si>
  <si>
    <t>81</t>
  </si>
  <si>
    <t>118</t>
  </si>
  <si>
    <t>CAPEX details</t>
  </si>
  <si>
    <t>Production capacities</t>
  </si>
  <si>
    <t>Production facilities</t>
  </si>
  <si>
    <t>Maintenance CAPEX</t>
  </si>
  <si>
    <t>1</t>
  </si>
  <si>
    <t>Other operating revenues except revenues from subsidiese, fines and penalties</t>
  </si>
  <si>
    <t>Operational activity</t>
  </si>
  <si>
    <t>Gross Profit</t>
  </si>
  <si>
    <t>Net provisions</t>
  </si>
  <si>
    <t>Employee benefits</t>
  </si>
  <si>
    <t>Cash generated from operational activity</t>
  </si>
  <si>
    <t>Taxes</t>
  </si>
  <si>
    <t>Cash generated from other operational activities</t>
  </si>
  <si>
    <t>CF generated from operational activity</t>
  </si>
  <si>
    <t>Investment activity</t>
  </si>
  <si>
    <t>Investments in intangible and financial assets</t>
  </si>
  <si>
    <t>CF generated from investment activity</t>
  </si>
  <si>
    <t>Financial activity</t>
  </si>
  <si>
    <t>Obtained loans</t>
  </si>
  <si>
    <t>Reimbursed loans</t>
  </si>
  <si>
    <t>Overdraft (+/-)</t>
  </si>
  <si>
    <t>Dividends paid</t>
  </si>
  <si>
    <t>Equity increases</t>
  </si>
  <si>
    <t>Grants received</t>
  </si>
  <si>
    <t>CF generated from financial activity</t>
  </si>
  <si>
    <t>Net Cash flow</t>
  </si>
  <si>
    <t>Annual Cash flow</t>
  </si>
  <si>
    <t>Cash at beginning of period</t>
  </si>
  <si>
    <t>Net cash flow</t>
  </si>
  <si>
    <t>Cumulated cash flow</t>
  </si>
  <si>
    <t>Balance sheet</t>
  </si>
  <si>
    <t>Lei/ EUR av</t>
  </si>
  <si>
    <t>Except revenues from investment subsidies, fines and penalties</t>
  </si>
  <si>
    <t>('17-'20)</t>
  </si>
  <si>
    <t>Financial loss</t>
  </si>
  <si>
    <t>Adjusted</t>
  </si>
  <si>
    <t xml:space="preserve">('17-'16) </t>
  </si>
  <si>
    <t>Other operating revenues, of which:</t>
  </si>
  <si>
    <t>Operating expenditures</t>
  </si>
  <si>
    <t>2014a</t>
  </si>
  <si>
    <t>2015a</t>
  </si>
  <si>
    <t>2016a</t>
  </si>
  <si>
    <t>H1 2017a</t>
  </si>
  <si>
    <t>EUR ('000)</t>
  </si>
  <si>
    <t>Historical Profit &amp; Loss - 2014 - H1 2017</t>
  </si>
  <si>
    <t>CAGR 2014-2016</t>
  </si>
  <si>
    <t>Total non-current assets</t>
  </si>
  <si>
    <t>Total current assets</t>
  </si>
  <si>
    <t>Total equity</t>
  </si>
  <si>
    <t>Total short term liabilities</t>
  </si>
  <si>
    <t>Total long term liabilities</t>
  </si>
  <si>
    <t>Historical Balance Sheet - 2014 - H1 2017</t>
  </si>
  <si>
    <t>31.12.2014</t>
  </si>
  <si>
    <t>31.12.2015</t>
  </si>
  <si>
    <t>31.12.2016</t>
  </si>
  <si>
    <t>30.06.2017</t>
  </si>
  <si>
    <t>EBITDA mg (%)</t>
  </si>
  <si>
    <t>EBIT mg (%)</t>
  </si>
  <si>
    <t>EBT mg (%)</t>
  </si>
  <si>
    <t>EAT mg (%)</t>
  </si>
  <si>
    <t>Forecasted Balance Sheet - 2017 - 2020</t>
  </si>
  <si>
    <t>Forecasted Profit &amp; Loss - 2017 - 2020</t>
  </si>
  <si>
    <t>2017e</t>
  </si>
  <si>
    <t>2018f</t>
  </si>
  <si>
    <t>2019f</t>
  </si>
  <si>
    <t>2020f</t>
  </si>
  <si>
    <t>CAGR 2017-2020</t>
  </si>
  <si>
    <t>31.12.2020</t>
  </si>
  <si>
    <t>31.12.2019</t>
  </si>
  <si>
    <t>31.12.2018</t>
  </si>
  <si>
    <t>31.12.2017</t>
  </si>
  <si>
    <t>Financial KPIs - 2014a - 2020f</t>
  </si>
  <si>
    <t>CAGR 2014-2020</t>
  </si>
  <si>
    <t>Operating revenues, out of which:</t>
  </si>
  <si>
    <t>Sales</t>
  </si>
  <si>
    <t>Interest bearing debt, including shareholder loans</t>
  </si>
  <si>
    <t>Main operational assumptions</t>
  </si>
  <si>
    <t>Average price (EUR/ kg)</t>
  </si>
  <si>
    <t>Proceeds from disposals</t>
  </si>
  <si>
    <t>Other debts payables to the Treasury</t>
  </si>
  <si>
    <t>VAT payable/ receivable</t>
  </si>
  <si>
    <t>Net income</t>
  </si>
  <si>
    <t>EBITDA 2014</t>
  </si>
  <si>
    <t>EBITDA 2016</t>
  </si>
  <si>
    <t>Subsidies and revenues from subsidies</t>
  </si>
  <si>
    <t>Non-reimbursable financing</t>
  </si>
  <si>
    <t>Revenues from new subsidies</t>
  </si>
  <si>
    <t>Denumire</t>
  </si>
  <si>
    <t>e</t>
  </si>
  <si>
    <t>EBTIDA 2014</t>
  </si>
  <si>
    <t>Total Operating Revenues</t>
  </si>
  <si>
    <t>Raw Materials</t>
  </si>
  <si>
    <t>Other operating expenditures</t>
  </si>
  <si>
    <t>Other operational expenses</t>
  </si>
  <si>
    <t>Total Operating revenues</t>
  </si>
  <si>
    <t>Ebitda 2016</t>
  </si>
  <si>
    <t>EBITDA Bridge 2014 - 2016</t>
  </si>
  <si>
    <t>Tabel Pag.6 (RO)</t>
  </si>
  <si>
    <t>Tabel Pag.6 (EN)</t>
  </si>
  <si>
    <t xml:space="preserve"> Indicatori de performanta financiara 2014a-2020f</t>
  </si>
  <si>
    <t xml:space="preserve"> Financial KPIs - 2014a - 2020f</t>
  </si>
  <si>
    <t>mii EUR</t>
  </si>
  <si>
    <t xml:space="preserve"> Venituri operationale din care:</t>
  </si>
  <si>
    <t xml:space="preserve"> Operating revenues, out of which:</t>
  </si>
  <si>
    <t xml:space="preserve"> Vanzari produse finite</t>
  </si>
  <si>
    <t xml:space="preserve"> Sales</t>
  </si>
  <si>
    <t xml:space="preserve"> EBITDA</t>
  </si>
  <si>
    <t xml:space="preserve"> Marja EBITDA (%)</t>
  </si>
  <si>
    <t xml:space="preserve"> EBITDA mg (%)</t>
  </si>
  <si>
    <t xml:space="preserve"> Datorii purtatoare de dobanda, inclusiv imprumuturi de la actionari</t>
  </si>
  <si>
    <t xml:space="preserve"> Interest bearing debt, including shareholder loans</t>
  </si>
  <si>
    <t>Grafic: Capacitate de productie vs. rentabilitate</t>
  </si>
  <si>
    <t xml:space="preserve">Graph: Installed production capacity vs. profitability </t>
  </si>
  <si>
    <t>Vanzari</t>
  </si>
  <si>
    <t>Capacitatea de productie (to/ zi)</t>
  </si>
  <si>
    <t>Installed production capacity (to/ day)</t>
  </si>
  <si>
    <t>Venituri operationale</t>
  </si>
  <si>
    <t>Materii prime</t>
  </si>
  <si>
    <t>Consumabile</t>
  </si>
  <si>
    <t>Salarii si costuri aferente</t>
  </si>
  <si>
    <t>Alte cheltuieli operationale</t>
  </si>
  <si>
    <t>Pag 11 Grafic Evolutie EBITDA (2014-2016)</t>
  </si>
  <si>
    <t>EUR mn</t>
  </si>
  <si>
    <t>Marja EBITDA</t>
  </si>
  <si>
    <t>EBITDA Margin</t>
  </si>
  <si>
    <t>Capacitate de productie</t>
  </si>
  <si>
    <t>Grad de utilizare a capacitatii de productie</t>
  </si>
  <si>
    <t>Utilization of production capacity</t>
  </si>
  <si>
    <t>Capacitate de productie (to/ an)</t>
  </si>
  <si>
    <t>Production capacity (to/ year)</t>
  </si>
  <si>
    <t>Grad de utilizare</t>
  </si>
  <si>
    <t>Biscuiti dulci</t>
  </si>
  <si>
    <t>Snacks</t>
  </si>
  <si>
    <t>Sweet biscuits</t>
  </si>
  <si>
    <t>Value</t>
  </si>
  <si>
    <t>Volum</t>
  </si>
  <si>
    <t>Volume</t>
  </si>
  <si>
    <t>Consum mediu pe cap de locuitor</t>
  </si>
  <si>
    <t>Ranking based on average consumption per capita</t>
  </si>
  <si>
    <t>Polonia</t>
  </si>
  <si>
    <t>Poland</t>
  </si>
  <si>
    <t>Bulgaria</t>
  </si>
  <si>
    <t>Romania</t>
  </si>
  <si>
    <t>Ungaria</t>
  </si>
  <si>
    <t>Hungary</t>
  </si>
  <si>
    <t>Germania</t>
  </si>
  <si>
    <t>Germany</t>
  </si>
  <si>
    <t>Italia</t>
  </si>
  <si>
    <t>Italy</t>
  </si>
  <si>
    <t>Franta</t>
  </si>
  <si>
    <t>France</t>
  </si>
  <si>
    <t>mil. EUR</t>
  </si>
  <si>
    <t>Total Budget for Commercials (TV, online and others)</t>
  </si>
  <si>
    <t>Budget (TV Commercials)</t>
  </si>
  <si>
    <t>Budget (Street Commercials)</t>
  </si>
  <si>
    <t>Cheltuieli de promovare (mii EUR)</t>
  </si>
  <si>
    <t>Expenses with raw materials and consumables</t>
  </si>
  <si>
    <t>Cheltuieli cu materii prime si consumabile</t>
  </si>
  <si>
    <t>eur thd</t>
  </si>
  <si>
    <t>total</t>
  </si>
  <si>
    <t>Cifra de afaceri</t>
  </si>
  <si>
    <t>Profit net</t>
  </si>
  <si>
    <t>Net Profit</t>
  </si>
  <si>
    <t>Active curente</t>
  </si>
  <si>
    <t>Active necorporale</t>
  </si>
  <si>
    <t>Capital propriu</t>
  </si>
  <si>
    <t>Datorii pe termen scurt</t>
  </si>
  <si>
    <t>Datorii pe termen lung</t>
  </si>
  <si>
    <t xml:space="preserve"> Contul de profit si pierdere istoric - 2014 - H1 2017</t>
  </si>
  <si>
    <t>Mii EUR</t>
  </si>
  <si>
    <t xml:space="preserve"> Cifra de afaceri</t>
  </si>
  <si>
    <t xml:space="preserve"> Venituri din vanzarea produselor finite</t>
  </si>
  <si>
    <t xml:space="preserve"> Venituri din vanzarea semifabricatelor</t>
  </si>
  <si>
    <t xml:space="preserve"> Venituri din vanzarea marfurlor</t>
  </si>
  <si>
    <t xml:space="preserve"> Venituri aferente costului de productie</t>
  </si>
  <si>
    <t xml:space="preserve"> Alte venituri operationale</t>
  </si>
  <si>
    <t xml:space="preserve"> Venituri din subventii pentru investitii, amenzi si penalitati</t>
  </si>
  <si>
    <t xml:space="preserve"> Venituri operationale</t>
  </si>
  <si>
    <t xml:space="preserve"> Salarii si costuri aferente</t>
  </si>
  <si>
    <t xml:space="preserve">      Salarii</t>
  </si>
  <si>
    <t xml:space="preserve">      Cheltuieli privind asigurarile si protectia sociala</t>
  </si>
  <si>
    <t xml:space="preserve">     Tichete de masa</t>
  </si>
  <si>
    <t xml:space="preserve"> Alte cheltuieli operationale</t>
  </si>
  <si>
    <t xml:space="preserve">      Cheltuieli cu materii prime</t>
  </si>
  <si>
    <t xml:space="preserve">      Cheltuieli cu materialele consumabile</t>
  </si>
  <si>
    <t xml:space="preserve">      Cheltuieli privind ambalajele</t>
  </si>
  <si>
    <t xml:space="preserve">      Cheltuieli cu utilitatile</t>
  </si>
  <si>
    <t xml:space="preserve">      Cheltuieli cu intretinerea si reparatiile</t>
  </si>
  <si>
    <t xml:space="preserve">      Cheltuieli cu primele de asigurare</t>
  </si>
  <si>
    <t xml:space="preserve">      Cheltuieli de protocol, reclama si publicitate</t>
  </si>
  <si>
    <t xml:space="preserve">      Cheltuieli cu deplasari, detasari si transferari</t>
  </si>
  <si>
    <t xml:space="preserve">      Cheltuieli cu serviciile executate de terti</t>
  </si>
  <si>
    <t xml:space="preserve">      Alte costuri</t>
  </si>
  <si>
    <t xml:space="preserve"> Cheltuieli operationale</t>
  </si>
  <si>
    <t xml:space="preserve"> Depreciere</t>
  </si>
  <si>
    <t xml:space="preserve"> EBIT</t>
  </si>
  <si>
    <t xml:space="preserve"> EBIT mg (%)</t>
  </si>
  <si>
    <t xml:space="preserve">      Cheltuieli din diferente de curs valutar</t>
  </si>
  <si>
    <t xml:space="preserve">      Cheltuieli privind dobanzile</t>
  </si>
  <si>
    <t xml:space="preserve">      Alte cheltuieli financiare</t>
  </si>
  <si>
    <t xml:space="preserve">      Venituri din diferente de curs valutar</t>
  </si>
  <si>
    <t xml:space="preserve">      Venituri din dobanzi</t>
  </si>
  <si>
    <t xml:space="preserve">      Alte venituri financiare</t>
  </si>
  <si>
    <t xml:space="preserve"> Pierderi financiare</t>
  </si>
  <si>
    <t xml:space="preserve"> EBT</t>
  </si>
  <si>
    <t xml:space="preserve"> EBT mg (%)</t>
  </si>
  <si>
    <t xml:space="preserve"> Impozit pe profit</t>
  </si>
  <si>
    <t xml:space="preserve"> EAT</t>
  </si>
  <si>
    <t xml:space="preserve"> EAT mg (%)</t>
  </si>
  <si>
    <t xml:space="preserve"> Historical Profit &amp; Loss - 2014 - H1 2017</t>
  </si>
  <si>
    <t xml:space="preserve"> Turnover</t>
  </si>
  <si>
    <t xml:space="preserve"> Sale of finished goods</t>
  </si>
  <si>
    <t xml:space="preserve"> Sale of semifinished goods</t>
  </si>
  <si>
    <t xml:space="preserve"> Sale of goods purchased for resale</t>
  </si>
  <si>
    <t xml:space="preserve"> Revenues associated with production costs</t>
  </si>
  <si>
    <t xml:space="preserve"> Other operating revenues, of which:</t>
  </si>
  <si>
    <t xml:space="preserve"> Revenues from investment subsidies, fines and penalties</t>
  </si>
  <si>
    <t xml:space="preserve"> Operating revenues</t>
  </si>
  <si>
    <t xml:space="preserve"> Salaries, wages and related costs</t>
  </si>
  <si>
    <t xml:space="preserve"> Salaries</t>
  </si>
  <si>
    <t xml:space="preserve"> Social security contributions</t>
  </si>
  <si>
    <t xml:space="preserve"> Meal tickets</t>
  </si>
  <si>
    <t xml:space="preserve"> Other operating expenses</t>
  </si>
  <si>
    <t xml:space="preserve"> Raw materials</t>
  </si>
  <si>
    <t xml:space="preserve"> Consumables</t>
  </si>
  <si>
    <t xml:space="preserve"> Packaging materials</t>
  </si>
  <si>
    <t xml:space="preserve"> Utilities</t>
  </si>
  <si>
    <t xml:space="preserve"> Maintenance and repair</t>
  </si>
  <si>
    <t xml:space="preserve"> Royalties and rental expenses</t>
  </si>
  <si>
    <t xml:space="preserve"> Insurance premiums</t>
  </si>
  <si>
    <t xml:space="preserve"> Entertaining, promotion and advertising</t>
  </si>
  <si>
    <t xml:space="preserve"> Travel &amp; transport</t>
  </si>
  <si>
    <t xml:space="preserve"> Third party services</t>
  </si>
  <si>
    <t xml:space="preserve"> Other costs</t>
  </si>
  <si>
    <t xml:space="preserve"> Operating expenditures</t>
  </si>
  <si>
    <t xml:space="preserve"> Depreciation</t>
  </si>
  <si>
    <t xml:space="preserve"> Foreign exchange losses</t>
  </si>
  <si>
    <t xml:space="preserve"> Interest expenses</t>
  </si>
  <si>
    <t xml:space="preserve"> Other financial costs</t>
  </si>
  <si>
    <t xml:space="preserve"> Foreign exchange gains</t>
  </si>
  <si>
    <t xml:space="preserve"> Interest income</t>
  </si>
  <si>
    <t xml:space="preserve"> Other financial revenues</t>
  </si>
  <si>
    <t xml:space="preserve"> Financial loss</t>
  </si>
  <si>
    <t xml:space="preserve"> Income tax</t>
  </si>
  <si>
    <t xml:space="preserve"> Historical Balance Sheet - 2014 - H1 2017</t>
  </si>
  <si>
    <t xml:space="preserve"> Intangible assets</t>
  </si>
  <si>
    <t xml:space="preserve"> Tangible assets</t>
  </si>
  <si>
    <t xml:space="preserve"> Land</t>
  </si>
  <si>
    <t xml:space="preserve"> Buildings</t>
  </si>
  <si>
    <t xml:space="preserve"> Plant, machinery and motor vehicles</t>
  </si>
  <si>
    <t xml:space="preserve"> Fixtures and fittings</t>
  </si>
  <si>
    <t xml:space="preserve"> Bearer biological assets</t>
  </si>
  <si>
    <t xml:space="preserve"> Tangible assets in progress</t>
  </si>
  <si>
    <t xml:space="preserve"> Total non-current assets</t>
  </si>
  <si>
    <t xml:space="preserve"> Inventories</t>
  </si>
  <si>
    <t xml:space="preserve"> Finished goods</t>
  </si>
  <si>
    <t xml:space="preserve"> Good purchased for resale</t>
  </si>
  <si>
    <t xml:space="preserve"> Trade receivables</t>
  </si>
  <si>
    <t xml:space="preserve"> Other receivables</t>
  </si>
  <si>
    <t xml:space="preserve"> Prepayments</t>
  </si>
  <si>
    <t xml:space="preserve"> Cash and cash equivalents</t>
  </si>
  <si>
    <t xml:space="preserve"> Total current assets</t>
  </si>
  <si>
    <t xml:space="preserve"> Total assets</t>
  </si>
  <si>
    <t xml:space="preserve"> Share capital</t>
  </si>
  <si>
    <t xml:space="preserve"> Legal reserves</t>
  </si>
  <si>
    <t xml:space="preserve"> Other reserves</t>
  </si>
  <si>
    <t xml:space="preserve"> Retained earnings</t>
  </si>
  <si>
    <t xml:space="preserve"> Profit/ loss for the period</t>
  </si>
  <si>
    <t xml:space="preserve"> Profit appropriation</t>
  </si>
  <si>
    <t xml:space="preserve"> Total equity</t>
  </si>
  <si>
    <t xml:space="preserve"> ST interest bearing debt</t>
  </si>
  <si>
    <t xml:space="preserve"> Provisions</t>
  </si>
  <si>
    <t xml:space="preserve"> Trade and other payables</t>
  </si>
  <si>
    <t xml:space="preserve"> Advances from clients</t>
  </si>
  <si>
    <t xml:space="preserve"> Trade payables</t>
  </si>
  <si>
    <t xml:space="preserve"> Suppliers of non-current assets</t>
  </si>
  <si>
    <t xml:space="preserve"> Salaries and related payables</t>
  </si>
  <si>
    <t xml:space="preserve"> VAT payable</t>
  </si>
  <si>
    <t xml:space="preserve"> Shareholders/ associates - current accounts</t>
  </si>
  <si>
    <t xml:space="preserve"> Other payables and accrued expenses</t>
  </si>
  <si>
    <t xml:space="preserve"> Deferred income</t>
  </si>
  <si>
    <t xml:space="preserve"> Investment subsidies</t>
  </si>
  <si>
    <t xml:space="preserve"> Total short term liabilities</t>
  </si>
  <si>
    <t xml:space="preserve"> Long term liabilities</t>
  </si>
  <si>
    <t xml:space="preserve"> Total liabilities</t>
  </si>
  <si>
    <t xml:space="preserve"> Total equity &amp; liabilities</t>
  </si>
  <si>
    <t xml:space="preserve"> Bilantul contabil istoric - 2014 - H1 2017</t>
  </si>
  <si>
    <t xml:space="preserve"> Imobilizari necorporale</t>
  </si>
  <si>
    <t xml:space="preserve"> Imobilizari corporale</t>
  </si>
  <si>
    <t xml:space="preserve"> Teren</t>
  </si>
  <si>
    <t xml:space="preserve"> Constructii</t>
  </si>
  <si>
    <t xml:space="preserve"> Instalatii tehnice, mijloace de transport, animale si plantatii </t>
  </si>
  <si>
    <t xml:space="preserve"> Mobilier, aparatura birotica, echipamente de protectie a valorilor umane si materiale si alte active corporale</t>
  </si>
  <si>
    <t xml:space="preserve"> Active biologice productive</t>
  </si>
  <si>
    <t xml:space="preserve"> Imobilizari corporale in curs de executie</t>
  </si>
  <si>
    <t xml:space="preserve"> Total active imobilizate</t>
  </si>
  <si>
    <t xml:space="preserve"> Stocuri</t>
  </si>
  <si>
    <t xml:space="preserve"> Produse finite</t>
  </si>
  <si>
    <t xml:space="preserve"> Marfuri</t>
  </si>
  <si>
    <t xml:space="preserve"> Creante comerciale</t>
  </si>
  <si>
    <t xml:space="preserve"> Alte creante</t>
  </si>
  <si>
    <t xml:space="preserve"> Plati anticipate</t>
  </si>
  <si>
    <t xml:space="preserve"> Numerar si echivalente de numerar</t>
  </si>
  <si>
    <t xml:space="preserve"> Total active curente</t>
  </si>
  <si>
    <t xml:space="preserve"> Total active</t>
  </si>
  <si>
    <t xml:space="preserve"> Capital social</t>
  </si>
  <si>
    <t xml:space="preserve"> Rezerve legale</t>
  </si>
  <si>
    <t xml:space="preserve"> Alte rezerve</t>
  </si>
  <si>
    <t xml:space="preserve"> Rezultatul reportat</t>
  </si>
  <si>
    <t xml:space="preserve"> Profit sau pierdere</t>
  </si>
  <si>
    <t xml:space="preserve"> Repartizarea profitului</t>
  </si>
  <si>
    <t xml:space="preserve"> Total capital propriu</t>
  </si>
  <si>
    <t xml:space="preserve"> Datorii purtatoare de dobanda pe termen scurt </t>
  </si>
  <si>
    <t xml:space="preserve"> Provizioane</t>
  </si>
  <si>
    <t xml:space="preserve"> Datorii comerciale si alte datorii</t>
  </si>
  <si>
    <t xml:space="preserve"> Clienti creditori</t>
  </si>
  <si>
    <t xml:space="preserve"> Datorii comerciale</t>
  </si>
  <si>
    <t xml:space="preserve"> Furnizori de imobilizari</t>
  </si>
  <si>
    <t xml:space="preserve"> Salarii si alte datorii cu personalul</t>
  </si>
  <si>
    <t xml:space="preserve"> TVA de plata</t>
  </si>
  <si>
    <t xml:space="preserve"> Asociati - conturi curente</t>
  </si>
  <si>
    <t xml:space="preserve"> Alte datorii</t>
  </si>
  <si>
    <t xml:space="preserve"> Venituri amanate</t>
  </si>
  <si>
    <t xml:space="preserve"> Subventii pentru investitii</t>
  </si>
  <si>
    <t xml:space="preserve"> Total datorii pe termen scurt</t>
  </si>
  <si>
    <t xml:space="preserve"> Datorii pe termen lung</t>
  </si>
  <si>
    <t xml:space="preserve"> Total datorii</t>
  </si>
  <si>
    <t xml:space="preserve"> Total capitaluri priprii si datorii</t>
  </si>
  <si>
    <t xml:space="preserve"> Principalele ipoteze operationale</t>
  </si>
  <si>
    <t xml:space="preserve"> Linie productie sticks-uri  - 2012</t>
  </si>
  <si>
    <t xml:space="preserve"> Linie productie crackers &amp; brezel  – 2002</t>
  </si>
  <si>
    <t xml:space="preserve"> Linie productie crackers &amp; brezel  – 2003</t>
  </si>
  <si>
    <t xml:space="preserve"> Linie de productie noua crackers &amp; brezel – 2017</t>
  </si>
  <si>
    <t xml:space="preserve"> Linie de productie noua pentru produse noi – 2018</t>
  </si>
  <si>
    <t xml:space="preserve"> Linie de productie noua pentru produse noi - 2019</t>
  </si>
  <si>
    <t xml:space="preserve"> Pretul mediu (EUR/ kg)</t>
  </si>
  <si>
    <t xml:space="preserve"> Capacitatea instalata – maxima (to/ zi)</t>
  </si>
  <si>
    <t>Maximum installed capacity (to/ day)</t>
  </si>
  <si>
    <t xml:space="preserve"> Linie de productie noua pentru produse noi – 2019</t>
  </si>
  <si>
    <t xml:space="preserve"> Linie productie biscuiti dulci - 1998</t>
  </si>
  <si>
    <t>Maximum installed capacity (kg/ h)</t>
  </si>
  <si>
    <t>Capacitatea maxima instalata (to/ zi)</t>
  </si>
  <si>
    <t>Pret mediu (EUR/ kg)</t>
  </si>
  <si>
    <t xml:space="preserve"> Contul de profit si pierdere previzionat - 2017 - 2020</t>
  </si>
  <si>
    <t xml:space="preserve">Mii EUR </t>
  </si>
  <si>
    <t xml:space="preserve">       Venituri din vanzarea produselor finite</t>
  </si>
  <si>
    <t xml:space="preserve">       Venituri din vanzarea semifabricatelor</t>
  </si>
  <si>
    <t xml:space="preserve">       Venituri din vanzarea marfurlor alimentare</t>
  </si>
  <si>
    <t xml:space="preserve">        Venituri aferente costului de productie</t>
  </si>
  <si>
    <t xml:space="preserve">        Salarii</t>
  </si>
  <si>
    <t xml:space="preserve">        Cheltuieli privind asigurarile si protectia sociala</t>
  </si>
  <si>
    <t xml:space="preserve">        Tichete de masa</t>
  </si>
  <si>
    <t xml:space="preserve">        Cheltuieli cu materii prime</t>
  </si>
  <si>
    <t xml:space="preserve">        Cheltuieli cu materialele consumabile</t>
  </si>
  <si>
    <t xml:space="preserve">        Cheltuieli privind ambalajele</t>
  </si>
  <si>
    <t xml:space="preserve">        Cheltuieli cu utilitatile</t>
  </si>
  <si>
    <t xml:space="preserve">        Cheltuieli cu intretinerea si reparatiile</t>
  </si>
  <si>
    <t xml:space="preserve">        Cheltuieli cu primele de asigurare</t>
  </si>
  <si>
    <t xml:space="preserve">        Cheltuieli de protocol, reclama si publicitate</t>
  </si>
  <si>
    <t xml:space="preserve">        Cheltuieli cu deplasari, detasari si transferari</t>
  </si>
  <si>
    <t xml:space="preserve">        Cheltuieli cu serviciile executate de terti</t>
  </si>
  <si>
    <t xml:space="preserve">        Alte costuri</t>
  </si>
  <si>
    <t xml:space="preserve">        Cheltuieli din diferente de curs valutar</t>
  </si>
  <si>
    <t xml:space="preserve">        Cheltuieli privind dobanzile</t>
  </si>
  <si>
    <t xml:space="preserve">        Alte cheltuieli financiare</t>
  </si>
  <si>
    <t xml:space="preserve">        Venituri din diferente de curs valutar</t>
  </si>
  <si>
    <t xml:space="preserve">        Venituri din dobanzi</t>
  </si>
  <si>
    <t xml:space="preserve">        Alte venituri financiare</t>
  </si>
  <si>
    <t xml:space="preserve"> Forecasted Profit &amp; Loss - 2017 - 2020</t>
  </si>
  <si>
    <t>Salarii si cheltuieli aferente</t>
  </si>
  <si>
    <t xml:space="preserve"> Bilantul contabil previzionat - 2017 - 2020</t>
  </si>
  <si>
    <t xml:space="preserve">mii EUR </t>
  </si>
  <si>
    <t xml:space="preserve"> Forecasted Balance Sheet - 2017 - 2020</t>
  </si>
  <si>
    <t xml:space="preserve">        Cheltuieli cu redeventele, locatiile de gestiune si chiriile</t>
  </si>
  <si>
    <t xml:space="preserve">      Cheltuieli cu redeventele, locatiile de gestiune si chiriile</t>
  </si>
  <si>
    <t>operating expenditures</t>
  </si>
  <si>
    <t>check</t>
  </si>
  <si>
    <t>163</t>
  </si>
  <si>
    <t>150</t>
  </si>
  <si>
    <t/>
  </si>
  <si>
    <t>IMPORTANT NOTICE
This Financial Model (the "Model") has been prepared exclusively based on the instructions and scope established and in accordance with the terms and conditions stipulated in the Advisory Services Contract. It was prepared solely for the purpose of assisting Mr. Florin Niculescu/ Horeco Impex S.R.L. (the "Client" or "Horeco" or “you”) in connection with your intended disposal (the “Project”) of Horeco Impex S.R.L. (the “Target”) shares. This Model is strictly private and confidential and cannot be disclosed, referred to, made public or distributed in any way without the prior written permission of KPMG Advisory SRL (the "Consultant", “KPMG” or “we”), except in cases where such activities are specifically allowed by the clauses of the Advisory Services Contract. The Client or any party specifically identified in the Advisory Services Contract are exclusively authorized to use any information from this Model taking into account in any cases the limitations stipulated herein and in the Advisory Services Contract. If a third party decides to use any information from this document, it may not rely on it for any purposes whatsoever, such use being made at its own risk and the Consultant has no responsibility. 
We would like to point out that this Model which was built by KPMG s not a software package, but rather a data set created within Microsoft Excel® which is individually adjusted to the requirements of our client. As set out above, the Model as described is created within Microsoft Excel®. According to Microsoft, Microsoft Excel® is compatible with newer versions of itself. As such, KPMG does not take any responsibility for errors in the Microsoft Excel® application itself or for problems caused by any incompatibility of the application with subsequent versions of Microsoft Excel®. If any technical problems appear in this context in the use of the Model, KPMG may be able to check the problems, subject to an amendment to be agreed with the Client, and to suggest a solution. KPMG does not provide any guarantee or other form of warranty regarding data security or security regarding application errors of the Model. Usage of the Model is the responsibility of the specific user. We would like to point out that even minor modifications of the Model can result in significant changes to the results. KPMG therefore cannot take responsibility for the functionality of the Model in the event of any changes made to the Model. 
This Model is preliminary and subject to change and update of information regarding the Project, as well as updates on the analytical procedures performed that may occur as the Project evolves. The information contained in this Model is selective and subject to update, expansion, revision and amendment. This Model compiles information based on inquiries and analyses of information made available to the Consultant by the Target and/or the Client. In addition, this Model is subject to internal review and, subsequently, it may be amended in terms of analytical procedures and key inputs. To the extent to which this Model relates to forecasts and estimates, it should be noted that usually there are differences between such forecasts or estimates and the actual results, as events and circumstances do not occur as expected and these differences may be significant. For this reason, the Consultant does not accept any responsibility for such differences or for the precision or degree of fulfilment of any estimates or forecasts, or for the adequacy, completeness or accuracy of the Model or the assumptions on which it is based and all liability therefore is expressly excluded. While KPMG has prepared this Model in good faith, no warranty expressed or implied made in respect of the accuracy, completeness or appropriateness of its assumptions, calculations or results. In addition, the Consultant does not warrant that the implementation of any recommendations that might be made (in accordance with the terms of reference) will deliver a desired or expected outcome. There is a considerable degree of judgment involved in the preparation of recommendations and, the Consultant's recommendations are based on the information made available at the date of this Draft Model. This information may not be sufficient to ensure that the recommendations produce the desired outcome. Any such recommendations will be made based on the anticipated achievement of certain economic, operating, developmental and trading assumptions about future events and actions that have not yet occurred and may not necessarily occur. Further, implementation related events frequently impact the outcome of applied recommendations. The Client will take sole responsibility for the outcome of any decisions made. The Consultant will indicate within the Model the sources of the information presented and will satisfy ourselves, as far as possible, that the information presented is consistent with other information made available in the course of Consultant's work in accordance with the terms of the Advisory Services Contract. The Consultant will not, however, seek to establish the reliability of the sources by reference to other evidence, except as may be specifically agreed in writing. All users of this Model are accordingly advised to undertake their own review of its assumptions, calculations and results before making use of the results or relying upon the Draft Model.</t>
  </si>
  <si>
    <t>('16-'18)</t>
  </si>
  <si>
    <t>('18-'19)</t>
  </si>
  <si>
    <t>('19-'22)</t>
  </si>
  <si>
    <t>HORECO IMPEX SRL</t>
  </si>
  <si>
    <t>decembrie/2016</t>
  </si>
  <si>
    <t>Cod fiscal:RO7228058</t>
  </si>
  <si>
    <t>Pag:1</t>
  </si>
  <si>
    <t>BALANTA de VERIFICARE</t>
  </si>
  <si>
    <t>Nr.Reg.Comert:J10/358/1995</t>
  </si>
  <si>
    <t>26-03-2019/15.43</t>
  </si>
  <si>
    <t xml:space="preserve">SPATARU DN                                                                                                                      </t>
  </si>
  <si>
    <t>CONTUL</t>
  </si>
  <si>
    <t>SUME PRECEDENTE</t>
  </si>
  <si>
    <t>RULAJ CURENT</t>
  </si>
  <si>
    <t>SUME FINALE</t>
  </si>
  <si>
    <t>SOLD FINAL</t>
  </si>
  <si>
    <t>Simbol</t>
  </si>
  <si>
    <t>Debitor</t>
  </si>
  <si>
    <t>Creditor</t>
  </si>
  <si>
    <t>101    *</t>
  </si>
  <si>
    <t xml:space="preserve">Capital                     </t>
  </si>
  <si>
    <t>Capital subscris varsat</t>
  </si>
  <si>
    <t xml:space="preserve">101.2   </t>
  </si>
  <si>
    <t xml:space="preserve">Capital subscris varsat     </t>
  </si>
  <si>
    <t>106    *</t>
  </si>
  <si>
    <t xml:space="preserve">Rezerve                     </t>
  </si>
  <si>
    <t xml:space="preserve">106.1   </t>
  </si>
  <si>
    <t xml:space="preserve">Rezerve legale              </t>
  </si>
  <si>
    <t>Rezerve legale</t>
  </si>
  <si>
    <t xml:space="preserve">106.8   </t>
  </si>
  <si>
    <t xml:space="preserve">Alte rezerve                </t>
  </si>
  <si>
    <t>Alte rezerve</t>
  </si>
  <si>
    <t>117    *</t>
  </si>
  <si>
    <t xml:space="preserve">Profit nerepartizat         </t>
  </si>
  <si>
    <t>Rezultatul reportat</t>
  </si>
  <si>
    <t xml:space="preserve">117.1   </t>
  </si>
  <si>
    <t>121    *</t>
  </si>
  <si>
    <t xml:space="preserve">Profit si pierdere          </t>
  </si>
  <si>
    <t xml:space="preserve">121.1   </t>
  </si>
  <si>
    <t xml:space="preserve">Profit an fara sot          </t>
  </si>
  <si>
    <t>Rezultatul exercitiului</t>
  </si>
  <si>
    <t xml:space="preserve">121.2   </t>
  </si>
  <si>
    <t xml:space="preserve">Profit an cu sot            </t>
  </si>
  <si>
    <t>129    *</t>
  </si>
  <si>
    <t xml:space="preserve">Repartizarea profitului     </t>
  </si>
  <si>
    <t xml:space="preserve">129.1   </t>
  </si>
  <si>
    <t xml:space="preserve">Repart.profit an fara sot   </t>
  </si>
  <si>
    <t>Repartizarea profitului</t>
  </si>
  <si>
    <t>167    *</t>
  </si>
  <si>
    <t>Alte imprum.si datorii asim.</t>
  </si>
  <si>
    <t xml:space="preserve">167.4   </t>
  </si>
  <si>
    <t xml:space="preserve">Leasing PORSCHE             </t>
  </si>
  <si>
    <t>Leasing</t>
  </si>
  <si>
    <t xml:space="preserve">167.8   </t>
  </si>
  <si>
    <t xml:space="preserve">LEASING RAIFFEISEN          </t>
  </si>
  <si>
    <t xml:space="preserve">205     </t>
  </si>
  <si>
    <t>Licente/CCE/2TIC3.1.1./024/7</t>
  </si>
  <si>
    <t>Imobilizari necorporale</t>
  </si>
  <si>
    <t xml:space="preserve">208     </t>
  </si>
  <si>
    <t>Alte imobilizari necorporale</t>
  </si>
  <si>
    <t xml:space="preserve">2081    </t>
  </si>
  <si>
    <t>Alte imob.nec./CCE/2TIC3.1.1</t>
  </si>
  <si>
    <t>211    *</t>
  </si>
  <si>
    <t xml:space="preserve">Terenuri                    </t>
  </si>
  <si>
    <t>Terenuri</t>
  </si>
  <si>
    <t xml:space="preserve">211.1   </t>
  </si>
  <si>
    <t>213    *</t>
  </si>
  <si>
    <t>Instalatii,m.transp.,animale</t>
  </si>
  <si>
    <t>Instalatii tehnice si masini</t>
  </si>
  <si>
    <t xml:space="preserve">213.1   </t>
  </si>
  <si>
    <t xml:space="preserve">Echipamente tehnologice     </t>
  </si>
  <si>
    <t xml:space="preserve">2132    </t>
  </si>
  <si>
    <t xml:space="preserve">Aparate si instalatii       </t>
  </si>
  <si>
    <t xml:space="preserve">213.21  </t>
  </si>
  <si>
    <t>Ap.si inst/CCE/2TIC311/024/7</t>
  </si>
  <si>
    <t xml:space="preserve">213.3   </t>
  </si>
  <si>
    <t xml:space="preserve">Mijloace de transport       </t>
  </si>
  <si>
    <t xml:space="preserve">214     </t>
  </si>
  <si>
    <t xml:space="preserve">Mobilier,birotica           </t>
  </si>
  <si>
    <t>Alte instalatii, utilaje si mobilier</t>
  </si>
  <si>
    <t xml:space="preserve">232     </t>
  </si>
  <si>
    <t xml:space="preserve">Avansuri pt.imob.corp.      </t>
  </si>
  <si>
    <t>267    *</t>
  </si>
  <si>
    <t xml:space="preserve">Creante imobilizate         </t>
  </si>
  <si>
    <t xml:space="preserve">267.8   </t>
  </si>
  <si>
    <t xml:space="preserve">Alte creante imobilizate    </t>
  </si>
  <si>
    <t>280    *</t>
  </si>
  <si>
    <t>Amortizare alte imob.necorpo</t>
  </si>
  <si>
    <t xml:space="preserve">280.1   </t>
  </si>
  <si>
    <t>Amrt.alte im.nec/CCE/2TIC3.1</t>
  </si>
  <si>
    <t xml:space="preserve">280.5   </t>
  </si>
  <si>
    <t>Amortiz.licente/CCE/2TIC3.1.</t>
  </si>
  <si>
    <t>281    *</t>
  </si>
  <si>
    <t xml:space="preserve">Amortizarea imob.corporale  </t>
  </si>
  <si>
    <t xml:space="preserve">281.1   </t>
  </si>
  <si>
    <t>Amortz.ap.inst/CCE/2TIC3.1.1</t>
  </si>
  <si>
    <t xml:space="preserve">281.3   </t>
  </si>
  <si>
    <t xml:space="preserve">Amort.inst,mijl.tr,animale  </t>
  </si>
  <si>
    <t xml:space="preserve">281.4   </t>
  </si>
  <si>
    <t xml:space="preserve">Amortiz.altor imob.corp.    </t>
  </si>
  <si>
    <t xml:space="preserve">301     </t>
  </si>
  <si>
    <t xml:space="preserve">Materii prime               </t>
  </si>
  <si>
    <t>Materii prime si materiale consumabile</t>
  </si>
  <si>
    <t>302    *</t>
  </si>
  <si>
    <t xml:space="preserve">Materiale consumabile       </t>
  </si>
  <si>
    <t xml:space="preserve">302.1   </t>
  </si>
  <si>
    <t xml:space="preserve">Materiale auziliare         </t>
  </si>
  <si>
    <t xml:space="preserve">302.8   </t>
  </si>
  <si>
    <t xml:space="preserve">Alte materiale consumabile  </t>
  </si>
  <si>
    <t xml:space="preserve">303     </t>
  </si>
  <si>
    <t xml:space="preserve">Materiale de nat.ob.de inv. </t>
  </si>
  <si>
    <t xml:space="preserve">332     </t>
  </si>
  <si>
    <t>Lucr.si serv.in curs de exec</t>
  </si>
  <si>
    <t>Lucrari si servicii in curs de executie</t>
  </si>
  <si>
    <t>371    *</t>
  </si>
  <si>
    <t xml:space="preserve">Marfuri                     </t>
  </si>
  <si>
    <t>Marfuri</t>
  </si>
  <si>
    <t xml:space="preserve">371.2   </t>
  </si>
  <si>
    <t xml:space="preserve">401     </t>
  </si>
  <si>
    <t xml:space="preserve">Furnizori                   </t>
  </si>
  <si>
    <t>Datorii comerciale - furnizori</t>
  </si>
  <si>
    <t xml:space="preserve">404     </t>
  </si>
  <si>
    <t xml:space="preserve">Furnizori de imobilizari    </t>
  </si>
  <si>
    <t>409    *</t>
  </si>
  <si>
    <t xml:space="preserve">Furnizori - debitori        </t>
  </si>
  <si>
    <t>Avansuri</t>
  </si>
  <si>
    <t xml:space="preserve">409.1   </t>
  </si>
  <si>
    <t xml:space="preserve">Furniz.debit.stocuri        </t>
  </si>
  <si>
    <t>411    *</t>
  </si>
  <si>
    <t xml:space="preserve">CLIENTI                     </t>
  </si>
  <si>
    <t>Creante comerciale</t>
  </si>
  <si>
    <t xml:space="preserve">411.1   </t>
  </si>
  <si>
    <t xml:space="preserve">Clienti                     </t>
  </si>
  <si>
    <t xml:space="preserve">411.8   </t>
  </si>
  <si>
    <t>Clienti incerti sau in litig</t>
  </si>
  <si>
    <t xml:space="preserve">419     </t>
  </si>
  <si>
    <t xml:space="preserve">Clienti - creditori         </t>
  </si>
  <si>
    <t>Avansuri incasate in contul comenzilor</t>
  </si>
  <si>
    <t xml:space="preserve">421     </t>
  </si>
  <si>
    <t xml:space="preserve">Personal-salarii datorate   </t>
  </si>
  <si>
    <t>Alte datorii, inclusiv datorii fiscale si alte datorii privind asigurarile sociale</t>
  </si>
  <si>
    <t xml:space="preserve">423     </t>
  </si>
  <si>
    <t>Personal-ajut.mater.datorate</t>
  </si>
  <si>
    <t xml:space="preserve">425     </t>
  </si>
  <si>
    <t xml:space="preserve">Avansuri acord.personalului </t>
  </si>
  <si>
    <t>Alte creante</t>
  </si>
  <si>
    <t xml:space="preserve">427     </t>
  </si>
  <si>
    <t xml:space="preserve">RETINERI SALARIALE          </t>
  </si>
  <si>
    <t>431    *</t>
  </si>
  <si>
    <t xml:space="preserve">Asigurari sociale           </t>
  </si>
  <si>
    <t xml:space="preserve">431.1   </t>
  </si>
  <si>
    <t xml:space="preserve">CAS angajator               </t>
  </si>
  <si>
    <t xml:space="preserve">431.2   </t>
  </si>
  <si>
    <t xml:space="preserve">CAS asigurati               </t>
  </si>
  <si>
    <t xml:space="preserve">431.3   </t>
  </si>
  <si>
    <t xml:space="preserve">SANATATE angajator          </t>
  </si>
  <si>
    <t xml:space="preserve">431.4   </t>
  </si>
  <si>
    <t xml:space="preserve">SANATATE asigurati          </t>
  </si>
  <si>
    <t xml:space="preserve">431.5   </t>
  </si>
  <si>
    <t>Fond accidente si boli prof.</t>
  </si>
  <si>
    <t xml:space="preserve">431.7   </t>
  </si>
  <si>
    <t xml:space="preserve">FOND CM                     </t>
  </si>
  <si>
    <t xml:space="preserve">431.9   </t>
  </si>
  <si>
    <t>CAS asiguratI CM din salarii</t>
  </si>
  <si>
    <t>437    *</t>
  </si>
  <si>
    <t xml:space="preserve">Ajutor de somaj             </t>
  </si>
  <si>
    <t xml:space="preserve">437.1   </t>
  </si>
  <si>
    <t xml:space="preserve">SOMAJ angajator             </t>
  </si>
  <si>
    <t xml:space="preserve">437.2   </t>
  </si>
  <si>
    <t xml:space="preserve">SOMAJ asigurati             </t>
  </si>
  <si>
    <t xml:space="preserve">437.3   </t>
  </si>
  <si>
    <t xml:space="preserve">Fond garantare salarii      </t>
  </si>
  <si>
    <t xml:space="preserve">441     </t>
  </si>
  <si>
    <t xml:space="preserve">Impozitul pe profit         </t>
  </si>
  <si>
    <t>442    *</t>
  </si>
  <si>
    <t xml:space="preserve">Taxa pe val.adaugata        </t>
  </si>
  <si>
    <t xml:space="preserve">442.3   </t>
  </si>
  <si>
    <t xml:space="preserve">Tva de plata                </t>
  </si>
  <si>
    <t xml:space="preserve">442.4   </t>
  </si>
  <si>
    <t xml:space="preserve">Tva de recuperat            </t>
  </si>
  <si>
    <t xml:space="preserve">442.6   </t>
  </si>
  <si>
    <t xml:space="preserve">Tva deductibila             </t>
  </si>
  <si>
    <t xml:space="preserve">442.7   </t>
  </si>
  <si>
    <t xml:space="preserve">Tva colectata               </t>
  </si>
  <si>
    <t xml:space="preserve">442.81  </t>
  </si>
  <si>
    <t xml:space="preserve">TVA in asteptare FURNIZORI  </t>
  </si>
  <si>
    <t xml:space="preserve">442.82  </t>
  </si>
  <si>
    <t xml:space="preserve">TVA in asteptare CLIENTI    </t>
  </si>
  <si>
    <t xml:space="preserve">444     </t>
  </si>
  <si>
    <t xml:space="preserve">Impoz.pe ven.de nat.salarii </t>
  </si>
  <si>
    <t>446    *</t>
  </si>
  <si>
    <t>Alte impoz.,taxe si vars.as.</t>
  </si>
  <si>
    <t xml:space="preserve">446.2   </t>
  </si>
  <si>
    <t xml:space="preserve">Impozit persoane fizice     </t>
  </si>
  <si>
    <t xml:space="preserve">446.3   </t>
  </si>
  <si>
    <t xml:space="preserve">Taxe auto                   </t>
  </si>
  <si>
    <t xml:space="preserve">446.4   </t>
  </si>
  <si>
    <t xml:space="preserve">Taxe teren                  </t>
  </si>
  <si>
    <t>448    *</t>
  </si>
  <si>
    <t xml:space="preserve">Alte dat.si crea.cu bug.st. </t>
  </si>
  <si>
    <t xml:space="preserve">448.2   </t>
  </si>
  <si>
    <t>Alte creante cu bug.statului</t>
  </si>
  <si>
    <t>455    *</t>
  </si>
  <si>
    <t xml:space="preserve">Asociati- conturi curente   </t>
  </si>
  <si>
    <t>Sume datorate actionarilor pe termen scurt</t>
  </si>
  <si>
    <t xml:space="preserve">455.1   </t>
  </si>
  <si>
    <t xml:space="preserve">Asociati-conturi curente    </t>
  </si>
  <si>
    <t>457    *</t>
  </si>
  <si>
    <t xml:space="preserve">Dividende de plata          </t>
  </si>
  <si>
    <t>Dividende</t>
  </si>
  <si>
    <t xml:space="preserve">457.2   </t>
  </si>
  <si>
    <t xml:space="preserve">An cu sot                   </t>
  </si>
  <si>
    <t xml:space="preserve">461     </t>
  </si>
  <si>
    <t xml:space="preserve">Debitori diversi            </t>
  </si>
  <si>
    <t xml:space="preserve">473     </t>
  </si>
  <si>
    <t xml:space="preserve">Dec.din op.in c.de clarif.  </t>
  </si>
  <si>
    <t>475    *</t>
  </si>
  <si>
    <t>Subv.ptr.inv./CCE/2TIC3.1.1/</t>
  </si>
  <si>
    <t>Subventii pentru investitii</t>
  </si>
  <si>
    <t xml:space="preserve">475.2   </t>
  </si>
  <si>
    <t xml:space="preserve">Imprum.neramb.ptr.invest.   </t>
  </si>
  <si>
    <t xml:space="preserve">491     </t>
  </si>
  <si>
    <t xml:space="preserve">Prov.pt dep.creant.-clienti </t>
  </si>
  <si>
    <t>511    *</t>
  </si>
  <si>
    <t xml:space="preserve">Valori de incasat           </t>
  </si>
  <si>
    <t xml:space="preserve">511.4   </t>
  </si>
  <si>
    <t xml:space="preserve">Efecte remise spre scontare </t>
  </si>
  <si>
    <t>512    *</t>
  </si>
  <si>
    <t xml:space="preserve">Conturi curente la banci    </t>
  </si>
  <si>
    <t>512.1  *</t>
  </si>
  <si>
    <t xml:space="preserve">Conturi la banci in lei     </t>
  </si>
  <si>
    <t>Casa si conturi la banci</t>
  </si>
  <si>
    <t xml:space="preserve">512110  </t>
  </si>
  <si>
    <t>BANCA RAIFFEISEN DEPOZIT TER</t>
  </si>
  <si>
    <t xml:space="preserve">Banca                       </t>
  </si>
  <si>
    <t xml:space="preserve">BANCA ING -DEP              </t>
  </si>
  <si>
    <t xml:space="preserve">512.1.2 </t>
  </si>
  <si>
    <t xml:space="preserve">Banca ING                   </t>
  </si>
  <si>
    <t xml:space="preserve">512.1.3 </t>
  </si>
  <si>
    <t xml:space="preserve">Banca ING -Depozit col      </t>
  </si>
  <si>
    <t xml:space="preserve">512.1.4 </t>
  </si>
  <si>
    <t xml:space="preserve">Banca Raiffeisen            </t>
  </si>
  <si>
    <t xml:space="preserve">512.1.5 </t>
  </si>
  <si>
    <t xml:space="preserve">Banca - card                </t>
  </si>
  <si>
    <t xml:space="preserve">512.1.7 </t>
  </si>
  <si>
    <t xml:space="preserve">Trezorerie                  </t>
  </si>
  <si>
    <t xml:space="preserve">512.1.9 </t>
  </si>
  <si>
    <t xml:space="preserve">BANCA RAIFFEISEN -CARD      </t>
  </si>
  <si>
    <t xml:space="preserve">512.4   </t>
  </si>
  <si>
    <t xml:space="preserve">Conturi la banci in valuta  </t>
  </si>
  <si>
    <t>519    *</t>
  </si>
  <si>
    <t xml:space="preserve">Cr.bancare pe tr.scurt      </t>
  </si>
  <si>
    <t xml:space="preserve">519.3   </t>
  </si>
  <si>
    <t xml:space="preserve">CrediT Banca ING            </t>
  </si>
  <si>
    <t>531    *</t>
  </si>
  <si>
    <t xml:space="preserve">Casa                        </t>
  </si>
  <si>
    <t xml:space="preserve">531.1   </t>
  </si>
  <si>
    <t xml:space="preserve">Casa in lei                 </t>
  </si>
  <si>
    <t xml:space="preserve">531.4   </t>
  </si>
  <si>
    <t xml:space="preserve">Casa in valuta              </t>
  </si>
  <si>
    <t>532    *</t>
  </si>
  <si>
    <t xml:space="preserve">Alte valori                 </t>
  </si>
  <si>
    <t xml:space="preserve">532.8   </t>
  </si>
  <si>
    <t xml:space="preserve">53281   </t>
  </si>
  <si>
    <t xml:space="preserve">Alte valori-tichete masa    </t>
  </si>
  <si>
    <t xml:space="preserve">542     </t>
  </si>
  <si>
    <t xml:space="preserve">Avansuri de trezorerie      </t>
  </si>
  <si>
    <t xml:space="preserve">581     </t>
  </si>
  <si>
    <t xml:space="preserve">Viramente interne           </t>
  </si>
  <si>
    <t>601    *</t>
  </si>
  <si>
    <t xml:space="preserve">Chelt.cu materiile prime    </t>
  </si>
  <si>
    <t xml:space="preserve">601.1   </t>
  </si>
  <si>
    <t xml:space="preserve">Chelt.mat.prime frig.       </t>
  </si>
  <si>
    <t>Cheltuieli cu materii prime frigorifice</t>
  </si>
  <si>
    <t xml:space="preserve">601.2   </t>
  </si>
  <si>
    <t xml:space="preserve">Chelt.mat.prime panouri     </t>
  </si>
  <si>
    <t>Cheltuieli cu materii prime panouri</t>
  </si>
  <si>
    <t>602    *</t>
  </si>
  <si>
    <t xml:space="preserve">Chelt.cu mat.consumabile    </t>
  </si>
  <si>
    <t>Cheltuieli cu materiale consumabile</t>
  </si>
  <si>
    <t xml:space="preserve">602.1   </t>
  </si>
  <si>
    <t xml:space="preserve">Chelt.cu mat.auxiliare      </t>
  </si>
  <si>
    <t xml:space="preserve">602.2   </t>
  </si>
  <si>
    <t xml:space="preserve">Chelt.cu combustibilul      </t>
  </si>
  <si>
    <t xml:space="preserve">602.4   </t>
  </si>
  <si>
    <t xml:space="preserve">Chelt.cu piesele de schimb  </t>
  </si>
  <si>
    <t xml:space="preserve">6028    </t>
  </si>
  <si>
    <t xml:space="preserve">Chelt.cu alte mat.consumab. </t>
  </si>
  <si>
    <t xml:space="preserve">603     </t>
  </si>
  <si>
    <t>Chelt.priv.mat.de nat.ob.inv</t>
  </si>
  <si>
    <t xml:space="preserve">605     </t>
  </si>
  <si>
    <t xml:space="preserve">Chelt.priv.energia si apa   </t>
  </si>
  <si>
    <t>607    *</t>
  </si>
  <si>
    <t xml:space="preserve">Chelt.privind marfurile     </t>
  </si>
  <si>
    <t xml:space="preserve">607.1   </t>
  </si>
  <si>
    <t xml:space="preserve">Chelt.marfuripanouri        </t>
  </si>
  <si>
    <t>Cheltuieli marfuri panouri</t>
  </si>
  <si>
    <t xml:space="preserve">607.2   </t>
  </si>
  <si>
    <t xml:space="preserve">Chelt.marfuri mob.frig      </t>
  </si>
  <si>
    <t>Cheltuieli marfuri mobilier frigorific</t>
  </si>
  <si>
    <t xml:space="preserve">609     </t>
  </si>
  <si>
    <t xml:space="preserve">Reduceri com.primite        </t>
  </si>
  <si>
    <t>Reduceri comerciale primite</t>
  </si>
  <si>
    <t xml:space="preserve">611     </t>
  </si>
  <si>
    <t xml:space="preserve">Chelt.cu intret.si rep.     </t>
  </si>
  <si>
    <t>Cheltuieli privind prestatiile externe</t>
  </si>
  <si>
    <t xml:space="preserve">612     </t>
  </si>
  <si>
    <t xml:space="preserve">Chelt.cu redev.,chiriile    </t>
  </si>
  <si>
    <t>Cheltuieli cu redeventele, chiriile</t>
  </si>
  <si>
    <t xml:space="preserve">613     </t>
  </si>
  <si>
    <t xml:space="preserve">Chelt.cu primele de asig.   </t>
  </si>
  <si>
    <t xml:space="preserve">622     </t>
  </si>
  <si>
    <t xml:space="preserve">Chelt.priv.comis.si onorar. </t>
  </si>
  <si>
    <t>623    *</t>
  </si>
  <si>
    <t>Chelt.de protoc.,recl.,publ.</t>
  </si>
  <si>
    <t xml:space="preserve">623.1   </t>
  </si>
  <si>
    <t xml:space="preserve">Cheltuieli protocol         </t>
  </si>
  <si>
    <t>Alte cheltuieli</t>
  </si>
  <si>
    <t xml:space="preserve">623.2   </t>
  </si>
  <si>
    <t>Cheltuieli reclama-publicit.</t>
  </si>
  <si>
    <t xml:space="preserve">624     </t>
  </si>
  <si>
    <t>Chelt.cu tr.de bunuri,person</t>
  </si>
  <si>
    <t>Cheltuieli cu transportul</t>
  </si>
  <si>
    <t xml:space="preserve">625     </t>
  </si>
  <si>
    <t xml:space="preserve">Chelt.cu depl,detas,transf. </t>
  </si>
  <si>
    <t xml:space="preserve">626     </t>
  </si>
  <si>
    <t>Chelt.post si taxe telecomun</t>
  </si>
  <si>
    <t xml:space="preserve">627     </t>
  </si>
  <si>
    <t xml:space="preserve">Chelt.cu serv.bancare       </t>
  </si>
  <si>
    <t xml:space="preserve">628     </t>
  </si>
  <si>
    <t xml:space="preserve">Alte chelt.servicii terti   </t>
  </si>
  <si>
    <t xml:space="preserve">635     </t>
  </si>
  <si>
    <t xml:space="preserve">Chelt.cu alte imoz.si taxe  </t>
  </si>
  <si>
    <t xml:space="preserve">641     </t>
  </si>
  <si>
    <t xml:space="preserve">Chelt.cu salarii personal   </t>
  </si>
  <si>
    <t>Salarii si indemnizatii</t>
  </si>
  <si>
    <t xml:space="preserve">642     </t>
  </si>
  <si>
    <t>Cheltuieli cu tichete de mas</t>
  </si>
  <si>
    <t>645    *</t>
  </si>
  <si>
    <t>Chelt.priv.asig.si prot.soc.</t>
  </si>
  <si>
    <t xml:space="preserve">645.1   </t>
  </si>
  <si>
    <t xml:space="preserve">Chelt.CAS angajator         </t>
  </si>
  <si>
    <t xml:space="preserve">645.2   </t>
  </si>
  <si>
    <t xml:space="preserve">Chelt.SOMAJ angajator       </t>
  </si>
  <si>
    <t xml:space="preserve">645.3   </t>
  </si>
  <si>
    <t xml:space="preserve">Chelt.SANATATE angajator    </t>
  </si>
  <si>
    <t xml:space="preserve">645.4   </t>
  </si>
  <si>
    <t>Chelt.cu fd.accid.si boli p.</t>
  </si>
  <si>
    <t xml:space="preserve">645.5   </t>
  </si>
  <si>
    <t xml:space="preserve">CHELT.FOND CM               </t>
  </si>
  <si>
    <t xml:space="preserve">645.7   </t>
  </si>
  <si>
    <t>Chelt.fond garantare salarii</t>
  </si>
  <si>
    <t>658    *</t>
  </si>
  <si>
    <t xml:space="preserve">Alte chelt.de exploatare    </t>
  </si>
  <si>
    <t xml:space="preserve">658.1   </t>
  </si>
  <si>
    <t xml:space="preserve">Despag,amenzi,penalitati    </t>
  </si>
  <si>
    <t xml:space="preserve">658.2   </t>
  </si>
  <si>
    <t xml:space="preserve">Donatii si subventii acord. </t>
  </si>
  <si>
    <t xml:space="preserve">658.7   </t>
  </si>
  <si>
    <t>Alte cheltuieli nedeductibil</t>
  </si>
  <si>
    <t xml:space="preserve">665     </t>
  </si>
  <si>
    <t>Chelt.din dif.de curs valut.</t>
  </si>
  <si>
    <t>Alte cheltuieli financiare</t>
  </si>
  <si>
    <t xml:space="preserve">666     </t>
  </si>
  <si>
    <t xml:space="preserve">Chelt.priv.dobanzile        </t>
  </si>
  <si>
    <t>Cheltuieli privind dobanzile</t>
  </si>
  <si>
    <t>681    *</t>
  </si>
  <si>
    <t xml:space="preserve">Chelt.de expl.priv.amort.   </t>
  </si>
  <si>
    <t>Cheltuieli cu amortizarea</t>
  </si>
  <si>
    <t xml:space="preserve">681.1   </t>
  </si>
  <si>
    <t>Chelt.de expl.privind amort.</t>
  </si>
  <si>
    <t xml:space="preserve">681.101 </t>
  </si>
  <si>
    <t>Chelt.de expl.amortiz.deduct</t>
  </si>
  <si>
    <t xml:space="preserve">681.102 </t>
  </si>
  <si>
    <t>Chelt.de expl.amortiz.nededu</t>
  </si>
  <si>
    <t xml:space="preserve">681.11  </t>
  </si>
  <si>
    <t>Chelt.de expl.am.imob.CCE/2T</t>
  </si>
  <si>
    <t xml:space="preserve">691     </t>
  </si>
  <si>
    <t xml:space="preserve">Chelt.cu impoz.pe profit    </t>
  </si>
  <si>
    <t>Impozit pe profit</t>
  </si>
  <si>
    <t xml:space="preserve">7011    </t>
  </si>
  <si>
    <t>Venituri produse finite frig</t>
  </si>
  <si>
    <t>Venituri din vanzarea produselor finite frigorifice</t>
  </si>
  <si>
    <t xml:space="preserve">7012    </t>
  </si>
  <si>
    <t xml:space="preserve">Venituriproduse finite pan. </t>
  </si>
  <si>
    <t>Venituri din vanzarea produselor finite panouri</t>
  </si>
  <si>
    <t xml:space="preserve">704     </t>
  </si>
  <si>
    <t>Venit.din lucr.exec.si serv.</t>
  </si>
  <si>
    <t>Venituri din lucrari executate si servicii prestate</t>
  </si>
  <si>
    <t xml:space="preserve">706     </t>
  </si>
  <si>
    <t xml:space="preserve">Venit.din redev.,chirii     </t>
  </si>
  <si>
    <t>Alte venituri din exploatare</t>
  </si>
  <si>
    <t>707    *</t>
  </si>
  <si>
    <t xml:space="preserve">Venituri de marfuri div     </t>
  </si>
  <si>
    <t xml:space="preserve">707.1   </t>
  </si>
  <si>
    <t xml:space="preserve">Venituri din vanzarea marf. </t>
  </si>
  <si>
    <t>Venituri din vanzarea marfurilor</t>
  </si>
  <si>
    <t xml:space="preserve">707.2   </t>
  </si>
  <si>
    <t xml:space="preserve">Venituri marfuri vitrine.   </t>
  </si>
  <si>
    <t>Venituri din vanzarea marfurilor vitrine</t>
  </si>
  <si>
    <t xml:space="preserve">707.3   </t>
  </si>
  <si>
    <t xml:space="preserve">Venituri marfuri fara TVA   </t>
  </si>
  <si>
    <t xml:space="preserve">708     </t>
  </si>
  <si>
    <t xml:space="preserve">Venit.din activ.diverse     </t>
  </si>
  <si>
    <t xml:space="preserve">709     </t>
  </si>
  <si>
    <t>Reduceri comerciale acordate</t>
  </si>
  <si>
    <t xml:space="preserve">711     </t>
  </si>
  <si>
    <t xml:space="preserve">Variatia stocurilor         </t>
  </si>
  <si>
    <t>Variatia stocurilor</t>
  </si>
  <si>
    <t>758    *</t>
  </si>
  <si>
    <t xml:space="preserve">758.1   </t>
  </si>
  <si>
    <t>Ven.din despag,amenzi,penal.</t>
  </si>
  <si>
    <t xml:space="preserve">758.3   </t>
  </si>
  <si>
    <t>Ven.din vanz.active si op.c.</t>
  </si>
  <si>
    <t xml:space="preserve">765     </t>
  </si>
  <si>
    <t>Venit.din dif.de curs valut.</t>
  </si>
  <si>
    <t>Alte venituri financiare</t>
  </si>
  <si>
    <t xml:space="preserve">766     </t>
  </si>
  <si>
    <t xml:space="preserve">Venit.din dobanzi           </t>
  </si>
  <si>
    <t>Venituri din dobanzi</t>
  </si>
  <si>
    <t xml:space="preserve">768     </t>
  </si>
  <si>
    <t xml:space="preserve">Alte venituri financiare    </t>
  </si>
  <si>
    <t xml:space="preserve">784     </t>
  </si>
  <si>
    <t>Ven.din sbv.ptr.inv/CCE/2TIC</t>
  </si>
  <si>
    <t>Total general</t>
  </si>
  <si>
    <t>decembrie/2017</t>
  </si>
  <si>
    <t xml:space="preserve">SPATARU DN                                                                                                                       </t>
  </si>
  <si>
    <t xml:space="preserve">129.2   </t>
  </si>
  <si>
    <t xml:space="preserve">Repart.profit an cu sot     </t>
  </si>
  <si>
    <t xml:space="preserve">371.1   </t>
  </si>
  <si>
    <t xml:space="preserve">512.1.1 </t>
  </si>
  <si>
    <t xml:space="preserve">Banca RAIFFEISEN -depozit   </t>
  </si>
  <si>
    <t>Credite bancare pe termen scurt</t>
  </si>
  <si>
    <t xml:space="preserve">512.1.6 </t>
  </si>
  <si>
    <t>Banca RAIFFEISEN-dep.garanti</t>
  </si>
  <si>
    <t xml:space="preserve">512.41  </t>
  </si>
  <si>
    <t>Conturi in valuta Raiffeisen</t>
  </si>
  <si>
    <t xml:space="preserve">614     </t>
  </si>
  <si>
    <t>Chelt.cu studiile si cercet.</t>
  </si>
  <si>
    <t xml:space="preserve">621     </t>
  </si>
  <si>
    <t xml:space="preserve">Chelt.cu colaboratorii      </t>
  </si>
  <si>
    <t xml:space="preserve">658.3   </t>
  </si>
  <si>
    <t>Chelt.active cedate si op.cp</t>
  </si>
  <si>
    <t>decembrie/2018</t>
  </si>
  <si>
    <t>26-03-2019/15.44</t>
  </si>
  <si>
    <t xml:space="preserve">SPATARU DN                                                                                                                     </t>
  </si>
  <si>
    <t xml:space="preserve">446.8   </t>
  </si>
  <si>
    <t xml:space="preserve">T.V.A.VAMA                  </t>
  </si>
  <si>
    <t xml:space="preserve">Banca ING-                  </t>
  </si>
  <si>
    <t xml:space="preserve">Banca ING-credit ter.scurt  </t>
  </si>
  <si>
    <t xml:space="preserve">602.5   </t>
  </si>
  <si>
    <t xml:space="preserve">Chelt.cu seminte si mat.pl. </t>
  </si>
  <si>
    <t xml:space="preserve">652     </t>
  </si>
  <si>
    <t xml:space="preserve">Chelt.privind mediul        </t>
  </si>
  <si>
    <t>Sale of finished goods, of which:</t>
  </si>
  <si>
    <t>Refrigeratings</t>
  </si>
  <si>
    <t>Panels</t>
  </si>
  <si>
    <t>Venituri din subventii</t>
  </si>
  <si>
    <t>Refrigerated displays</t>
  </si>
  <si>
    <t>Venituri FX</t>
  </si>
  <si>
    <t>Tichete de masa</t>
  </si>
  <si>
    <t>Contributii salariale</t>
  </si>
  <si>
    <t>Cheltuieli FX</t>
  </si>
  <si>
    <t>Trade discounts offered</t>
  </si>
  <si>
    <t>Raw materials, of which:</t>
  </si>
  <si>
    <t>Goods purchased for resale, of which:</t>
  </si>
  <si>
    <t xml:space="preserve">('16-'18) </t>
  </si>
  <si>
    <t>Alte imobilizari corporale</t>
  </si>
  <si>
    <t>Raw materials and consumables</t>
  </si>
  <si>
    <t>Dividends</t>
  </si>
  <si>
    <t>Status</t>
  </si>
  <si>
    <t>Nr. 
crt.</t>
  </si>
  <si>
    <t>Exemplu</t>
  </si>
  <si>
    <t>De clarificat</t>
  </si>
  <si>
    <t>Amortizare subventie UE</t>
  </si>
  <si>
    <t>Revenues from existing subsidies</t>
  </si>
  <si>
    <t>Evolutia nr de angajati 2016-2018 si previziuni</t>
  </si>
  <si>
    <t>De clarificat 2132 vs. 213.21</t>
  </si>
  <si>
    <t>Valoare contracte semnate - difera valorile insumate de totalul din josul paginii</t>
  </si>
  <si>
    <t>OK</t>
  </si>
  <si>
    <t>De recunoscut in 2019 integral. Amortizarea s-a finalizat pana la 31.12.2018</t>
  </si>
  <si>
    <t>?</t>
  </si>
  <si>
    <t>Ramana asa…</t>
  </si>
  <si>
    <t>De luat din rotatie personal</t>
  </si>
  <si>
    <t>HORECO IMPEX SRL BUZAU</t>
  </si>
  <si>
    <t>DECEMBRIE/2018</t>
  </si>
  <si>
    <t>Inventarul mijloacelor fixe la 31/12/2018</t>
  </si>
  <si>
    <t xml:space="preserve"> Nu</t>
  </si>
  <si>
    <t>Numar</t>
  </si>
  <si>
    <t xml:space="preserve">   Data</t>
  </si>
  <si>
    <t xml:space="preserve">Cod      </t>
  </si>
  <si>
    <t>Durata</t>
  </si>
  <si>
    <t xml:space="preserve">          </t>
  </si>
  <si>
    <t>Uzura la</t>
  </si>
  <si>
    <t>Amortisment</t>
  </si>
  <si>
    <t>mar</t>
  </si>
  <si>
    <t>inven</t>
  </si>
  <si>
    <t>loc</t>
  </si>
  <si>
    <t xml:space="preserve">   P.F.</t>
  </si>
  <si>
    <t>intrare</t>
  </si>
  <si>
    <t xml:space="preserve">clasif   </t>
  </si>
  <si>
    <t>normat</t>
  </si>
  <si>
    <t>ramasa</t>
  </si>
  <si>
    <t xml:space="preserve">   Valoare</t>
  </si>
  <si>
    <t>31/12/2018</t>
  </si>
  <si>
    <t>luna 12/2018</t>
  </si>
  <si>
    <t>01-12/2018</t>
  </si>
  <si>
    <t>mijloc</t>
  </si>
  <si>
    <t>crt</t>
  </si>
  <si>
    <t xml:space="preserve">  tar</t>
  </si>
  <si>
    <t>fol</t>
  </si>
  <si>
    <t>ll.aaaa</t>
  </si>
  <si>
    <t xml:space="preserve">icare    </t>
  </si>
  <si>
    <t xml:space="preserve">  luni</t>
  </si>
  <si>
    <t>aaa+ll</t>
  </si>
  <si>
    <t>buc</t>
  </si>
  <si>
    <t xml:space="preserve">    Totala</t>
  </si>
  <si>
    <t xml:space="preserve">       281</t>
  </si>
  <si>
    <t>804.5</t>
  </si>
  <si>
    <t xml:space="preserve">   Total</t>
  </si>
  <si>
    <t xml:space="preserve">   681.1</t>
  </si>
  <si>
    <t>681.7</t>
  </si>
  <si>
    <t xml:space="preserve">    Total</t>
  </si>
  <si>
    <t xml:space="preserve">    681.1</t>
  </si>
  <si>
    <t>fix</t>
  </si>
  <si>
    <t>folosinta</t>
  </si>
  <si>
    <t>4</t>
  </si>
  <si>
    <t>02/2002</t>
  </si>
  <si>
    <t>2.3.6.8.1</t>
  </si>
  <si>
    <t xml:space="preserve">TRANSPALET 2,2 T                        </t>
  </si>
  <si>
    <t xml:space="preserve">212      </t>
  </si>
  <si>
    <t>2</t>
  </si>
  <si>
    <t>05/2002</t>
  </si>
  <si>
    <t>3</t>
  </si>
  <si>
    <t>22</t>
  </si>
  <si>
    <t>09/2003</t>
  </si>
  <si>
    <t xml:space="preserve">TRANSPALET 2200 KG                      </t>
  </si>
  <si>
    <t xml:space="preserve">MOTOSTIVUITOR                           </t>
  </si>
  <si>
    <t>5</t>
  </si>
  <si>
    <t>6</t>
  </si>
  <si>
    <t>07/2004</t>
  </si>
  <si>
    <t>2.3.2.1.1</t>
  </si>
  <si>
    <t xml:space="preserve">AUTOTURISM RENAULT CLIO SYMBOL BZ80HRC  </t>
  </si>
  <si>
    <t xml:space="preserve">DEPARTAMENT AUTO      </t>
  </si>
  <si>
    <t>02/2005</t>
  </si>
  <si>
    <t>2.1.5.5</t>
  </si>
  <si>
    <t xml:space="preserve">APARAT SUDURA                           </t>
  </si>
  <si>
    <t>7</t>
  </si>
  <si>
    <t>11/2005</t>
  </si>
  <si>
    <t>11/2006</t>
  </si>
  <si>
    <t>2.3.2.2.1</t>
  </si>
  <si>
    <t xml:space="preserve">MERCEDES BENZ ATEGO 815-76HRC           </t>
  </si>
  <si>
    <t>9</t>
  </si>
  <si>
    <t>57</t>
  </si>
  <si>
    <t xml:space="preserve">MERCEDES BENZ ATEGO 815-77HRC           </t>
  </si>
  <si>
    <t>10</t>
  </si>
  <si>
    <t>12/2006</t>
  </si>
  <si>
    <t xml:space="preserve">IVECO 35C12-75HRC                       </t>
  </si>
  <si>
    <t>02/2007</t>
  </si>
  <si>
    <t xml:space="preserve">AUTOT.RENAULT MEGANE Bz 84 HRC          </t>
  </si>
  <si>
    <t>61</t>
  </si>
  <si>
    <t>2.2.9</t>
  </si>
  <si>
    <t xml:space="preserve">Calculator MB ASUS                      </t>
  </si>
  <si>
    <t>13</t>
  </si>
  <si>
    <t>06/2007</t>
  </si>
  <si>
    <t xml:space="preserve">AUTOTURISM RENAULT CLIO 79 - HRC        </t>
  </si>
  <si>
    <t>67</t>
  </si>
  <si>
    <t>07/2007</t>
  </si>
  <si>
    <t xml:space="preserve">CALCULATOR PORTABIL AMILO NB F8C        </t>
  </si>
  <si>
    <t xml:space="preserve">PUNCT LUCRU BUCURESTI </t>
  </si>
  <si>
    <t>08/2007</t>
  </si>
  <si>
    <t xml:space="preserve">MOTOSTIVUITOR XD 25 2,5 TONE DIESEL     </t>
  </si>
  <si>
    <t>16</t>
  </si>
  <si>
    <t>69</t>
  </si>
  <si>
    <t>09/2007</t>
  </si>
  <si>
    <t xml:space="preserve">SISTEM PC.+LCD                          </t>
  </si>
  <si>
    <t>71</t>
  </si>
  <si>
    <t>10/2007</t>
  </si>
  <si>
    <t xml:space="preserve">RENAULT CLIO SYMBOLB 87-HRC             </t>
  </si>
  <si>
    <t xml:space="preserve">RENAULT CLIO SYMBOL Bz88-HRC            </t>
  </si>
  <si>
    <t>03/2008</t>
  </si>
  <si>
    <t>2.1.16.6</t>
  </si>
  <si>
    <t xml:space="preserve">  4+03</t>
  </si>
  <si>
    <t xml:space="preserve">GENERATOR GB22D ACP/LTS/PHS             </t>
  </si>
  <si>
    <t>01/2008</t>
  </si>
  <si>
    <t xml:space="preserve">LAPTOP DELL XPS M 1330                  </t>
  </si>
  <si>
    <t>21</t>
  </si>
  <si>
    <t>84</t>
  </si>
  <si>
    <t>09/2008</t>
  </si>
  <si>
    <t xml:space="preserve">DACIA LOGAN BZ-89HRC                    </t>
  </si>
  <si>
    <t>87</t>
  </si>
  <si>
    <t xml:space="preserve">CALC.SERVER DELL POWER SC 440           </t>
  </si>
  <si>
    <t>07/2009</t>
  </si>
  <si>
    <t xml:space="preserve">Calculator portabil TOSHIBA R-600       </t>
  </si>
  <si>
    <t>12/2009</t>
  </si>
  <si>
    <t xml:space="preserve">Tahograf DTCO1381 24V                   </t>
  </si>
  <si>
    <t>25</t>
  </si>
  <si>
    <t xml:space="preserve">Starter KISTIS+cititor cartele          </t>
  </si>
  <si>
    <t>26</t>
  </si>
  <si>
    <t>01/2011</t>
  </si>
  <si>
    <t xml:space="preserve">Calculator portabil HP                  </t>
  </si>
  <si>
    <t>27</t>
  </si>
  <si>
    <t>102</t>
  </si>
  <si>
    <t>08/2011</t>
  </si>
  <si>
    <t xml:space="preserve">DACIA LOGAN MCV LAUREATE 1.6 Bz.90.HRC  </t>
  </si>
  <si>
    <t>28</t>
  </si>
  <si>
    <t>09/2011</t>
  </si>
  <si>
    <t xml:space="preserve">LAPTOP FUJITSU INTEL                    </t>
  </si>
  <si>
    <t>104</t>
  </si>
  <si>
    <t>2.1.5.7</t>
  </si>
  <si>
    <t xml:space="preserve">Dispozitiv slepuit                      </t>
  </si>
  <si>
    <t>30</t>
  </si>
  <si>
    <t>12/2011</t>
  </si>
  <si>
    <t>2.1.17.3</t>
  </si>
  <si>
    <t xml:space="preserve">  1+00</t>
  </si>
  <si>
    <t xml:space="preserve">CHILLER SW40                            </t>
  </si>
  <si>
    <t>31</t>
  </si>
  <si>
    <t>113</t>
  </si>
  <si>
    <t>02/2012</t>
  </si>
  <si>
    <t xml:space="preserve">Auto MERCEDES BENZ ML300 CDI Bz-10-HRC  </t>
  </si>
  <si>
    <t>114</t>
  </si>
  <si>
    <t xml:space="preserve">Auto RAV4 EXECUTIVE 2.2D-4D BZ.10.HRC   </t>
  </si>
  <si>
    <t>04/2012</t>
  </si>
  <si>
    <t>2.1.16.5</t>
  </si>
  <si>
    <t xml:space="preserve">  1+04</t>
  </si>
  <si>
    <t xml:space="preserve">Tablou electric 1000x600x300            </t>
  </si>
  <si>
    <t>116</t>
  </si>
  <si>
    <t>03/2012</t>
  </si>
  <si>
    <t xml:space="preserve">Tahograf MERCEDES 77 HRC                </t>
  </si>
  <si>
    <t>05/2012</t>
  </si>
  <si>
    <t>2.1.19</t>
  </si>
  <si>
    <t xml:space="preserve">Dispozitiv recuperare freon             </t>
  </si>
  <si>
    <t>124</t>
  </si>
  <si>
    <t>07/2012</t>
  </si>
  <si>
    <t xml:space="preserve">Dacia Logan MCV5 Laureate BZ.68.HRC     </t>
  </si>
  <si>
    <t>02/2014</t>
  </si>
  <si>
    <t>2.1.28</t>
  </si>
  <si>
    <t xml:space="preserve">  3+02</t>
  </si>
  <si>
    <t xml:space="preserve">Schela ALU.106                          </t>
  </si>
  <si>
    <t>133</t>
  </si>
  <si>
    <t>05/2014</t>
  </si>
  <si>
    <t xml:space="preserve">Autoturism DACIA DOKKER -Bz.22.HRC      </t>
  </si>
  <si>
    <t>40</t>
  </si>
  <si>
    <t>134</t>
  </si>
  <si>
    <t xml:space="preserve">Autoturism DACIA DOKKER -Bz.21.HRC      </t>
  </si>
  <si>
    <t>135</t>
  </si>
  <si>
    <t xml:space="preserve">Autoturism DACIA DOKKER -Bz.20.HRC      </t>
  </si>
  <si>
    <t>42</t>
  </si>
  <si>
    <t>136</t>
  </si>
  <si>
    <t xml:space="preserve">Autoturism DACIA LOGAN -Bz.19.HRC       </t>
  </si>
  <si>
    <t>137</t>
  </si>
  <si>
    <t xml:space="preserve">Autoturism DACIA LOGAN MCV Bz.69.HRC    </t>
  </si>
  <si>
    <t xml:space="preserve">Autoturism DACIA LOGAN MCV Bz.23.HRC    </t>
  </si>
  <si>
    <t>139</t>
  </si>
  <si>
    <t>09/2014</t>
  </si>
  <si>
    <t xml:space="preserve">Serv.DELL PowerEdge R210/CCE/2TIC3.1.1/ </t>
  </si>
  <si>
    <t>FONDURI NERAMBURSABILE</t>
  </si>
  <si>
    <t>46</t>
  </si>
  <si>
    <t>140</t>
  </si>
  <si>
    <t>Laptop DELL Inspiron 3542-7/CCE/2TIC3.1.</t>
  </si>
  <si>
    <t>142</t>
  </si>
  <si>
    <t>143</t>
  </si>
  <si>
    <t>50</t>
  </si>
  <si>
    <t>51</t>
  </si>
  <si>
    <t>145</t>
  </si>
  <si>
    <t>146</t>
  </si>
  <si>
    <t>53</t>
  </si>
  <si>
    <t>147</t>
  </si>
  <si>
    <t>148</t>
  </si>
  <si>
    <t>55</t>
  </si>
  <si>
    <t>149</t>
  </si>
  <si>
    <t>Laptop DELL Inspiron5748/CCE/2TIC3.1.1/7</t>
  </si>
  <si>
    <t>Laptop DELL Inspiron3542-10/CCE/2TIC3.1.</t>
  </si>
  <si>
    <t xml:space="preserve">Multifunc.Canon IR2520/CCE/2TIC3.1.1./  </t>
  </si>
  <si>
    <t>152</t>
  </si>
  <si>
    <t>59</t>
  </si>
  <si>
    <t>153</t>
  </si>
  <si>
    <t xml:space="preserve">ULTRABOOK DELL INSPIRON 7347 i5         </t>
  </si>
  <si>
    <t>154</t>
  </si>
  <si>
    <t>02/2015</t>
  </si>
  <si>
    <t xml:space="preserve">PLOTTER HP DESIGNJET T120- cq891a       </t>
  </si>
  <si>
    <t>155</t>
  </si>
  <si>
    <t>07/2015</t>
  </si>
  <si>
    <t xml:space="preserve">  0+07</t>
  </si>
  <si>
    <t xml:space="preserve">AUTOT.DACIA LOGAN MCV -B.113.HRC        </t>
  </si>
  <si>
    <t>156</t>
  </si>
  <si>
    <t xml:space="preserve">Autot.DACIA LOGAN MCV- B.114.HRC        </t>
  </si>
  <si>
    <t>157</t>
  </si>
  <si>
    <t>12/2015</t>
  </si>
  <si>
    <t xml:space="preserve">Autout.MB-Vito111 Cdi - Bz.11.HRC       </t>
  </si>
  <si>
    <t>158</t>
  </si>
  <si>
    <t xml:space="preserve">Autout.MB-Vito111 Cdi - Bz.14.HRC       </t>
  </si>
  <si>
    <t>65</t>
  </si>
  <si>
    <t>159</t>
  </si>
  <si>
    <t xml:space="preserve">Autout.MB-Vito111 Cdi - Bz.12.HRC       </t>
  </si>
  <si>
    <t>160</t>
  </si>
  <si>
    <t>2.3.2.2.6</t>
  </si>
  <si>
    <t xml:space="preserve">Remorca TEMA Bz.13.HRC                  </t>
  </si>
  <si>
    <t>02/2016</t>
  </si>
  <si>
    <t xml:space="preserve">  1+02</t>
  </si>
  <si>
    <t xml:space="preserve">Nacela V17575- seria 8804138            </t>
  </si>
  <si>
    <t xml:space="preserve">Nacela V17580- seria 8804145            </t>
  </si>
  <si>
    <t xml:space="preserve">Nacela V17583- seria 8804220            </t>
  </si>
  <si>
    <t>164</t>
  </si>
  <si>
    <t xml:space="preserve">Nacela V17584- seria 8804224            </t>
  </si>
  <si>
    <t>165</t>
  </si>
  <si>
    <t>04/2016</t>
  </si>
  <si>
    <t xml:space="preserve">Auto VW Golf Trendline 1.6-B.115.HRC    </t>
  </si>
  <si>
    <t>166</t>
  </si>
  <si>
    <t xml:space="preserve">Auto VW Golf  1.6-B.116.HRC             </t>
  </si>
  <si>
    <t>73</t>
  </si>
  <si>
    <t>07/2016</t>
  </si>
  <si>
    <t xml:space="preserve">  1+07</t>
  </si>
  <si>
    <t xml:space="preserve">Auto.MERCEDES BENZ GLA 220D-BZ.10.HRC   </t>
  </si>
  <si>
    <t>10/2016</t>
  </si>
  <si>
    <t xml:space="preserve">Auto Mini Cooper S ALL 4                </t>
  </si>
  <si>
    <t>75</t>
  </si>
  <si>
    <t>169</t>
  </si>
  <si>
    <t>12/2016</t>
  </si>
  <si>
    <t xml:space="preserve">Laptop HP430-W4N83EA                    </t>
  </si>
  <si>
    <t>171</t>
  </si>
  <si>
    <t>04/2017</t>
  </si>
  <si>
    <t xml:space="preserve">  2+04</t>
  </si>
  <si>
    <t xml:space="preserve">AUTO.DACIA LOGAN -BZ.81.HRC             </t>
  </si>
  <si>
    <t xml:space="preserve">AUTO.DACIA LOGAN -BZ.83.HRC             </t>
  </si>
  <si>
    <t>173</t>
  </si>
  <si>
    <t xml:space="preserve">AUTO.DACIA LOGAN -BZ.85.HRC             </t>
  </si>
  <si>
    <t>79</t>
  </si>
  <si>
    <t xml:space="preserve">AUTO.DACIA LOGAN -BZ.86.HRC             </t>
  </si>
  <si>
    <t>175</t>
  </si>
  <si>
    <t xml:space="preserve">AUTO.DACIA LOGAN BZ.16.HRC              </t>
  </si>
  <si>
    <t>176</t>
  </si>
  <si>
    <t xml:space="preserve">AUTO.DACIA LOGAN BZ.18.HRC              </t>
  </si>
  <si>
    <t>177</t>
  </si>
  <si>
    <t xml:space="preserve">AUTO.DACIA LOGAN BZ.17.HRC              </t>
  </si>
  <si>
    <t>178</t>
  </si>
  <si>
    <t>06/2018</t>
  </si>
  <si>
    <t xml:space="preserve">  1+06</t>
  </si>
  <si>
    <t xml:space="preserve">Sistem desktop ASM                      </t>
  </si>
  <si>
    <t>179</t>
  </si>
  <si>
    <t>03/2016</t>
  </si>
  <si>
    <t xml:space="preserve">  0+01</t>
  </si>
  <si>
    <t xml:space="preserve">Autoutil.MB VITO 109CDI -BZ.115.HRC     </t>
  </si>
  <si>
    <t>12/2018</t>
  </si>
  <si>
    <t xml:space="preserve">Autoturism Volkswagen Polo B.117.HRC    </t>
  </si>
  <si>
    <t>181</t>
  </si>
  <si>
    <t xml:space="preserve">Autoturism Volkswagen GOLF B.118.HRC    </t>
  </si>
  <si>
    <t>03/2003</t>
  </si>
  <si>
    <t>3.1.5</t>
  </si>
  <si>
    <t xml:space="preserve">COMBINA ARCTIC                          </t>
  </si>
  <si>
    <t>88</t>
  </si>
  <si>
    <t>08/2003</t>
  </si>
  <si>
    <t>3.1.4</t>
  </si>
  <si>
    <t xml:space="preserve">CENTRALA TERMICA                        </t>
  </si>
  <si>
    <t>89</t>
  </si>
  <si>
    <t>04/2004</t>
  </si>
  <si>
    <t>3.4</t>
  </si>
  <si>
    <t xml:space="preserve">BARIERA                                 </t>
  </si>
  <si>
    <t>09/2005</t>
  </si>
  <si>
    <t xml:space="preserve">SCHELA METALICA                         </t>
  </si>
  <si>
    <t>04/2006</t>
  </si>
  <si>
    <t>10/2006</t>
  </si>
  <si>
    <t xml:space="preserve">SCHELA ALU.105                          </t>
  </si>
  <si>
    <t>3.1.1</t>
  </si>
  <si>
    <t xml:space="preserve">Corp mobilier                           </t>
  </si>
  <si>
    <t>04/2007</t>
  </si>
  <si>
    <t>3.2.1</t>
  </si>
  <si>
    <t xml:space="preserve">IMPRIMANTA CANON IPF600                 </t>
  </si>
  <si>
    <t>03/2009</t>
  </si>
  <si>
    <t xml:space="preserve">Schela metalica                         </t>
  </si>
  <si>
    <t>98</t>
  </si>
  <si>
    <t>3.3.6</t>
  </si>
  <si>
    <t xml:space="preserve">  2+03</t>
  </si>
  <si>
    <t xml:space="preserve">Sistem antiefractie                     </t>
  </si>
  <si>
    <t xml:space="preserve">  0+09</t>
  </si>
  <si>
    <t xml:space="preserve">Aer conditionat de plafon               </t>
  </si>
  <si>
    <t>3.3.5</t>
  </si>
  <si>
    <t xml:space="preserve">Sistem de alarma antiefractie           </t>
  </si>
  <si>
    <t xml:space="preserve">USA GLISANTA HSS160 8000X1800           </t>
  </si>
  <si>
    <t xml:space="preserve">USA IND.SPU+FER 4000X4000               </t>
  </si>
  <si>
    <t xml:space="preserve">USA PIVOTANTA 900X2000                  </t>
  </si>
  <si>
    <t>112</t>
  </si>
  <si>
    <t>01/2012</t>
  </si>
  <si>
    <t xml:space="preserve">  2+01</t>
  </si>
  <si>
    <t xml:space="preserve">Mobilier birou                          </t>
  </si>
  <si>
    <t xml:space="preserve">SCHELA                                  </t>
  </si>
  <si>
    <t>119</t>
  </si>
  <si>
    <t>122</t>
  </si>
  <si>
    <t>06/2012</t>
  </si>
  <si>
    <t>3.2.4</t>
  </si>
  <si>
    <t xml:space="preserve">Tableta PC NEW IPAD                     </t>
  </si>
  <si>
    <t>123</t>
  </si>
  <si>
    <t xml:space="preserve">Copiator TOSHIBA STUDIO 212             </t>
  </si>
  <si>
    <t>125</t>
  </si>
  <si>
    <t>11/2012</t>
  </si>
  <si>
    <t xml:space="preserve">IPAD2 APPLE WI-FI +3G                   </t>
  </si>
  <si>
    <t>126</t>
  </si>
  <si>
    <t xml:space="preserve">LAPTOP LENOVO NWV5                      </t>
  </si>
  <si>
    <t>03/2013</t>
  </si>
  <si>
    <t>3.1.1.1</t>
  </si>
  <si>
    <t xml:space="preserve">Ansamblu rafturi                        </t>
  </si>
  <si>
    <t>130</t>
  </si>
  <si>
    <t>05/2013</t>
  </si>
  <si>
    <t xml:space="preserve">  2+05</t>
  </si>
  <si>
    <t xml:space="preserve">Usa ind.culisanta autoportanta7000x1800 </t>
  </si>
  <si>
    <t>Amortizare</t>
  </si>
  <si>
    <t>Clasa</t>
  </si>
  <si>
    <t>Valoare initiala</t>
  </si>
  <si>
    <t>Series Title</t>
  </si>
  <si>
    <t>Code</t>
  </si>
  <si>
    <t>Currency</t>
  </si>
  <si>
    <t>Units</t>
  </si>
  <si>
    <t xml:space="preserve"> 2016</t>
  </si>
  <si>
    <t xml:space="preserve"> 2017</t>
  </si>
  <si>
    <t xml:space="preserve"> 2018</t>
  </si>
  <si>
    <t xml:space="preserve"> 2019</t>
  </si>
  <si>
    <t xml:space="preserve"> 2020</t>
  </si>
  <si>
    <t xml:space="preserve"> 2021</t>
  </si>
  <si>
    <t xml:space="preserve"> 2022</t>
  </si>
  <si>
    <t xml:space="preserve"> 2023</t>
  </si>
  <si>
    <t>Definition</t>
  </si>
  <si>
    <t>Note</t>
  </si>
  <si>
    <t>Source</t>
  </si>
  <si>
    <t>Lending interest rate (%) - [Y]</t>
  </si>
  <si>
    <t>LRAT</t>
  </si>
  <si>
    <t>Lending Rate (% per annum)</t>
  </si>
  <si>
    <t>Average lending rate pa, non-bank corporations and households</t>
  </si>
  <si>
    <t>NBR, Annual Reports; Monthly Bulletins</t>
  </si>
  <si>
    <t>Deposit interest rate (%) - [Y]</t>
  </si>
  <si>
    <t>RAT2</t>
  </si>
  <si>
    <t>Deposit Rate (% per annum)</t>
  </si>
  <si>
    <t>Average deposit rate pa, non-bank corporations and households</t>
  </si>
  <si>
    <t>Money market interest rate (%) - [YQM]</t>
  </si>
  <si>
    <t>RAT3</t>
  </si>
  <si>
    <t>91-Day Treasury Bills (%)</t>
  </si>
  <si>
    <t>IMF, International Financial Statistics</t>
  </si>
  <si>
    <t>Copyright © 2019 The Economist Intelligence Unit.</t>
  </si>
  <si>
    <t>Legend</t>
  </si>
  <si>
    <t>Actuals in Black</t>
  </si>
  <si>
    <t>Estimates in Blue</t>
  </si>
  <si>
    <t>Forecasts in Green</t>
  </si>
  <si>
    <t>Financing</t>
  </si>
  <si>
    <t>Money market rate</t>
  </si>
  <si>
    <t>Credit margin</t>
  </si>
  <si>
    <t>Interest rate</t>
  </si>
  <si>
    <t>Closing balance</t>
  </si>
  <si>
    <t>HORECO IMPEX</t>
  </si>
  <si>
    <t>Lista imobilizarilor necorporale 31.12.2018</t>
  </si>
  <si>
    <t>Data intrare</t>
  </si>
  <si>
    <t>nr.buc</t>
  </si>
  <si>
    <t>pret</t>
  </si>
  <si>
    <t>valoare</t>
  </si>
  <si>
    <r>
      <rPr>
        <b/>
        <sz val="11"/>
        <color rgb="FF000000"/>
        <rFont val="Arial"/>
        <family val="2"/>
      </rPr>
      <t>denumire</t>
    </r>
  </si>
  <si>
    <t>licenta office 2013 home and business</t>
  </si>
  <si>
    <t>licenta desktop Win 8.1</t>
  </si>
  <si>
    <t>licenta server WinSvrStd 2012</t>
  </si>
  <si>
    <t>antivirus PC +Lap SecureAnywhere</t>
  </si>
  <si>
    <t>antivirus server SecureAnywhere</t>
  </si>
  <si>
    <t>antivirus Eset Smart</t>
  </si>
  <si>
    <t>licenta windows 10Pro</t>
  </si>
  <si>
    <t>licenta office 2016 H&amp;B En</t>
  </si>
  <si>
    <t>licenta windows 10 home 64bit</t>
  </si>
  <si>
    <t>licenta antivirus Kaspersky Busin</t>
  </si>
  <si>
    <t>licenta antivirus New 1 an</t>
  </si>
  <si>
    <t>31 Dec 18</t>
  </si>
  <si>
    <t>Alte instalatii</t>
  </si>
  <si>
    <t>Instalatii tehnice</t>
  </si>
  <si>
    <t>Calcul leasing</t>
  </si>
  <si>
    <t>Auto</t>
  </si>
  <si>
    <t>Data PIF</t>
  </si>
  <si>
    <t>Luni trecute</t>
  </si>
  <si>
    <t>Ramase</t>
  </si>
  <si>
    <t>Rata</t>
  </si>
  <si>
    <t>Dobanda</t>
  </si>
  <si>
    <t>Financial indicators</t>
  </si>
  <si>
    <t>2017a</t>
  </si>
  <si>
    <t>2018a</t>
  </si>
  <si>
    <t>2019e</t>
  </si>
  <si>
    <t>2022f</t>
  </si>
  <si>
    <t>P&amp;L items</t>
  </si>
  <si>
    <t>EBITDA margin</t>
  </si>
  <si>
    <t>Net profit margin</t>
  </si>
  <si>
    <t>Net profit</t>
  </si>
  <si>
    <t>BS items</t>
  </si>
  <si>
    <t>Inventory</t>
  </si>
  <si>
    <t>Short-term loans</t>
  </si>
  <si>
    <t>Left</t>
  </si>
  <si>
    <t>Top</t>
  </si>
  <si>
    <t>Right</t>
  </si>
  <si>
    <t>Bottom</t>
  </si>
  <si>
    <t>Ref</t>
  </si>
  <si>
    <t>$D$498:$O$512</t>
  </si>
  <si>
    <t>CAGR 
2015-2017</t>
  </si>
  <si>
    <t>Signed and in execution contracts</t>
  </si>
  <si>
    <t>Estimates</t>
  </si>
</sst>
</file>

<file path=xl/styles.xml><?xml version="1.0" encoding="utf-8"?>
<styleSheet xmlns="http://schemas.openxmlformats.org/spreadsheetml/2006/main" xmlns:mc="http://schemas.openxmlformats.org/markup-compatibility/2006" xmlns:x14ac="http://schemas.microsoft.com/office/spreadsheetml/2009/9/ac" mc:Ignorable="x14ac">
  <numFmts count="31">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_);\(#,##0\);&quot;-  &quot;;&quot; &quot;@"/>
    <numFmt numFmtId="165" formatCode="0.00%_);\(0.00%\);&quot;-  &quot;;&quot; &quot;@"/>
    <numFmt numFmtId="166" formatCode="#,##0.00_);\(#,##0.00\);&quot;-  &quot;;&quot; &quot;@"/>
    <numFmt numFmtId="167" formatCode="#,##0.0_);\(#,##0.0\);&quot;-  &quot;;&quot; &quot;@"/>
    <numFmt numFmtId="168" formatCode="dd\ mmm\ yy_);;&quot;-  &quot;;&quot; &quot;@"/>
    <numFmt numFmtId="169" formatCode="[$-409]d\-mmm\-yy;@"/>
    <numFmt numFmtId="170" formatCode="#,##0.0000_);\(#,##0.0000\);&quot;-  &quot;;&quot; &quot;@"/>
    <numFmt numFmtId="171" formatCode="dd\ mmm\ yyyy\ hh:mm\ AM/PM"/>
    <numFmt numFmtId="172" formatCode="dd\ mmm\ yyyy_);;&quot;-  &quot;;&quot; &quot;@"/>
    <numFmt numFmtId="173" formatCode="#,##0.000_);\(#,##0.000\);&quot;-  &quot;;&quot; &quot;@"/>
    <numFmt numFmtId="174" formatCode="_-* #,##0.00_-;\-* #,##0.00_-;_-* &quot;-&quot;??_-;_-@_-"/>
    <numFmt numFmtId="175" formatCode="_(* #,##0_);_(* \(#,##0\);_(* &quot;-&quot;??_);_(@_)"/>
    <numFmt numFmtId="176" formatCode="#,##0_);\(#,##0\);&quot;- &quot;;&quot;&quot;@"/>
    <numFmt numFmtId="177" formatCode="#,##0.00_);\(#,##0.00\);&quot;- &quot;;&quot;&quot;@"/>
    <numFmt numFmtId="178" formatCode="* #,##0.00\ ;* \(#,##0.00\);* \-#\ ;@\ "/>
    <numFmt numFmtId="179" formatCode="#,##0.00%_);\(#,##0.00%\);&quot;- &quot;;&quot;&quot;@"/>
    <numFmt numFmtId="180" formatCode="#,##0.0_);[Red]\(#,##0.0\)"/>
    <numFmt numFmtId="181" formatCode="0.0%_);\(0.0%\);&quot;-  &quot;;&quot; &quot;@"/>
    <numFmt numFmtId="182" formatCode="#,##0.0"/>
    <numFmt numFmtId="183" formatCode="0.0%"/>
    <numFmt numFmtId="184" formatCode="_(* #,##0.0_);_(* \(#,##0.0\);_(* &quot;-&quot;??_);_(@_)"/>
    <numFmt numFmtId="185" formatCode="0.0000%_);\(0.0000%\);&quot;-  &quot;;&quot; &quot;@"/>
    <numFmt numFmtId="186" formatCode="_-* #,##0.00\ _l_e_i_-;\-* #,##0.00\ _l_e_i_-;_-* &quot;-&quot;??\ _l_e_i_-;_-@_-"/>
    <numFmt numFmtId="187" formatCode="[Black][&gt;0]#,###.00;[Red][&lt;0]\-#,###.00;"/>
    <numFmt numFmtId="188" formatCode="#,##0.00000_);\(#,##0.00000\);&quot;-  &quot;;&quot; &quot;@"/>
    <numFmt numFmtId="189" formatCode="0.00;[Red]0.00"/>
    <numFmt numFmtId="190" formatCode="dd&quot;.&quot;mm&quot;.&quot;yy"/>
  </numFmts>
  <fonts count="134" x14ac:knownFonts="1">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theme="1"/>
      <name val="Arial"/>
      <family val="2"/>
    </font>
    <font>
      <b/>
      <sz val="10"/>
      <color rgb="FF000000"/>
      <name val="MS Sans Serif"/>
    </font>
    <font>
      <sz val="10"/>
      <color rgb="FF000000"/>
      <name val="Univers 45 Light"/>
    </font>
    <font>
      <sz val="18"/>
      <color theme="3"/>
      <name val="Calibri Light"/>
      <family val="2"/>
      <scheme val="major"/>
    </font>
    <font>
      <b/>
      <sz val="15"/>
      <color theme="3"/>
      <name val="Arial"/>
      <family val="2"/>
    </font>
    <font>
      <b/>
      <sz val="13"/>
      <color theme="3"/>
      <name val="Arial"/>
      <family val="2"/>
    </font>
    <font>
      <b/>
      <sz val="11"/>
      <color theme="3"/>
      <name val="Arial"/>
      <family val="2"/>
    </font>
    <font>
      <sz val="10"/>
      <color rgb="FF006100"/>
      <name val="Arial"/>
      <family val="2"/>
    </font>
    <font>
      <sz val="10"/>
      <color rgb="FF9C0006"/>
      <name val="Arial"/>
      <family val="2"/>
    </font>
    <font>
      <sz val="10"/>
      <color rgb="FF9C6500"/>
      <name val="Arial"/>
      <family val="2"/>
    </font>
    <font>
      <sz val="10"/>
      <color rgb="FF3F3F76"/>
      <name val="Arial"/>
      <family val="2"/>
    </font>
    <font>
      <b/>
      <sz val="10"/>
      <color rgb="FF3F3F3F"/>
      <name val="Arial"/>
      <family val="2"/>
    </font>
    <font>
      <b/>
      <sz val="10"/>
      <color rgb="FFFA7D00"/>
      <name val="Arial"/>
      <family val="2"/>
    </font>
    <font>
      <sz val="10"/>
      <color rgb="FFFA7D00"/>
      <name val="Arial"/>
      <family val="2"/>
    </font>
    <font>
      <b/>
      <sz val="10"/>
      <color theme="0"/>
      <name val="Arial"/>
      <family val="2"/>
    </font>
    <font>
      <sz val="10"/>
      <color rgb="FFFF0000"/>
      <name val="Arial"/>
      <family val="2"/>
    </font>
    <font>
      <i/>
      <sz val="10"/>
      <color rgb="FF7F7F7F"/>
      <name val="Arial"/>
      <family val="2"/>
    </font>
    <font>
      <b/>
      <sz val="10"/>
      <color theme="1"/>
      <name val="Arial"/>
      <family val="2"/>
    </font>
    <font>
      <sz val="10"/>
      <color theme="0"/>
      <name val="Arial"/>
      <family val="2"/>
    </font>
    <font>
      <u/>
      <sz val="10"/>
      <color theme="10"/>
      <name val="Arial"/>
      <family val="2"/>
    </font>
    <font>
      <sz val="11"/>
      <color theme="1"/>
      <name val="Calibri"/>
      <family val="2"/>
      <charset val="238"/>
      <scheme val="minor"/>
    </font>
    <font>
      <sz val="10"/>
      <color rgb="FF000000"/>
      <name val="Arial"/>
      <family val="2"/>
    </font>
    <font>
      <sz val="11"/>
      <color rgb="FF000000"/>
      <name val="Calibri"/>
      <family val="2"/>
    </font>
    <font>
      <b/>
      <sz val="10"/>
      <name val="Arial"/>
      <family val="2"/>
    </font>
    <font>
      <sz val="12"/>
      <color theme="1"/>
      <name val="Calibri"/>
      <family val="2"/>
      <scheme val="minor"/>
    </font>
    <font>
      <b/>
      <sz val="10"/>
      <color rgb="FFFFFFFF"/>
      <name val="Arial"/>
      <family val="2"/>
    </font>
    <font>
      <sz val="10"/>
      <color rgb="FFFFFFFF"/>
      <name val="Arial"/>
      <family val="2"/>
    </font>
    <font>
      <b/>
      <i/>
      <sz val="10"/>
      <color theme="1"/>
      <name val="Arial"/>
      <family val="2"/>
    </font>
    <font>
      <i/>
      <sz val="10"/>
      <color theme="1"/>
      <name val="Arial"/>
      <family val="2"/>
    </font>
    <font>
      <sz val="8"/>
      <name val="Arial"/>
      <family val="2"/>
    </font>
    <font>
      <sz val="11"/>
      <color rgb="FF000000"/>
      <name val="Calibri"/>
      <family val="2"/>
    </font>
    <font>
      <sz val="10"/>
      <color rgb="FF0000FF"/>
      <name val="Arial"/>
      <family val="2"/>
    </font>
    <font>
      <b/>
      <sz val="10"/>
      <color rgb="FF000000"/>
      <name val="Arial"/>
      <family val="2"/>
    </font>
    <font>
      <sz val="8"/>
      <name val="Arial"/>
      <family val="2"/>
    </font>
    <font>
      <i/>
      <sz val="10"/>
      <color rgb="FFFF0000"/>
      <name val="Arial"/>
      <family val="2"/>
    </font>
    <font>
      <b/>
      <sz val="10"/>
      <color rgb="FFFF0000"/>
      <name val="Arial"/>
      <family val="2"/>
    </font>
    <font>
      <b/>
      <sz val="10"/>
      <color rgb="FF0000FF"/>
      <name val="Arial"/>
      <family val="2"/>
    </font>
    <font>
      <sz val="10"/>
      <name val="Arial"/>
      <family val="2"/>
      <charset val="238"/>
    </font>
    <font>
      <sz val="11"/>
      <color indexed="8"/>
      <name val="Calibri"/>
      <family val="2"/>
      <charset val="238"/>
    </font>
    <font>
      <b/>
      <i/>
      <sz val="10"/>
      <color theme="0"/>
      <name val="Arial"/>
      <family val="2"/>
    </font>
    <font>
      <i/>
      <sz val="10"/>
      <color theme="0"/>
      <name val="Arial"/>
      <family val="2"/>
    </font>
    <font>
      <sz val="10"/>
      <color rgb="FFC84E00"/>
      <name val="Arial"/>
      <family val="2"/>
    </font>
    <font>
      <sz val="10"/>
      <color rgb="FF007C92"/>
      <name val="Arial"/>
      <family val="2"/>
    </font>
    <font>
      <i/>
      <sz val="10"/>
      <name val="Arial"/>
      <family val="2"/>
    </font>
    <font>
      <b/>
      <i/>
      <sz val="10"/>
      <name val="Arial"/>
      <family val="2"/>
    </font>
    <font>
      <b/>
      <sz val="10"/>
      <color rgb="FF007C92"/>
      <name val="Arial"/>
      <family val="2"/>
    </font>
    <font>
      <sz val="10"/>
      <color rgb="FF008000"/>
      <name val="Arial"/>
      <family val="2"/>
    </font>
    <font>
      <i/>
      <sz val="10"/>
      <color rgb="FF000000"/>
      <name val="Arial"/>
      <family val="2"/>
    </font>
    <font>
      <i/>
      <sz val="10"/>
      <color rgb="FF0000FF"/>
      <name val="Arial"/>
      <family val="2"/>
    </font>
    <font>
      <i/>
      <sz val="10"/>
      <color rgb="FF008000"/>
      <name val="Arial"/>
      <family val="2"/>
    </font>
    <font>
      <b/>
      <u/>
      <sz val="10"/>
      <color theme="0"/>
      <name val="Arial"/>
      <family val="2"/>
    </font>
    <font>
      <b/>
      <i/>
      <u/>
      <sz val="10"/>
      <color theme="0"/>
      <name val="Arial"/>
      <family val="2"/>
    </font>
    <font>
      <b/>
      <sz val="10"/>
      <color rgb="FF008000"/>
      <name val="Arial"/>
      <family val="2"/>
    </font>
    <font>
      <b/>
      <i/>
      <sz val="10"/>
      <color rgb="FF0000FF"/>
      <name val="Arial"/>
      <family val="2"/>
    </font>
    <font>
      <b/>
      <i/>
      <sz val="10"/>
      <color rgb="FF008000"/>
      <name val="Arial"/>
      <family val="2"/>
    </font>
    <font>
      <b/>
      <i/>
      <sz val="10"/>
      <color rgb="FF000000"/>
      <name val="Arial"/>
      <family val="2"/>
    </font>
    <font>
      <b/>
      <sz val="10"/>
      <color theme="0"/>
      <name val="Univers for KPMG"/>
      <family val="2"/>
    </font>
    <font>
      <b/>
      <i/>
      <sz val="10"/>
      <color theme="0"/>
      <name val="Univers for KPMG"/>
      <family val="2"/>
    </font>
    <font>
      <sz val="10"/>
      <color theme="0"/>
      <name val="Univers for KPMG"/>
      <family val="2"/>
    </font>
    <font>
      <i/>
      <sz val="10"/>
      <color theme="0"/>
      <name val="Univers for KPMG"/>
      <family val="2"/>
    </font>
    <font>
      <b/>
      <sz val="10"/>
      <color theme="1"/>
      <name val="Univers for KPMG"/>
      <family val="2"/>
    </font>
    <font>
      <sz val="10"/>
      <color theme="1"/>
      <name val="Univers for KPMG"/>
      <family val="2"/>
    </font>
    <font>
      <b/>
      <sz val="10"/>
      <name val="Univers for KPMG"/>
      <family val="2"/>
    </font>
    <font>
      <b/>
      <sz val="10"/>
      <color rgb="FF000000"/>
      <name val="Univers for KPMG"/>
      <family val="2"/>
    </font>
    <font>
      <i/>
      <sz val="10"/>
      <color theme="1"/>
      <name val="Univers for KPMG"/>
      <family val="2"/>
    </font>
    <font>
      <b/>
      <i/>
      <sz val="10"/>
      <color theme="1"/>
      <name val="Univers for KPMG"/>
      <family val="2"/>
    </font>
    <font>
      <sz val="10"/>
      <name val="Univers for KPMG"/>
      <family val="2"/>
    </font>
    <font>
      <b/>
      <i/>
      <sz val="10"/>
      <color rgb="FF000000"/>
      <name val="Univers for KPMG"/>
      <family val="2"/>
    </font>
    <font>
      <sz val="10"/>
      <color rgb="FF008000"/>
      <name val="Univers for KPMG"/>
      <family val="2"/>
    </font>
    <font>
      <sz val="10"/>
      <color rgb="FF000000"/>
      <name val="Univers for KPMG"/>
      <family val="2"/>
    </font>
    <font>
      <sz val="10"/>
      <color rgb="FF007C92"/>
      <name val="Univers for KPMG"/>
      <family val="2"/>
    </font>
    <font>
      <b/>
      <sz val="10"/>
      <color rgb="FFFF0000"/>
      <name val="Univers for KPMG"/>
      <family val="2"/>
    </font>
    <font>
      <sz val="10"/>
      <color rgb="FF0000FF"/>
      <name val="Univers for KPMG"/>
      <family val="2"/>
    </font>
    <font>
      <b/>
      <i/>
      <sz val="10"/>
      <name val="Univers for KPMG"/>
      <family val="2"/>
    </font>
    <font>
      <i/>
      <sz val="10"/>
      <name val="Univers for KPMG"/>
      <family val="2"/>
    </font>
    <font>
      <b/>
      <i/>
      <sz val="10"/>
      <color rgb="FF008000"/>
      <name val="Univers for KPMG"/>
      <family val="2"/>
    </font>
    <font>
      <b/>
      <sz val="10"/>
      <color rgb="FF008000"/>
      <name val="Univers for KPMG"/>
      <family val="2"/>
    </font>
    <font>
      <b/>
      <i/>
      <sz val="10"/>
      <color rgb="FFFF0000"/>
      <name val="Arial"/>
      <family val="2"/>
    </font>
    <font>
      <sz val="8"/>
      <color rgb="FF000000"/>
      <name val="Arial"/>
      <family val="2"/>
    </font>
    <font>
      <i/>
      <sz val="8"/>
      <name val="Arial"/>
      <family val="2"/>
    </font>
    <font>
      <b/>
      <sz val="8"/>
      <color rgb="FF000000"/>
      <name val="Arial"/>
      <family val="2"/>
    </font>
    <font>
      <b/>
      <sz val="8"/>
      <name val="Arial"/>
      <family val="2"/>
    </font>
    <font>
      <b/>
      <i/>
      <sz val="8"/>
      <name val="Arial"/>
      <family val="2"/>
    </font>
    <font>
      <b/>
      <sz val="8"/>
      <color rgb="FFFFFFFF"/>
      <name val="Arial"/>
      <family val="2"/>
    </font>
    <font>
      <i/>
      <sz val="8"/>
      <color rgb="FF000000"/>
      <name val="Arial"/>
      <family val="2"/>
    </font>
    <font>
      <b/>
      <i/>
      <sz val="8"/>
      <color rgb="FF000000"/>
      <name val="Arial"/>
      <family val="2"/>
    </font>
    <font>
      <sz val="10"/>
      <name val="Univers 45 Light"/>
    </font>
    <font>
      <sz val="8"/>
      <name val="Univers 45 Light"/>
    </font>
    <font>
      <sz val="9"/>
      <name val="Arial"/>
      <family val="2"/>
    </font>
    <font>
      <sz val="9"/>
      <color theme="1"/>
      <name val="Arial Narrow"/>
      <family val="2"/>
    </font>
    <font>
      <sz val="9"/>
      <color theme="1"/>
      <name val="Calibri"/>
      <family val="2"/>
    </font>
    <font>
      <b/>
      <sz val="6"/>
      <color rgb="FFFFFFFF"/>
      <name val="Univers for KPMG"/>
      <family val="2"/>
    </font>
    <font>
      <b/>
      <sz val="6"/>
      <color rgb="FF000000"/>
      <name val="Univers for KPMG"/>
      <family val="2"/>
    </font>
    <font>
      <sz val="6"/>
      <color rgb="FF000000"/>
      <name val="Univers for KPMG"/>
      <family val="2"/>
    </font>
    <font>
      <i/>
      <sz val="6"/>
      <color rgb="FF000000"/>
      <name val="Univers for KPMG"/>
      <family val="2"/>
    </font>
    <font>
      <b/>
      <sz val="8"/>
      <color rgb="FFFFFFFF"/>
      <name val="Univers for KPMG"/>
      <family val="2"/>
    </font>
    <font>
      <sz val="8"/>
      <name val="Univers for KPMG"/>
      <family val="2"/>
    </font>
    <font>
      <sz val="8"/>
      <color theme="1"/>
      <name val="Univers for KPMG"/>
      <family val="2"/>
    </font>
    <font>
      <sz val="18"/>
      <name val="Arial"/>
      <family val="2"/>
    </font>
    <font>
      <b/>
      <i/>
      <sz val="6"/>
      <color rgb="FF000000"/>
      <name val="Univers for KPMG"/>
      <family val="2"/>
    </font>
    <font>
      <sz val="4"/>
      <color rgb="FF000000"/>
      <name val="Univers for KPMG"/>
      <family val="2"/>
    </font>
    <font>
      <i/>
      <sz val="4"/>
      <color rgb="FF000000"/>
      <name val="Univers for KPMG"/>
      <family val="2"/>
    </font>
    <font>
      <sz val="3"/>
      <color rgb="FF000000"/>
      <name val="Univers for KPMG"/>
      <family val="2"/>
    </font>
    <font>
      <i/>
      <sz val="3"/>
      <color rgb="FF000000"/>
      <name val="Univers for KPMG"/>
      <family val="2"/>
    </font>
    <font>
      <sz val="6"/>
      <color rgb="FF000000"/>
      <name val="Arial"/>
      <family val="2"/>
    </font>
    <font>
      <b/>
      <sz val="8"/>
      <color rgb="FF000000"/>
      <name val="Univers for KPMG"/>
      <family val="2"/>
    </font>
    <font>
      <sz val="6"/>
      <name val="Univers for KPMG"/>
      <family val="2"/>
    </font>
    <font>
      <sz val="6"/>
      <color theme="1"/>
      <name val="Univers for KPMG"/>
      <family val="2"/>
    </font>
    <font>
      <i/>
      <sz val="6"/>
      <color theme="1"/>
      <name val="Univers for KPMG"/>
      <family val="2"/>
    </font>
    <font>
      <b/>
      <sz val="3"/>
      <color rgb="FF000000"/>
      <name val="Univers for KPMG"/>
      <family val="2"/>
    </font>
    <font>
      <b/>
      <i/>
      <sz val="3"/>
      <color rgb="FF000000"/>
      <name val="Univers for KPMG"/>
      <family val="2"/>
    </font>
    <font>
      <sz val="8"/>
      <color rgb="FF000000"/>
      <name val="Univers for KPMG"/>
      <family val="2"/>
    </font>
    <font>
      <i/>
      <sz val="8"/>
      <color rgb="FF000000"/>
      <name val="Univers for KPMG"/>
      <family val="2"/>
    </font>
    <font>
      <b/>
      <i/>
      <sz val="8"/>
      <color rgb="FF000000"/>
      <name val="Univers for KPMG"/>
      <family val="2"/>
    </font>
    <font>
      <sz val="10"/>
      <color theme="1"/>
      <name val="Arial"/>
      <family val="2"/>
      <charset val="238"/>
    </font>
    <font>
      <sz val="16"/>
      <name val="Arial Black"/>
      <family val="2"/>
    </font>
    <font>
      <sz val="6"/>
      <name val="Arial"/>
      <family val="2"/>
    </font>
    <font>
      <sz val="8"/>
      <name val="Verdana"/>
      <family val="2"/>
    </font>
    <font>
      <b/>
      <sz val="8"/>
      <name val="Verdana"/>
      <family val="2"/>
    </font>
    <font>
      <b/>
      <sz val="16"/>
      <color rgb="FF969696"/>
      <name val="Tahoma"/>
      <family val="2"/>
    </font>
    <font>
      <sz val="8"/>
      <color rgb="FFFF00FF"/>
      <name val="Verdana"/>
      <family val="2"/>
    </font>
    <font>
      <sz val="8"/>
      <color rgb="FF00FF00"/>
      <name val="Verdana"/>
      <family val="2"/>
    </font>
    <font>
      <b/>
      <sz val="9"/>
      <name val="Verdana"/>
      <family val="2"/>
    </font>
    <font>
      <b/>
      <sz val="8"/>
      <color rgb="FF008000"/>
      <name val="Verdana"/>
      <family val="2"/>
    </font>
    <font>
      <sz val="8"/>
      <color rgb="FF008000"/>
      <name val="Verdana"/>
      <family val="2"/>
    </font>
    <font>
      <sz val="8"/>
      <color rgb="FF0070C0"/>
      <name val="Verdana"/>
      <family val="2"/>
    </font>
    <font>
      <sz val="8"/>
      <color rgb="FF00B050"/>
      <name val="Verdana"/>
      <family val="2"/>
    </font>
    <font>
      <sz val="11"/>
      <color rgb="FF000000"/>
      <name val="Arial"/>
      <family val="2"/>
    </font>
    <font>
      <b/>
      <sz val="11"/>
      <color rgb="FF000000"/>
      <name val="Arial"/>
      <family val="2"/>
    </font>
  </fonts>
  <fills count="50">
    <fill>
      <patternFill patternType="none"/>
    </fill>
    <fill>
      <patternFill patternType="gray125"/>
    </fill>
    <fill>
      <patternFill patternType="solid">
        <fgColor rgb="FFFAEDBF"/>
        <bgColor indexed="64"/>
      </patternFill>
    </fill>
    <fill>
      <patternFill patternType="solid">
        <fgColor rgb="FF409DAD"/>
        <bgColor indexed="64"/>
      </patternFill>
    </fill>
    <fill>
      <patternFill patternType="solid">
        <fgColor rgb="FF007C92"/>
        <bgColor indexed="64"/>
      </patternFill>
    </fill>
    <fill>
      <patternFill patternType="solid">
        <fgColor rgb="FFE5F2F4"/>
        <bgColor indexed="64"/>
      </patternFill>
    </fill>
    <fill>
      <patternFill patternType="solid">
        <fgColor rgb="FFDCDDDD"/>
        <bgColor indexed="64"/>
      </patternFill>
    </fill>
    <fill>
      <patternFill patternType="solid">
        <fgColor theme="0"/>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lightUp">
        <fgColor rgb="FFAEAAAA"/>
        <bgColor theme="0"/>
      </patternFill>
    </fill>
    <fill>
      <patternFill patternType="solid">
        <fgColor indexed="9"/>
        <bgColor indexed="64"/>
      </patternFill>
    </fill>
    <fill>
      <patternFill patternType="solid">
        <fgColor rgb="FFFF0000"/>
        <bgColor indexed="64"/>
      </patternFill>
    </fill>
    <fill>
      <patternFill patternType="solid">
        <fgColor rgb="FFFFFFFF"/>
        <bgColor indexed="64"/>
      </patternFill>
    </fill>
    <fill>
      <patternFill patternType="solid">
        <fgColor rgb="FF00338D"/>
        <bgColor indexed="64"/>
      </patternFill>
    </fill>
    <fill>
      <patternFill patternType="solid">
        <fgColor rgb="FFE3BC9F"/>
        <bgColor indexed="64"/>
      </patternFill>
    </fill>
    <fill>
      <patternFill patternType="solid">
        <fgColor rgb="FF43B02A"/>
        <bgColor indexed="64"/>
      </patternFill>
    </fill>
    <fill>
      <patternFill patternType="solid">
        <fgColor rgb="FF7AB800"/>
        <bgColor indexed="64"/>
      </patternFill>
    </fill>
    <fill>
      <patternFill patternType="solid">
        <fgColor rgb="FFFFFFFF"/>
      </patternFill>
    </fill>
    <fill>
      <patternFill patternType="solid">
        <fgColor rgb="FF99CCFF"/>
      </patternFill>
    </fill>
  </fills>
  <borders count="111">
    <border>
      <left/>
      <right/>
      <top/>
      <bottom/>
      <diagonal/>
    </border>
    <border>
      <left/>
      <right/>
      <top style="thin">
        <color indexed="64"/>
      </top>
      <bottom/>
      <diagonal/>
    </border>
    <border>
      <left style="thin">
        <color rgb="FF409DAD"/>
      </left>
      <right style="thin">
        <color rgb="FF409DAD"/>
      </right>
      <top style="thin">
        <color rgb="FF409DAD"/>
      </top>
      <bottom style="thin">
        <color rgb="FF409DAD"/>
      </bottom>
      <diagonal/>
    </border>
    <border>
      <left/>
      <right style="thin">
        <color rgb="FF007C92"/>
      </right>
      <top style="thin">
        <color rgb="FF007C92"/>
      </top>
      <bottom style="thin">
        <color rgb="FF007C92"/>
      </bottom>
      <diagonal/>
    </border>
    <border>
      <left/>
      <right/>
      <top style="thin">
        <color rgb="FF007C92"/>
      </top>
      <bottom style="thin">
        <color rgb="FF007C92"/>
      </bottom>
      <diagonal/>
    </border>
    <border>
      <left style="thin">
        <color rgb="FF007C92"/>
      </left>
      <right/>
      <top style="thin">
        <color rgb="FF007C92"/>
      </top>
      <bottom style="thin">
        <color rgb="FF007C92"/>
      </bottom>
      <diagonal/>
    </border>
    <border>
      <left style="thin">
        <color rgb="FF409DAD"/>
      </left>
      <right style="thin">
        <color rgb="FF409DAD"/>
      </right>
      <top style="thin">
        <color rgb="FF409DAD"/>
      </top>
      <bottom/>
      <diagonal/>
    </border>
    <border>
      <left style="thin">
        <color rgb="FF409DAD"/>
      </left>
      <right/>
      <top/>
      <bottom style="thin">
        <color rgb="FF409DAD"/>
      </bottom>
      <diagonal/>
    </border>
    <border>
      <left style="thin">
        <color rgb="FF409DAD"/>
      </left>
      <right style="thin">
        <color rgb="FF409DAD"/>
      </right>
      <top/>
      <bottom style="thin">
        <color rgb="FF409DAD"/>
      </bottom>
      <diagonal/>
    </border>
    <border>
      <left/>
      <right style="thin">
        <color rgb="FF409DAD"/>
      </right>
      <top style="thin">
        <color rgb="FF409DAD"/>
      </top>
      <bottom style="thin">
        <color rgb="FF409DAD"/>
      </bottom>
      <diagonal/>
    </border>
    <border>
      <left/>
      <right/>
      <top style="thin">
        <color rgb="FF409DAD"/>
      </top>
      <bottom style="thin">
        <color rgb="FF409DAD"/>
      </bottom>
      <diagonal/>
    </border>
    <border>
      <left style="thin">
        <color rgb="FF409DAD"/>
      </left>
      <right/>
      <top style="thin">
        <color rgb="FF409DAD"/>
      </top>
      <bottom style="thin">
        <color rgb="FF409DAD"/>
      </bottom>
      <diagonal/>
    </border>
    <border>
      <left/>
      <right style="thin">
        <color rgb="FF409DAD"/>
      </right>
      <top/>
      <bottom style="thin">
        <color rgb="FF409DAD"/>
      </bottom>
      <diagonal/>
    </border>
    <border>
      <left/>
      <right/>
      <top/>
      <bottom style="thin">
        <color rgb="FF409DAD"/>
      </bottom>
      <diagonal/>
    </border>
    <border>
      <left/>
      <right/>
      <top style="thin">
        <color rgb="FF409DAD"/>
      </top>
      <bottom/>
      <diagonal/>
    </border>
    <border>
      <left style="thin">
        <color rgb="FF409DAD"/>
      </left>
      <right style="thin">
        <color rgb="FF409DAD"/>
      </right>
      <top/>
      <bottom/>
      <diagonal/>
    </border>
    <border>
      <left/>
      <right style="thin">
        <color rgb="FF409DAD"/>
      </right>
      <top/>
      <bottom/>
      <diagonal/>
    </border>
    <border>
      <left style="thin">
        <color rgb="FF409DAD"/>
      </left>
      <right/>
      <top/>
      <bottom/>
      <diagonal/>
    </border>
    <border>
      <left/>
      <right style="thin">
        <color rgb="FF409DAD"/>
      </right>
      <top style="thin">
        <color rgb="FF409DAD"/>
      </top>
      <bottom/>
      <diagonal/>
    </border>
    <border>
      <left style="thin">
        <color rgb="FF409DAD"/>
      </left>
      <right/>
      <top style="thin">
        <color rgb="FF409DAD"/>
      </top>
      <bottom/>
      <diagonal/>
    </border>
    <border>
      <left/>
      <right/>
      <top/>
      <bottom style="thin">
        <color rgb="FF007C9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indexed="64"/>
      </top>
      <bottom/>
      <diagonal/>
    </border>
    <border>
      <left style="medium">
        <color theme="0"/>
      </left>
      <right style="medium">
        <color theme="0"/>
      </right>
      <top style="medium">
        <color theme="0"/>
      </top>
      <bottom style="medium">
        <color theme="0"/>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thin">
        <color rgb="FF00338D"/>
      </left>
      <right style="thin">
        <color rgb="FF00338D"/>
      </right>
      <top style="thin">
        <color rgb="FF00338D"/>
      </top>
      <bottom style="thin">
        <color rgb="FF00338D"/>
      </bottom>
      <diagonal/>
    </border>
    <border>
      <left style="thin">
        <color rgb="FF00338D"/>
      </left>
      <right style="thin">
        <color rgb="FF00338D"/>
      </right>
      <top style="thin">
        <color rgb="FF00338D"/>
      </top>
      <bottom/>
      <diagonal/>
    </border>
    <border>
      <left style="thin">
        <color rgb="FF00338D"/>
      </left>
      <right style="thin">
        <color rgb="FF00338D"/>
      </right>
      <top/>
      <bottom style="thin">
        <color rgb="FF00338D"/>
      </bottom>
      <diagonal/>
    </border>
    <border>
      <left style="thin">
        <color rgb="FF00338D"/>
      </left>
      <right/>
      <top style="thin">
        <color rgb="FF00338D"/>
      </top>
      <bottom style="thin">
        <color rgb="FF00338D"/>
      </bottom>
      <diagonal/>
    </border>
    <border>
      <left style="thin">
        <color rgb="FF00338D"/>
      </left>
      <right/>
      <top style="thin">
        <color rgb="FF00338D"/>
      </top>
      <bottom/>
      <diagonal/>
    </border>
    <border>
      <left style="thin">
        <color rgb="FF00338D"/>
      </left>
      <right/>
      <top/>
      <bottom style="thin">
        <color rgb="FF00338D"/>
      </bottom>
      <diagonal/>
    </border>
    <border>
      <left style="thin">
        <color rgb="FF00338D"/>
      </left>
      <right style="thin">
        <color rgb="FF00338D"/>
      </right>
      <top/>
      <bottom/>
      <diagonal/>
    </border>
    <border>
      <left/>
      <right style="thin">
        <color rgb="FF00338D"/>
      </right>
      <top style="thin">
        <color rgb="FF00338D"/>
      </top>
      <bottom style="thin">
        <color rgb="FF00338D"/>
      </bottom>
      <diagonal/>
    </border>
    <border>
      <left style="thin">
        <color rgb="FF00338D"/>
      </left>
      <right/>
      <top/>
      <bottom/>
      <diagonal/>
    </border>
    <border>
      <left style="medium">
        <color theme="0"/>
      </left>
      <right/>
      <top/>
      <bottom/>
      <diagonal/>
    </border>
    <border>
      <left/>
      <right/>
      <top style="thin">
        <color rgb="FF00338D"/>
      </top>
      <bottom style="thin">
        <color rgb="FF00338D"/>
      </bottom>
      <diagonal/>
    </border>
    <border>
      <left style="thin">
        <color rgb="FF808080"/>
      </left>
      <right/>
      <top style="thin">
        <color rgb="FF808080"/>
      </top>
      <bottom style="thin">
        <color rgb="FF808080"/>
      </bottom>
      <diagonal/>
    </border>
    <border>
      <left style="thin">
        <color indexed="64"/>
      </left>
      <right style="thin">
        <color indexed="64"/>
      </right>
      <top style="thin">
        <color indexed="64"/>
      </top>
      <bottom style="thin">
        <color indexed="64"/>
      </bottom>
      <diagonal/>
    </border>
    <border>
      <left style="thin">
        <color rgb="FF808080"/>
      </left>
      <right/>
      <top style="thin">
        <color rgb="FF808080"/>
      </top>
      <bottom/>
      <diagonal/>
    </border>
    <border>
      <left/>
      <right/>
      <top style="thin">
        <color rgb="FF808080"/>
      </top>
      <bottom/>
      <diagonal/>
    </border>
    <border>
      <left/>
      <right/>
      <top style="thin">
        <color rgb="FF808080"/>
      </top>
      <bottom style="thin">
        <color rgb="FF808080"/>
      </bottom>
      <diagonal/>
    </border>
    <border>
      <left style="thin">
        <color theme="0" tint="-0.499984740745262"/>
      </left>
      <right/>
      <top style="thin">
        <color auto="1"/>
      </top>
      <bottom/>
      <diagonal/>
    </border>
    <border>
      <left style="thin">
        <color theme="0" tint="-0.499984740745262"/>
      </left>
      <right/>
      <top/>
      <bottom/>
      <diagonal/>
    </border>
    <border>
      <left style="thin">
        <color theme="0" tint="-0.499984740745262"/>
      </left>
      <right/>
      <top style="thin">
        <color rgb="FF808080"/>
      </top>
      <bottom style="thin">
        <color rgb="FF808080"/>
      </bottom>
      <diagonal/>
    </border>
    <border>
      <left style="thin">
        <color indexed="24"/>
      </left>
      <right/>
      <top style="thin">
        <color indexed="24"/>
      </top>
      <bottom/>
      <diagonal/>
    </border>
    <border>
      <left/>
      <right/>
      <top style="thin">
        <color indexed="24"/>
      </top>
      <bottom/>
      <diagonal/>
    </border>
    <border>
      <left/>
      <right style="thin">
        <color indexed="24"/>
      </right>
      <top style="thin">
        <color indexed="24"/>
      </top>
      <bottom/>
      <diagonal/>
    </border>
    <border>
      <left style="thin">
        <color indexed="24"/>
      </left>
      <right/>
      <top/>
      <bottom/>
      <diagonal/>
    </border>
    <border>
      <left/>
      <right style="thin">
        <color indexed="24"/>
      </right>
      <top/>
      <bottom/>
      <diagonal/>
    </border>
    <border>
      <left style="thin">
        <color indexed="24"/>
      </left>
      <right/>
      <top/>
      <bottom style="medium">
        <color indexed="24"/>
      </bottom>
      <diagonal/>
    </border>
    <border>
      <left/>
      <right/>
      <top/>
      <bottom style="medium">
        <color indexed="24"/>
      </bottom>
      <diagonal/>
    </border>
    <border>
      <left/>
      <right style="thin">
        <color indexed="24"/>
      </right>
      <top/>
      <bottom style="medium">
        <color indexed="24"/>
      </bottom>
      <diagonal/>
    </border>
    <border>
      <left style="thin">
        <color rgb="FF00338D"/>
      </left>
      <right/>
      <top style="thin">
        <color indexed="24"/>
      </top>
      <bottom/>
      <diagonal/>
    </border>
    <border>
      <left/>
      <right style="thin">
        <color rgb="FF00338D"/>
      </right>
      <top style="thin">
        <color indexed="24"/>
      </top>
      <bottom/>
      <diagonal/>
    </border>
    <border>
      <left style="thin">
        <color indexed="24"/>
      </left>
      <right/>
      <top style="thin">
        <color rgb="FF00338D"/>
      </top>
      <bottom style="thin">
        <color rgb="FF00338D"/>
      </bottom>
      <diagonal/>
    </border>
    <border>
      <left/>
      <right style="thin">
        <color indexed="24"/>
      </right>
      <top style="thin">
        <color rgb="FF00338D"/>
      </top>
      <bottom style="thin">
        <color rgb="FF00338D"/>
      </bottom>
      <diagonal/>
    </border>
    <border>
      <left style="thin">
        <color indexed="24"/>
      </left>
      <right/>
      <top/>
      <bottom style="thin">
        <color indexed="24"/>
      </bottom>
      <diagonal/>
    </border>
    <border>
      <left/>
      <right/>
      <top/>
      <bottom style="thin">
        <color indexed="24"/>
      </bottom>
      <diagonal/>
    </border>
    <border>
      <left/>
      <right style="thin">
        <color indexed="24"/>
      </right>
      <top/>
      <bottom style="thin">
        <color indexed="24"/>
      </bottom>
      <diagonal/>
    </border>
    <border>
      <left style="thin">
        <color indexed="24"/>
      </left>
      <right/>
      <top style="thin">
        <color rgb="FF00338D"/>
      </top>
      <bottom style="thin">
        <color indexed="24"/>
      </bottom>
      <diagonal/>
    </border>
    <border>
      <left/>
      <right/>
      <top style="thin">
        <color rgb="FF00338D"/>
      </top>
      <bottom style="thin">
        <color indexed="24"/>
      </bottom>
      <diagonal/>
    </border>
    <border>
      <left/>
      <right style="thin">
        <color indexed="24"/>
      </right>
      <top style="thin">
        <color rgb="FF00338D"/>
      </top>
      <bottom style="thin">
        <color indexed="24"/>
      </bottom>
      <diagonal/>
    </border>
    <border>
      <left style="thin">
        <color indexed="24"/>
      </left>
      <right/>
      <top style="thin">
        <color indexed="24"/>
      </top>
      <bottom style="thin">
        <color indexed="24"/>
      </bottom>
      <diagonal/>
    </border>
    <border>
      <left/>
      <right/>
      <top style="thin">
        <color indexed="24"/>
      </top>
      <bottom style="thin">
        <color indexed="24"/>
      </bottom>
      <diagonal/>
    </border>
    <border>
      <left/>
      <right style="thin">
        <color indexed="24"/>
      </right>
      <top style="thin">
        <color indexed="24"/>
      </top>
      <bottom style="thin">
        <color indexed="24"/>
      </bottom>
      <diagonal/>
    </border>
    <border>
      <left style="thin">
        <color indexed="24"/>
      </left>
      <right/>
      <top style="thin">
        <color indexed="24"/>
      </top>
      <bottom style="medium">
        <color indexed="24"/>
      </bottom>
      <diagonal/>
    </border>
    <border>
      <left/>
      <right/>
      <top style="thin">
        <color indexed="24"/>
      </top>
      <bottom style="medium">
        <color indexed="24"/>
      </bottom>
      <diagonal/>
    </border>
    <border>
      <left/>
      <right style="thin">
        <color indexed="24"/>
      </right>
      <top style="thin">
        <color indexed="24"/>
      </top>
      <bottom style="medium">
        <color indexed="24"/>
      </bottom>
      <diagonal/>
    </border>
    <border>
      <left/>
      <right/>
      <top style="thin">
        <color indexed="64"/>
      </top>
      <bottom/>
      <diagonal/>
    </border>
    <border>
      <left style="thin">
        <color indexed="24"/>
      </left>
      <right/>
      <top style="thin">
        <color rgb="FF00338D"/>
      </top>
      <bottom/>
      <diagonal/>
    </border>
    <border>
      <left/>
      <right/>
      <top style="thin">
        <color rgb="FF00338D"/>
      </top>
      <bottom/>
      <diagonal/>
    </border>
    <border>
      <left/>
      <right style="thin">
        <color indexed="24"/>
      </right>
      <top style="thin">
        <color rgb="FF00338D"/>
      </top>
      <bottom/>
      <diagonal/>
    </border>
    <border>
      <left style="thin">
        <color rgb="FF00338D"/>
      </left>
      <right/>
      <top style="thin">
        <color indexed="24"/>
      </top>
      <bottom style="thin">
        <color rgb="FF00338D"/>
      </bottom>
      <diagonal/>
    </border>
    <border>
      <left/>
      <right/>
      <top style="thin">
        <color indexed="24"/>
      </top>
      <bottom style="thin">
        <color rgb="FF00338D"/>
      </bottom>
      <diagonal/>
    </border>
    <border>
      <left/>
      <right style="thin">
        <color rgb="FF00338D"/>
      </right>
      <top style="thin">
        <color indexed="24"/>
      </top>
      <bottom style="thin">
        <color rgb="FF00338D"/>
      </bottom>
      <diagonal/>
    </border>
    <border>
      <left style="thin">
        <color indexed="24"/>
      </left>
      <right/>
      <top style="thin">
        <color rgb="FF00338D"/>
      </top>
      <bottom style="medium">
        <color rgb="FF00338D"/>
      </bottom>
      <diagonal/>
    </border>
    <border>
      <left/>
      <right/>
      <top style="thin">
        <color rgb="FF00338D"/>
      </top>
      <bottom style="medium">
        <color rgb="FF00338D"/>
      </bottom>
      <diagonal/>
    </border>
    <border>
      <left/>
      <right style="thin">
        <color indexed="24"/>
      </right>
      <top style="thin">
        <color rgb="FF00338D"/>
      </top>
      <bottom style="medium">
        <color rgb="FF00338D"/>
      </bottom>
      <diagonal/>
    </border>
    <border>
      <left/>
      <right style="thin">
        <color rgb="FF00338D"/>
      </right>
      <top/>
      <bottom style="thin">
        <color rgb="FF00338D"/>
      </bottom>
      <diagonal/>
    </border>
    <border>
      <left/>
      <right style="thin">
        <color rgb="FF00338D"/>
      </right>
      <top style="thin">
        <color rgb="FF00338D"/>
      </top>
      <bottom/>
      <diagonal/>
    </border>
    <border>
      <left/>
      <right style="thin">
        <color rgb="FF00338D"/>
      </right>
      <top/>
      <bottom/>
      <diagonal/>
    </border>
    <border>
      <left style="thin">
        <color rgb="FF00338D"/>
      </left>
      <right/>
      <top/>
      <bottom style="medium">
        <color rgb="FF00338D"/>
      </bottom>
      <diagonal/>
    </border>
    <border>
      <left/>
      <right/>
      <top/>
      <bottom style="medium">
        <color rgb="FF00338D"/>
      </bottom>
      <diagonal/>
    </border>
    <border>
      <left/>
      <right style="thin">
        <color rgb="FF00338D"/>
      </right>
      <top/>
      <bottom style="medium">
        <color rgb="FF00338D"/>
      </bottom>
      <diagonal/>
    </border>
    <border>
      <left/>
      <right/>
      <top/>
      <bottom style="thin">
        <color rgb="FF00338D"/>
      </bottom>
      <diagonal/>
    </border>
    <border>
      <left style="thin">
        <color rgb="FF00338D"/>
      </left>
      <right/>
      <top style="thin">
        <color rgb="FF00338D"/>
      </top>
      <bottom style="medium">
        <color rgb="FF00338D"/>
      </bottom>
      <diagonal/>
    </border>
    <border>
      <left/>
      <right style="thin">
        <color rgb="FF00338D"/>
      </right>
      <top style="thin">
        <color rgb="FF00338D"/>
      </top>
      <bottom style="medium">
        <color rgb="FF00338D"/>
      </bottom>
      <diagonal/>
    </border>
    <border>
      <left style="thin">
        <color indexed="24"/>
      </left>
      <right/>
      <top style="thin">
        <color indexed="24"/>
      </top>
      <bottom style="hair">
        <color indexed="24"/>
      </bottom>
      <diagonal/>
    </border>
    <border>
      <left/>
      <right/>
      <top style="thin">
        <color indexed="24"/>
      </top>
      <bottom style="hair">
        <color indexed="24"/>
      </bottom>
      <diagonal/>
    </border>
    <border>
      <left/>
      <right style="thin">
        <color indexed="24"/>
      </right>
      <top style="thin">
        <color indexed="24"/>
      </top>
      <bottom style="hair">
        <color indexed="24"/>
      </bottom>
      <diagonal/>
    </border>
    <border>
      <left style="thin">
        <color indexed="24"/>
      </left>
      <right/>
      <top style="hair">
        <color indexed="24"/>
      </top>
      <bottom style="hair">
        <color indexed="24"/>
      </bottom>
      <diagonal/>
    </border>
    <border>
      <left/>
      <right/>
      <top style="hair">
        <color indexed="24"/>
      </top>
      <bottom style="hair">
        <color indexed="24"/>
      </bottom>
      <diagonal/>
    </border>
    <border>
      <left/>
      <right style="thin">
        <color indexed="24"/>
      </right>
      <top style="hair">
        <color indexed="24"/>
      </top>
      <bottom style="hair">
        <color indexed="24"/>
      </bottom>
      <diagonal/>
    </border>
    <border>
      <left style="thin">
        <color indexed="24"/>
      </left>
      <right/>
      <top style="hair">
        <color indexed="24"/>
      </top>
      <bottom style="medium">
        <color indexed="24"/>
      </bottom>
      <diagonal/>
    </border>
    <border>
      <left/>
      <right/>
      <top style="hair">
        <color indexed="24"/>
      </top>
      <bottom style="medium">
        <color indexed="24"/>
      </bottom>
      <diagonal/>
    </border>
    <border>
      <left/>
      <right style="thin">
        <color indexed="24"/>
      </right>
      <top style="hair">
        <color indexed="24"/>
      </top>
      <bottom style="medium">
        <color indexed="24"/>
      </bottom>
      <diagonal/>
    </border>
    <border>
      <left style="thin">
        <color indexed="24"/>
      </left>
      <right/>
      <top style="hair">
        <color indexed="24"/>
      </top>
      <bottom style="thin">
        <color indexed="24"/>
      </bottom>
      <diagonal/>
    </border>
    <border>
      <left/>
      <right/>
      <top style="hair">
        <color indexed="24"/>
      </top>
      <bottom style="thin">
        <color indexed="24"/>
      </bottom>
      <diagonal/>
    </border>
    <border>
      <left/>
      <right style="thin">
        <color indexed="24"/>
      </right>
      <top style="hair">
        <color indexed="24"/>
      </top>
      <bottom style="thin">
        <color indexed="24"/>
      </bottom>
      <diagonal/>
    </border>
    <border>
      <left style="thin">
        <color indexed="24"/>
      </left>
      <right/>
      <top/>
      <bottom style="hair">
        <color indexed="24"/>
      </bottom>
      <diagonal/>
    </border>
    <border>
      <left/>
      <right/>
      <top/>
      <bottom style="hair">
        <color indexed="24"/>
      </bottom>
      <diagonal/>
    </border>
    <border>
      <left/>
      <right style="thin">
        <color indexed="24"/>
      </right>
      <top/>
      <bottom style="hair">
        <color indexed="24"/>
      </bottom>
      <diagonal/>
    </border>
  </borders>
  <cellStyleXfs count="106">
    <xf numFmtId="164" fontId="0" fillId="0" borderId="0" applyFont="0" applyFill="0" applyBorder="0" applyProtection="0">
      <alignment vertical="center"/>
    </xf>
    <xf numFmtId="164" fontId="5" fillId="0" borderId="0" applyFont="0" applyFill="0" applyBorder="0" applyProtection="0">
      <alignment vertical="center"/>
      <protection locked="0"/>
    </xf>
    <xf numFmtId="164" fontId="5" fillId="0" borderId="0" applyFont="0" applyFill="0" applyBorder="0" applyProtection="0">
      <alignment vertical="center"/>
    </xf>
    <xf numFmtId="165" fontId="5" fillId="0" borderId="0" applyFont="0" applyFill="0" applyBorder="0" applyProtection="0">
      <alignment vertical="center"/>
    </xf>
    <xf numFmtId="166" fontId="5" fillId="0" borderId="0" applyFont="0" applyFill="0" applyBorder="0" applyProtection="0">
      <alignment vertical="center"/>
    </xf>
    <xf numFmtId="172" fontId="5" fillId="0" borderId="0" applyFont="0" applyFill="0" applyBorder="0" applyProtection="0">
      <alignment vertical="center"/>
    </xf>
    <xf numFmtId="168" fontId="5" fillId="0" borderId="0" applyFont="0" applyFill="0" applyBorder="0" applyProtection="0">
      <alignment vertical="center"/>
    </xf>
    <xf numFmtId="165" fontId="5" fillId="0" borderId="0" applyFont="0" applyFill="0" applyBorder="0" applyProtection="0">
      <alignment vertical="center"/>
      <protection locked="0"/>
    </xf>
    <xf numFmtId="41" fontId="5" fillId="0" borderId="0" applyFont="0" applyFill="0" applyBorder="0" applyAlignment="0" applyProtection="0">
      <protection locked="0"/>
    </xf>
    <xf numFmtId="44" fontId="5" fillId="0" borderId="0" applyFont="0" applyFill="0" applyBorder="0" applyAlignment="0" applyProtection="0">
      <protection locked="0"/>
    </xf>
    <xf numFmtId="42" fontId="5" fillId="0" borderId="0" applyFont="0" applyFill="0" applyBorder="0" applyAlignment="0" applyProtection="0">
      <protection locked="0"/>
    </xf>
    <xf numFmtId="0" fontId="8" fillId="0" borderId="0" applyNumberFormat="0" applyFill="0" applyBorder="0" applyAlignment="0" applyProtection="0">
      <protection locked="0"/>
    </xf>
    <xf numFmtId="0" fontId="9" fillId="0" borderId="21" applyNumberFormat="0" applyFill="0" applyAlignment="0" applyProtection="0">
      <protection locked="0"/>
    </xf>
    <xf numFmtId="0" fontId="10" fillId="0" borderId="22" applyNumberFormat="0" applyFill="0" applyAlignment="0" applyProtection="0">
      <protection locked="0"/>
    </xf>
    <xf numFmtId="0" fontId="11" fillId="0" borderId="23" applyNumberFormat="0" applyFill="0" applyAlignment="0" applyProtection="0">
      <protection locked="0"/>
    </xf>
    <xf numFmtId="0" fontId="11" fillId="0" borderId="0" applyNumberFormat="0" applyFill="0" applyBorder="0" applyAlignment="0" applyProtection="0">
      <protection locked="0"/>
    </xf>
    <xf numFmtId="0" fontId="12" fillId="9" borderId="0" applyNumberFormat="0" applyBorder="0" applyAlignment="0" applyProtection="0">
      <protection locked="0"/>
    </xf>
    <xf numFmtId="0" fontId="13" fillId="10" borderId="0" applyNumberFormat="0" applyBorder="0" applyAlignment="0" applyProtection="0">
      <protection locked="0"/>
    </xf>
    <xf numFmtId="0" fontId="14" fillId="11" borderId="0" applyNumberFormat="0" applyBorder="0" applyAlignment="0" applyProtection="0">
      <protection locked="0"/>
    </xf>
    <xf numFmtId="0" fontId="15" fillId="12" borderId="24" applyNumberFormat="0" applyAlignment="0" applyProtection="0">
      <protection locked="0"/>
    </xf>
    <xf numFmtId="0" fontId="16" fillId="13" borderId="25" applyNumberFormat="0" applyAlignment="0" applyProtection="0">
      <protection locked="0"/>
    </xf>
    <xf numFmtId="0" fontId="17" fillId="13" borderId="24" applyNumberFormat="0" applyAlignment="0" applyProtection="0">
      <protection locked="0"/>
    </xf>
    <xf numFmtId="0" fontId="18" fillId="0" borderId="26" applyNumberFormat="0" applyFill="0" applyAlignment="0" applyProtection="0">
      <protection locked="0"/>
    </xf>
    <xf numFmtId="0" fontId="19" fillId="14" borderId="27" applyNumberFormat="0" applyAlignment="0" applyProtection="0">
      <protection locked="0"/>
    </xf>
    <xf numFmtId="0" fontId="20" fillId="0" borderId="0" applyNumberFormat="0" applyFill="0" applyBorder="0" applyAlignment="0" applyProtection="0">
      <protection locked="0"/>
    </xf>
    <xf numFmtId="0" fontId="5" fillId="15" borderId="28" applyNumberFormat="0" applyFont="0" applyAlignment="0" applyProtection="0">
      <protection locked="0"/>
    </xf>
    <xf numFmtId="0" fontId="21" fillId="0" borderId="0" applyNumberFormat="0" applyFill="0" applyBorder="0" applyAlignment="0" applyProtection="0">
      <protection locked="0"/>
    </xf>
    <xf numFmtId="0" fontId="22" fillId="0" borderId="29" applyNumberFormat="0" applyFill="0" applyAlignment="0" applyProtection="0">
      <protection locked="0"/>
    </xf>
    <xf numFmtId="0" fontId="23" fillId="16" borderId="0" applyNumberFormat="0" applyBorder="0" applyAlignment="0" applyProtection="0">
      <protection locked="0"/>
    </xf>
    <xf numFmtId="0" fontId="5" fillId="17" borderId="0" applyNumberFormat="0" applyBorder="0" applyAlignment="0" applyProtection="0">
      <protection locked="0"/>
    </xf>
    <xf numFmtId="0" fontId="5" fillId="18" borderId="0" applyNumberFormat="0" applyBorder="0" applyAlignment="0" applyProtection="0">
      <protection locked="0"/>
    </xf>
    <xf numFmtId="0" fontId="23" fillId="19" borderId="0" applyNumberFormat="0" applyBorder="0" applyAlignment="0" applyProtection="0">
      <protection locked="0"/>
    </xf>
    <xf numFmtId="0" fontId="23" fillId="20" borderId="0" applyNumberFormat="0" applyBorder="0" applyAlignment="0" applyProtection="0">
      <protection locked="0"/>
    </xf>
    <xf numFmtId="0" fontId="5" fillId="21" borderId="0" applyNumberFormat="0" applyBorder="0" applyAlignment="0" applyProtection="0">
      <protection locked="0"/>
    </xf>
    <xf numFmtId="0" fontId="5" fillId="22" borderId="0" applyNumberFormat="0" applyBorder="0" applyAlignment="0" applyProtection="0">
      <protection locked="0"/>
    </xf>
    <xf numFmtId="0" fontId="23" fillId="23" borderId="0" applyNumberFormat="0" applyBorder="0" applyAlignment="0" applyProtection="0">
      <protection locked="0"/>
    </xf>
    <xf numFmtId="0" fontId="23" fillId="24" borderId="0" applyNumberFormat="0" applyBorder="0" applyAlignment="0" applyProtection="0">
      <protection locked="0"/>
    </xf>
    <xf numFmtId="0" fontId="5" fillId="25" borderId="0" applyNumberFormat="0" applyBorder="0" applyAlignment="0" applyProtection="0">
      <protection locked="0"/>
    </xf>
    <xf numFmtId="0" fontId="5" fillId="26" borderId="0" applyNumberFormat="0" applyBorder="0" applyAlignment="0" applyProtection="0">
      <protection locked="0"/>
    </xf>
    <xf numFmtId="0" fontId="23" fillId="27" borderId="0" applyNumberFormat="0" applyBorder="0" applyAlignment="0" applyProtection="0">
      <protection locked="0"/>
    </xf>
    <xf numFmtId="0" fontId="23" fillId="28" borderId="0" applyNumberFormat="0" applyBorder="0" applyAlignment="0" applyProtection="0">
      <protection locked="0"/>
    </xf>
    <xf numFmtId="0" fontId="5" fillId="29" borderId="0" applyNumberFormat="0" applyBorder="0" applyAlignment="0" applyProtection="0">
      <protection locked="0"/>
    </xf>
    <xf numFmtId="0" fontId="5" fillId="30" borderId="0" applyNumberFormat="0" applyBorder="0" applyAlignment="0" applyProtection="0">
      <protection locked="0"/>
    </xf>
    <xf numFmtId="0" fontId="23" fillId="31" borderId="0" applyNumberFormat="0" applyBorder="0" applyAlignment="0" applyProtection="0">
      <protection locked="0"/>
    </xf>
    <xf numFmtId="0" fontId="23" fillId="32" borderId="0" applyNumberFormat="0" applyBorder="0" applyAlignment="0" applyProtection="0">
      <protection locked="0"/>
    </xf>
    <xf numFmtId="0" fontId="5" fillId="33" borderId="0" applyNumberFormat="0" applyBorder="0" applyAlignment="0" applyProtection="0">
      <protection locked="0"/>
    </xf>
    <xf numFmtId="0" fontId="5" fillId="34" borderId="0" applyNumberFormat="0" applyBorder="0" applyAlignment="0" applyProtection="0">
      <protection locked="0"/>
    </xf>
    <xf numFmtId="0" fontId="23" fillId="35" borderId="0" applyNumberFormat="0" applyBorder="0" applyAlignment="0" applyProtection="0">
      <protection locked="0"/>
    </xf>
    <xf numFmtId="0" fontId="23" fillId="36" borderId="0" applyNumberFormat="0" applyBorder="0" applyAlignment="0" applyProtection="0">
      <protection locked="0"/>
    </xf>
    <xf numFmtId="0" fontId="5" fillId="37" borderId="0" applyNumberFormat="0" applyBorder="0" applyAlignment="0" applyProtection="0">
      <protection locked="0"/>
    </xf>
    <xf numFmtId="0" fontId="5" fillId="38" borderId="0" applyNumberFormat="0" applyBorder="0" applyAlignment="0" applyProtection="0">
      <protection locked="0"/>
    </xf>
    <xf numFmtId="0" fontId="23" fillId="39" borderId="0" applyNumberFormat="0" applyBorder="0" applyAlignment="0" applyProtection="0">
      <protection locked="0"/>
    </xf>
    <xf numFmtId="164" fontId="24" fillId="0" borderId="0" applyNumberFormat="0" applyFill="0" applyBorder="0" applyAlignment="0" applyProtection="0">
      <alignment vertical="center"/>
      <protection locked="0"/>
    </xf>
    <xf numFmtId="9" fontId="4" fillId="0" borderId="0" applyFont="0" applyFill="0" applyBorder="0" applyAlignment="0" applyProtection="0"/>
    <xf numFmtId="164" fontId="3" fillId="0" borderId="0" applyFont="0" applyFill="0" applyBorder="0" applyProtection="0">
      <alignment vertical="center"/>
    </xf>
    <xf numFmtId="172" fontId="3" fillId="0" borderId="0" applyFont="0" applyFill="0" applyBorder="0" applyProtection="0">
      <alignment vertical="center"/>
    </xf>
    <xf numFmtId="0" fontId="2" fillId="0" borderId="0"/>
    <xf numFmtId="164" fontId="2" fillId="0" borderId="0" applyFont="0" applyFill="0" applyBorder="0" applyProtection="0">
      <alignment vertical="center"/>
    </xf>
    <xf numFmtId="164" fontId="1" fillId="0" borderId="0" applyFont="0" applyFill="0" applyBorder="0" applyProtection="0">
      <alignment vertical="center"/>
    </xf>
    <xf numFmtId="168" fontId="1" fillId="0" borderId="0" applyFont="0" applyFill="0" applyBorder="0" applyProtection="0">
      <alignment vertical="center"/>
    </xf>
    <xf numFmtId="164" fontId="1" fillId="0" borderId="0" applyFont="0" applyFill="0" applyBorder="0" applyProtection="0">
      <alignment vertical="center"/>
    </xf>
    <xf numFmtId="166" fontId="1" fillId="0" borderId="0" applyFont="0" applyFill="0" applyBorder="0" applyProtection="0">
      <alignment vertical="center"/>
    </xf>
    <xf numFmtId="164" fontId="24" fillId="0" borderId="0" applyNumberFormat="0" applyFill="0" applyBorder="0" applyAlignment="0" applyProtection="0">
      <alignment vertical="center"/>
    </xf>
    <xf numFmtId="164" fontId="24" fillId="0" borderId="0" applyNumberFormat="0" applyFill="0" applyBorder="0" applyAlignment="0" applyProtection="0">
      <alignment vertical="center"/>
    </xf>
    <xf numFmtId="0" fontId="4" fillId="0" borderId="0"/>
    <xf numFmtId="164" fontId="5" fillId="0" borderId="0" applyFont="0" applyFill="0" applyBorder="0" applyProtection="0">
      <alignment vertical="center"/>
    </xf>
    <xf numFmtId="164" fontId="5" fillId="0" borderId="0" applyFont="0" applyFill="0" applyBorder="0" applyProtection="0">
      <alignment vertical="center"/>
    </xf>
    <xf numFmtId="0" fontId="25" fillId="0" borderId="0"/>
    <xf numFmtId="0" fontId="1" fillId="0" borderId="0"/>
    <xf numFmtId="0" fontId="1" fillId="0" borderId="0"/>
    <xf numFmtId="0" fontId="4" fillId="0" borderId="0"/>
    <xf numFmtId="165" fontId="1" fillId="0" borderId="0" applyFont="0" applyFill="0" applyBorder="0" applyProtection="0">
      <alignment vertical="center"/>
    </xf>
    <xf numFmtId="0" fontId="27" fillId="0" borderId="0"/>
    <xf numFmtId="0" fontId="4" fillId="0" borderId="0"/>
    <xf numFmtId="9" fontId="1" fillId="0" borderId="0" applyFont="0" applyFill="0" applyBorder="0" applyAlignment="0" applyProtection="0"/>
    <xf numFmtId="174" fontId="1" fillId="0" borderId="0" applyFont="0" applyFill="0" applyBorder="0" applyAlignment="0" applyProtection="0"/>
    <xf numFmtId="0" fontId="4" fillId="0" borderId="0"/>
    <xf numFmtId="43" fontId="5" fillId="0" borderId="0" applyFont="0" applyFill="0" applyBorder="0" applyAlignment="0" applyProtection="0"/>
    <xf numFmtId="0" fontId="35" fillId="0" borderId="0"/>
    <xf numFmtId="0" fontId="34" fillId="41" borderId="0">
      <alignment vertical="center"/>
    </xf>
    <xf numFmtId="0" fontId="38" fillId="41" borderId="0">
      <alignment vertical="center"/>
    </xf>
    <xf numFmtId="43" fontId="1" fillId="0" borderId="0" applyFont="0" applyFill="0" applyBorder="0" applyAlignment="0" applyProtection="0"/>
    <xf numFmtId="0" fontId="29" fillId="0" borderId="0"/>
    <xf numFmtId="0" fontId="4" fillId="0" borderId="0"/>
    <xf numFmtId="0" fontId="42" fillId="0" borderId="0" applyFill="0" applyBorder="0" applyProtection="0"/>
    <xf numFmtId="0" fontId="42" fillId="0" borderId="0" applyFill="0" applyBorder="0" applyProtection="0"/>
    <xf numFmtId="178" fontId="43" fillId="0" borderId="0" applyFill="0" applyBorder="0" applyAlignment="0" applyProtection="0"/>
    <xf numFmtId="9" fontId="43" fillId="0" borderId="0" applyFill="0" applyBorder="0" applyAlignment="0" applyProtection="0"/>
    <xf numFmtId="0" fontId="1" fillId="0" borderId="0"/>
    <xf numFmtId="0" fontId="1" fillId="0" borderId="0"/>
    <xf numFmtId="0" fontId="25" fillId="0" borderId="0"/>
    <xf numFmtId="0" fontId="91" fillId="0" borderId="0"/>
    <xf numFmtId="43" fontId="4" fillId="0" borderId="0" applyFont="0" applyFill="0" applyBorder="0" applyAlignment="0" applyProtection="0"/>
    <xf numFmtId="0" fontId="93" fillId="0" borderId="0"/>
    <xf numFmtId="0" fontId="94" fillId="0" borderId="0"/>
    <xf numFmtId="0" fontId="1" fillId="0" borderId="0"/>
    <xf numFmtId="0" fontId="94" fillId="0" borderId="0"/>
    <xf numFmtId="0" fontId="94" fillId="0" borderId="0"/>
    <xf numFmtId="0" fontId="95" fillId="0" borderId="0"/>
    <xf numFmtId="43" fontId="93" fillId="0" borderId="0" applyFont="0" applyFill="0" applyBorder="0" applyAlignment="0" applyProtection="0"/>
    <xf numFmtId="0" fontId="94" fillId="0" borderId="0"/>
    <xf numFmtId="0" fontId="119" fillId="0" borderId="0"/>
    <xf numFmtId="9" fontId="119" fillId="0" borderId="0" applyFont="0" applyFill="0" applyBorder="0" applyAlignment="0" applyProtection="0"/>
    <xf numFmtId="186" fontId="119" fillId="0" borderId="0" applyFont="0" applyFill="0" applyBorder="0" applyAlignment="0" applyProtection="0"/>
    <xf numFmtId="0" fontId="121" fillId="0" borderId="0"/>
    <xf numFmtId="0" fontId="132" fillId="0" borderId="0"/>
  </cellStyleXfs>
  <cellXfs count="978">
    <xf numFmtId="164" fontId="0" fillId="0" borderId="0" xfId="0">
      <alignment vertical="center"/>
    </xf>
    <xf numFmtId="164" fontId="19" fillId="4" borderId="0" xfId="0" applyFont="1" applyFill="1" applyAlignment="1">
      <alignment horizontal="left" vertical="center"/>
    </xf>
    <xf numFmtId="164" fontId="44" fillId="4" borderId="0" xfId="0" applyFont="1" applyFill="1" applyAlignment="1">
      <alignment horizontal="left" vertical="center"/>
    </xf>
    <xf numFmtId="168" fontId="23" fillId="4" borderId="0" xfId="6" applyFont="1" applyFill="1" applyAlignment="1">
      <alignment horizontal="right" vertical="center"/>
    </xf>
    <xf numFmtId="164" fontId="19" fillId="4" borderId="0" xfId="0" applyFont="1" applyFill="1" applyAlignment="1">
      <alignment horizontal="right" vertical="center"/>
    </xf>
    <xf numFmtId="164" fontId="45" fillId="4" borderId="0" xfId="0" applyFont="1" applyFill="1" applyAlignment="1">
      <alignment horizontal="right" vertical="center"/>
    </xf>
    <xf numFmtId="164" fontId="22" fillId="0" borderId="0" xfId="0" applyFont="1" applyAlignment="1">
      <alignment horizontal="right" vertical="center"/>
    </xf>
    <xf numFmtId="0" fontId="23" fillId="4" borderId="0" xfId="0" applyNumberFormat="1" applyFont="1" applyFill="1" applyAlignment="1">
      <alignment horizontal="right" vertical="center"/>
    </xf>
    <xf numFmtId="0" fontId="19" fillId="4" borderId="0" xfId="0" applyNumberFormat="1" applyFont="1" applyFill="1" applyAlignment="1">
      <alignment horizontal="right" vertical="center"/>
    </xf>
    <xf numFmtId="164" fontId="22" fillId="0" borderId="0" xfId="0" applyFont="1" applyAlignment="1">
      <alignment horizontal="left" vertical="center"/>
    </xf>
    <xf numFmtId="164" fontId="5" fillId="0" borderId="0" xfId="0" applyFont="1" applyAlignment="1">
      <alignment horizontal="left" vertical="center"/>
    </xf>
    <xf numFmtId="164" fontId="33" fillId="0" borderId="0" xfId="0" applyFont="1" applyAlignment="1">
      <alignment horizontal="left" vertical="center"/>
    </xf>
    <xf numFmtId="164" fontId="5" fillId="0" borderId="0" xfId="0" applyFont="1" applyAlignment="1">
      <alignment horizontal="right" vertical="center"/>
    </xf>
    <xf numFmtId="164" fontId="33" fillId="0" borderId="0" xfId="0" applyFont="1" applyAlignment="1">
      <alignment horizontal="right" vertical="center"/>
    </xf>
    <xf numFmtId="164" fontId="19" fillId="3" borderId="5" xfId="0" applyFont="1" applyFill="1" applyBorder="1" applyAlignment="1">
      <alignment horizontal="left" vertical="center"/>
    </xf>
    <xf numFmtId="164" fontId="19" fillId="3" borderId="4" xfId="0" applyFont="1" applyFill="1" applyBorder="1" applyAlignment="1">
      <alignment horizontal="left" vertical="center"/>
    </xf>
    <xf numFmtId="40" fontId="23" fillId="3" borderId="4" xfId="0" applyNumberFormat="1" applyFont="1" applyFill="1" applyBorder="1" applyAlignment="1">
      <alignment horizontal="left" vertical="center"/>
    </xf>
    <xf numFmtId="164" fontId="23" fillId="3" borderId="4" xfId="0" applyFont="1" applyFill="1" applyBorder="1" applyAlignment="1">
      <alignment horizontal="left" vertical="center"/>
    </xf>
    <xf numFmtId="164" fontId="45" fillId="3" borderId="4" xfId="0" applyFont="1" applyFill="1" applyBorder="1" applyAlignment="1">
      <alignment horizontal="left" vertical="center"/>
    </xf>
    <xf numFmtId="164" fontId="23" fillId="3" borderId="4" xfId="0" applyFont="1" applyFill="1" applyBorder="1" applyAlignment="1">
      <alignment horizontal="right" vertical="center"/>
    </xf>
    <xf numFmtId="164" fontId="45" fillId="3" borderId="4" xfId="0" applyFont="1" applyFill="1" applyBorder="1" applyAlignment="1">
      <alignment horizontal="right" vertical="center"/>
    </xf>
    <xf numFmtId="164" fontId="23" fillId="3" borderId="3" xfId="0" applyFont="1" applyFill="1" applyBorder="1" applyAlignment="1">
      <alignment horizontal="left" vertical="center"/>
    </xf>
    <xf numFmtId="164" fontId="33" fillId="0" borderId="0" xfId="0" applyFont="1" applyAlignment="1">
      <alignment horizontal="center" vertical="center"/>
    </xf>
    <xf numFmtId="170" fontId="47" fillId="0" borderId="0" xfId="4" applyNumberFormat="1" applyFont="1" applyAlignment="1">
      <alignment horizontal="right" vertical="center"/>
    </xf>
    <xf numFmtId="166" fontId="5" fillId="0" borderId="0" xfId="4" applyFont="1" applyAlignment="1">
      <alignment horizontal="right" vertical="center"/>
    </xf>
    <xf numFmtId="167" fontId="22" fillId="0" borderId="0" xfId="0" applyNumberFormat="1" applyFont="1">
      <alignment vertical="center"/>
    </xf>
    <xf numFmtId="164" fontId="22" fillId="7" borderId="0" xfId="0" applyFont="1" applyFill="1">
      <alignment vertical="center"/>
    </xf>
    <xf numFmtId="164" fontId="22" fillId="0" borderId="0" xfId="0" applyFont="1">
      <alignment vertical="center"/>
    </xf>
    <xf numFmtId="164" fontId="5" fillId="0" borderId="0" xfId="0" applyFont="1">
      <alignment vertical="center"/>
    </xf>
    <xf numFmtId="164" fontId="4" fillId="0" borderId="0" xfId="0" applyFont="1" applyFill="1" applyBorder="1" applyAlignment="1">
      <alignment horizontal="right" vertical="center"/>
    </xf>
    <xf numFmtId="164" fontId="48" fillId="0" borderId="0" xfId="0" applyFont="1" applyFill="1" applyBorder="1" applyAlignment="1">
      <alignment horizontal="right" vertical="center"/>
    </xf>
    <xf numFmtId="165" fontId="33" fillId="0" borderId="0" xfId="3" applyFont="1" applyAlignment="1">
      <alignment horizontal="right" vertical="center"/>
    </xf>
    <xf numFmtId="167" fontId="22" fillId="7" borderId="0" xfId="0" applyNumberFormat="1" applyFont="1" applyFill="1">
      <alignment vertical="center"/>
    </xf>
    <xf numFmtId="164" fontId="22" fillId="7" borderId="0" xfId="0" applyFont="1" applyFill="1" applyAlignment="1">
      <alignment horizontal="right" vertical="center"/>
    </xf>
    <xf numFmtId="164" fontId="28" fillId="0" borderId="0" xfId="0" applyFont="1" applyFill="1" applyBorder="1" applyAlignment="1">
      <alignment horizontal="right" vertical="center"/>
    </xf>
    <xf numFmtId="164" fontId="49" fillId="0" borderId="0" xfId="0" applyFont="1" applyFill="1" applyBorder="1" applyAlignment="1">
      <alignment horizontal="right" vertical="center"/>
    </xf>
    <xf numFmtId="166" fontId="28" fillId="0" borderId="0" xfId="4" applyFont="1" applyFill="1" applyAlignment="1">
      <alignment horizontal="right" vertical="center"/>
    </xf>
    <xf numFmtId="167" fontId="33" fillId="7" borderId="0" xfId="0" applyNumberFormat="1" applyFont="1" applyFill="1">
      <alignment vertical="center"/>
    </xf>
    <xf numFmtId="164" fontId="33" fillId="7" borderId="0" xfId="0" applyFont="1" applyFill="1" applyAlignment="1">
      <alignment horizontal="right" vertical="center"/>
    </xf>
    <xf numFmtId="164" fontId="22" fillId="7" borderId="0" xfId="0" applyFont="1" applyFill="1" applyAlignment="1">
      <alignment horizontal="left" vertical="center"/>
    </xf>
    <xf numFmtId="164" fontId="33" fillId="0" borderId="0" xfId="0" applyFont="1">
      <alignment vertical="center"/>
    </xf>
    <xf numFmtId="167" fontId="5" fillId="7" borderId="0" xfId="0" applyNumberFormat="1" applyFont="1" applyFill="1">
      <alignment vertical="center"/>
    </xf>
    <xf numFmtId="164" fontId="5" fillId="7" borderId="0" xfId="0" applyFont="1" applyFill="1" applyAlignment="1">
      <alignment horizontal="right" vertical="center"/>
    </xf>
    <xf numFmtId="164" fontId="32" fillId="0" borderId="0" xfId="0" applyFont="1" applyAlignment="1">
      <alignment horizontal="left" vertical="center"/>
    </xf>
    <xf numFmtId="167" fontId="32" fillId="7" borderId="0" xfId="0" applyNumberFormat="1" applyFont="1" applyFill="1">
      <alignment vertical="center"/>
    </xf>
    <xf numFmtId="164" fontId="32" fillId="7" borderId="0" xfId="0" applyFont="1" applyFill="1" applyAlignment="1">
      <alignment horizontal="right" vertical="center"/>
    </xf>
    <xf numFmtId="164" fontId="32" fillId="0" borderId="0" xfId="0" applyFont="1" applyAlignment="1">
      <alignment horizontal="right" vertical="center"/>
    </xf>
    <xf numFmtId="164" fontId="33" fillId="7" borderId="0" xfId="0" applyFont="1" applyFill="1">
      <alignment vertical="center"/>
    </xf>
    <xf numFmtId="164" fontId="32" fillId="7" borderId="0" xfId="0" applyFont="1" applyFill="1" applyAlignment="1">
      <alignment horizontal="left" vertical="center"/>
    </xf>
    <xf numFmtId="164" fontId="22" fillId="5" borderId="11" xfId="0" applyFont="1" applyFill="1" applyBorder="1">
      <alignment vertical="center"/>
    </xf>
    <xf numFmtId="164" fontId="22" fillId="5" borderId="10" xfId="0" applyFont="1" applyFill="1" applyBorder="1" applyAlignment="1">
      <alignment horizontal="left" vertical="center"/>
    </xf>
    <xf numFmtId="164" fontId="49" fillId="5" borderId="10" xfId="0" applyFont="1" applyFill="1" applyBorder="1" applyAlignment="1">
      <alignment horizontal="right" vertical="center"/>
    </xf>
    <xf numFmtId="164" fontId="28" fillId="5" borderId="10" xfId="0" applyFont="1" applyFill="1" applyBorder="1" applyAlignment="1">
      <alignment horizontal="right" vertical="center"/>
    </xf>
    <xf numFmtId="164" fontId="5" fillId="7" borderId="0" xfId="0" applyFont="1" applyFill="1">
      <alignment vertical="center"/>
    </xf>
    <xf numFmtId="166" fontId="28" fillId="0" borderId="0" xfId="4" applyFont="1" applyAlignment="1">
      <alignment horizontal="right" vertical="center"/>
    </xf>
    <xf numFmtId="164" fontId="33" fillId="0" borderId="0" xfId="0" applyFont="1" applyFill="1">
      <alignment vertical="center"/>
    </xf>
    <xf numFmtId="167" fontId="32" fillId="0" borderId="0" xfId="0" applyNumberFormat="1" applyFont="1">
      <alignment vertical="center"/>
    </xf>
    <xf numFmtId="165" fontId="5" fillId="0" borderId="0" xfId="3" applyFont="1" applyAlignment="1">
      <alignment horizontal="right" vertical="center"/>
    </xf>
    <xf numFmtId="164" fontId="5" fillId="0" borderId="0" xfId="0" applyFont="1" applyFill="1">
      <alignment vertical="center"/>
    </xf>
    <xf numFmtId="164" fontId="33" fillId="6" borderId="11" xfId="0" applyFont="1" applyFill="1" applyBorder="1" applyAlignment="1">
      <alignment horizontal="left" vertical="center"/>
    </xf>
    <xf numFmtId="164" fontId="32" fillId="6" borderId="10" xfId="0" applyFont="1" applyFill="1" applyBorder="1" applyAlignment="1">
      <alignment horizontal="center" vertical="center"/>
    </xf>
    <xf numFmtId="164" fontId="33" fillId="6" borderId="10" xfId="0" applyFont="1" applyFill="1" applyBorder="1" applyAlignment="1">
      <alignment horizontal="center" vertical="center"/>
    </xf>
    <xf numFmtId="164" fontId="33" fillId="6" borderId="10" xfId="0" applyFont="1" applyFill="1" applyBorder="1" applyAlignment="1">
      <alignment horizontal="left" vertical="center"/>
    </xf>
    <xf numFmtId="164" fontId="22" fillId="0" borderId="1" xfId="0" applyFont="1" applyBorder="1" applyAlignment="1">
      <alignment horizontal="left" vertical="center"/>
    </xf>
    <xf numFmtId="164" fontId="22" fillId="0" borderId="30" xfId="0" applyFont="1" applyBorder="1" applyAlignment="1">
      <alignment horizontal="left" vertical="center"/>
    </xf>
    <xf numFmtId="164" fontId="5" fillId="0" borderId="1" xfId="0" applyFont="1" applyBorder="1" applyAlignment="1">
      <alignment horizontal="left" vertical="center"/>
    </xf>
    <xf numFmtId="164" fontId="33" fillId="0" borderId="1" xfId="0" applyFont="1" applyBorder="1" applyAlignment="1">
      <alignment horizontal="left" vertical="center"/>
    </xf>
    <xf numFmtId="164" fontId="5" fillId="0" borderId="1" xfId="0" applyFont="1" applyBorder="1" applyAlignment="1">
      <alignment horizontal="right" vertical="center"/>
    </xf>
    <xf numFmtId="39" fontId="5" fillId="0" borderId="1" xfId="0" applyNumberFormat="1" applyFont="1" applyBorder="1" applyAlignment="1">
      <alignment horizontal="right" vertical="center"/>
    </xf>
    <xf numFmtId="164" fontId="33" fillId="0" borderId="1" xfId="0" applyFont="1" applyBorder="1" applyAlignment="1">
      <alignment horizontal="right" vertical="center"/>
    </xf>
    <xf numFmtId="166" fontId="4" fillId="0" borderId="0" xfId="4" applyFont="1" applyFill="1" applyAlignment="1">
      <alignment horizontal="right" vertical="center"/>
    </xf>
    <xf numFmtId="164" fontId="32" fillId="0" borderId="0" xfId="0" applyFont="1" applyAlignment="1">
      <alignment horizontal="center" vertical="center"/>
    </xf>
    <xf numFmtId="167" fontId="33" fillId="0" borderId="0" xfId="0" applyNumberFormat="1" applyFont="1">
      <alignment vertical="center"/>
    </xf>
    <xf numFmtId="164" fontId="39" fillId="0" borderId="0" xfId="0" applyFont="1" applyAlignment="1">
      <alignment horizontal="left" vertical="center"/>
    </xf>
    <xf numFmtId="164" fontId="22" fillId="5" borderId="11" xfId="0" applyFont="1" applyFill="1" applyBorder="1" applyAlignment="1">
      <alignment horizontal="left" vertical="center"/>
    </xf>
    <xf numFmtId="164" fontId="32" fillId="5" borderId="10" xfId="0" applyFont="1" applyFill="1" applyBorder="1" applyAlignment="1">
      <alignment horizontal="center" vertical="center"/>
    </xf>
    <xf numFmtId="164" fontId="33" fillId="7" borderId="0" xfId="0" applyFont="1" applyFill="1" applyAlignment="1">
      <alignment horizontal="left" vertical="center"/>
    </xf>
    <xf numFmtId="164" fontId="22" fillId="0" borderId="0" xfId="0" applyFont="1" applyAlignment="1">
      <alignment horizontal="center" vertical="center"/>
    </xf>
    <xf numFmtId="164" fontId="5" fillId="0" borderId="0" xfId="0" applyNumberFormat="1" applyFont="1" applyAlignment="1">
      <alignment horizontal="right" vertical="center"/>
    </xf>
    <xf numFmtId="164" fontId="5" fillId="7" borderId="0" xfId="0" applyFont="1" applyFill="1" applyAlignment="1">
      <alignment horizontal="left" vertical="center"/>
    </xf>
    <xf numFmtId="173" fontId="5" fillId="0" borderId="0" xfId="0" applyNumberFormat="1" applyFont="1" applyAlignment="1">
      <alignment horizontal="right" vertical="center"/>
    </xf>
    <xf numFmtId="164" fontId="5" fillId="0" borderId="30" xfId="0" applyFont="1" applyBorder="1" applyAlignment="1">
      <alignment horizontal="left" vertical="center"/>
    </xf>
    <xf numFmtId="164" fontId="4" fillId="7" borderId="0" xfId="0" applyFont="1" applyFill="1" applyAlignment="1">
      <alignment horizontal="left" vertical="center"/>
    </xf>
    <xf numFmtId="164" fontId="23" fillId="4" borderId="0" xfId="0" applyFont="1" applyFill="1" applyAlignment="1">
      <alignment horizontal="left" vertical="center"/>
    </xf>
    <xf numFmtId="164" fontId="48" fillId="0" borderId="0" xfId="0" applyFont="1" applyAlignment="1">
      <alignment horizontal="left" vertical="center"/>
    </xf>
    <xf numFmtId="164" fontId="5" fillId="0" borderId="0" xfId="0" applyFont="1" applyAlignment="1">
      <alignment horizontal="center" vertical="center"/>
    </xf>
    <xf numFmtId="164" fontId="22" fillId="0" borderId="0" xfId="0" applyFont="1" applyFill="1" applyAlignment="1">
      <alignment horizontal="left" vertical="center"/>
    </xf>
    <xf numFmtId="164" fontId="5" fillId="5" borderId="10" xfId="0" applyFont="1" applyFill="1" applyBorder="1" applyAlignment="1">
      <alignment horizontal="left" vertical="center"/>
    </xf>
    <xf numFmtId="167" fontId="22" fillId="0" borderId="0" xfId="0" applyNumberFormat="1" applyFont="1" applyFill="1">
      <alignment vertical="center"/>
    </xf>
    <xf numFmtId="164" fontId="22" fillId="0" borderId="10" xfId="0" applyFont="1" applyFill="1" applyBorder="1" applyAlignment="1">
      <alignment horizontal="left" vertical="center"/>
    </xf>
    <xf numFmtId="164" fontId="5" fillId="0" borderId="10" xfId="0" applyFont="1" applyFill="1" applyBorder="1" applyAlignment="1">
      <alignment horizontal="left" vertical="center"/>
    </xf>
    <xf numFmtId="164" fontId="5" fillId="0" borderId="0" xfId="0" applyFont="1" applyFill="1" applyAlignment="1">
      <alignment horizontal="right" vertical="center"/>
    </xf>
    <xf numFmtId="165" fontId="33" fillId="0" borderId="0" xfId="3" applyFont="1" applyFill="1" applyAlignment="1">
      <alignment horizontal="right" vertical="center"/>
    </xf>
    <xf numFmtId="164" fontId="5" fillId="0" borderId="0" xfId="0" applyFont="1" applyFill="1" applyAlignment="1">
      <alignment horizontal="left" vertical="center"/>
    </xf>
    <xf numFmtId="164" fontId="5" fillId="0" borderId="0" xfId="0" applyFont="1" applyFill="1" applyBorder="1" applyAlignment="1">
      <alignment horizontal="left" vertical="center"/>
    </xf>
    <xf numFmtId="39" fontId="5" fillId="0" borderId="0" xfId="0" applyNumberFormat="1" applyFont="1" applyFill="1" applyBorder="1" applyAlignment="1">
      <alignment horizontal="right" vertical="center"/>
    </xf>
    <xf numFmtId="164" fontId="32" fillId="0" borderId="30" xfId="0" applyFont="1" applyBorder="1" applyAlignment="1">
      <alignment horizontal="left" vertical="center"/>
    </xf>
    <xf numFmtId="164" fontId="33" fillId="0" borderId="30" xfId="0" applyFont="1" applyBorder="1" applyAlignment="1">
      <alignment horizontal="left" vertical="center"/>
    </xf>
    <xf numFmtId="164" fontId="5" fillId="0" borderId="30" xfId="0" applyFont="1" applyBorder="1" applyAlignment="1">
      <alignment horizontal="right" vertical="center"/>
    </xf>
    <xf numFmtId="166" fontId="5" fillId="0" borderId="30" xfId="4" applyFont="1" applyBorder="1" applyAlignment="1">
      <alignment horizontal="right" vertical="center"/>
    </xf>
    <xf numFmtId="164" fontId="33" fillId="0" borderId="30" xfId="0" applyFont="1" applyBorder="1" applyAlignment="1">
      <alignment horizontal="right" vertical="center"/>
    </xf>
    <xf numFmtId="164" fontId="28" fillId="0" borderId="0" xfId="0" applyFont="1" applyFill="1">
      <alignment vertical="center"/>
    </xf>
    <xf numFmtId="164" fontId="22" fillId="0" borderId="0" xfId="0" applyFont="1" applyFill="1">
      <alignment vertical="center"/>
    </xf>
    <xf numFmtId="166" fontId="28" fillId="0" borderId="0" xfId="61" applyFont="1" applyFill="1" applyAlignment="1">
      <alignment horizontal="right" vertical="center"/>
    </xf>
    <xf numFmtId="167" fontId="22" fillId="0" borderId="0" xfId="61" applyNumberFormat="1" applyFont="1" applyAlignment="1">
      <alignment horizontal="right" vertical="center"/>
    </xf>
    <xf numFmtId="164" fontId="40" fillId="7" borderId="0" xfId="0" applyFont="1" applyFill="1" applyAlignment="1">
      <alignment horizontal="left" vertical="center"/>
    </xf>
    <xf numFmtId="166" fontId="22" fillId="0" borderId="0" xfId="61" applyFont="1" applyAlignment="1">
      <alignment horizontal="right" vertical="center"/>
    </xf>
    <xf numFmtId="166" fontId="51" fillId="0" borderId="0" xfId="4" applyFont="1" applyAlignment="1">
      <alignment horizontal="right" vertical="center"/>
    </xf>
    <xf numFmtId="166" fontId="4" fillId="0" borderId="0" xfId="4" applyFont="1" applyAlignment="1">
      <alignment horizontal="right" vertical="center"/>
    </xf>
    <xf numFmtId="164" fontId="32" fillId="0" borderId="0" xfId="0" applyFont="1">
      <alignment vertical="center"/>
    </xf>
    <xf numFmtId="165" fontId="48" fillId="0" borderId="0" xfId="3" applyFont="1" applyFill="1" applyAlignment="1">
      <alignment horizontal="right" vertical="center"/>
    </xf>
    <xf numFmtId="164" fontId="4" fillId="7" borderId="0" xfId="2" applyFont="1" applyFill="1" applyBorder="1" applyAlignment="1">
      <alignment horizontal="right" vertical="center"/>
    </xf>
    <xf numFmtId="164" fontId="4" fillId="7" borderId="0" xfId="2" applyFont="1" applyFill="1" applyBorder="1" applyAlignment="1">
      <alignment horizontal="left" vertical="center"/>
    </xf>
    <xf numFmtId="165" fontId="4" fillId="0" borderId="0" xfId="3" applyFont="1">
      <alignment vertical="center"/>
    </xf>
    <xf numFmtId="166" fontId="4" fillId="0" borderId="0" xfId="3" applyNumberFormat="1" applyFont="1">
      <alignment vertical="center"/>
    </xf>
    <xf numFmtId="166" fontId="37" fillId="0" borderId="0" xfId="61" applyNumberFormat="1" applyFont="1" applyFill="1" applyAlignment="1">
      <alignment horizontal="right" vertical="center"/>
    </xf>
    <xf numFmtId="166" fontId="37" fillId="0" borderId="0" xfId="61" applyFont="1" applyFill="1" applyAlignment="1">
      <alignment horizontal="right" vertical="center"/>
    </xf>
    <xf numFmtId="166" fontId="26" fillId="0" borderId="0" xfId="4" applyFont="1" applyAlignment="1">
      <alignment horizontal="right" vertical="center"/>
    </xf>
    <xf numFmtId="164" fontId="4" fillId="0" borderId="0" xfId="0" applyFont="1" applyAlignment="1">
      <alignment horizontal="right" vertical="center"/>
    </xf>
    <xf numFmtId="164" fontId="4" fillId="0" borderId="30" xfId="0" applyFont="1" applyBorder="1" applyAlignment="1">
      <alignment horizontal="right" vertical="center"/>
    </xf>
    <xf numFmtId="164" fontId="33" fillId="0" borderId="30" xfId="0" applyFont="1" applyBorder="1" applyAlignment="1">
      <alignment horizontal="center" vertical="center"/>
    </xf>
    <xf numFmtId="164" fontId="5" fillId="7" borderId="0" xfId="0" applyFont="1" applyFill="1" applyAlignment="1">
      <alignment horizontal="center" vertical="center"/>
    </xf>
    <xf numFmtId="0" fontId="5" fillId="0" borderId="0" xfId="0" applyNumberFormat="1" applyFont="1" applyAlignment="1">
      <alignment horizontal="left" vertical="center"/>
    </xf>
    <xf numFmtId="164" fontId="5" fillId="0" borderId="0" xfId="0" applyFont="1" applyAlignment="1" applyProtection="1">
      <alignment horizontal="right" vertical="center"/>
    </xf>
    <xf numFmtId="164" fontId="47" fillId="0" borderId="2" xfId="0" applyFont="1" applyFill="1" applyBorder="1" applyAlignment="1">
      <alignment horizontal="center" vertical="center"/>
    </xf>
    <xf numFmtId="0" fontId="22" fillId="0" borderId="0" xfId="0" applyNumberFormat="1" applyFont="1" applyAlignment="1">
      <alignment horizontal="left" vertical="center"/>
    </xf>
    <xf numFmtId="0" fontId="33" fillId="0" borderId="0" xfId="0" applyNumberFormat="1" applyFont="1" applyAlignment="1">
      <alignment horizontal="left" vertical="center"/>
    </xf>
    <xf numFmtId="164" fontId="33" fillId="7" borderId="0" xfId="0" applyFont="1" applyFill="1" applyAlignment="1">
      <alignment horizontal="center" vertical="center"/>
    </xf>
    <xf numFmtId="166" fontId="4" fillId="40" borderId="0" xfId="4" applyFont="1" applyFill="1" applyAlignment="1">
      <alignment horizontal="right" vertical="center"/>
    </xf>
    <xf numFmtId="164" fontId="22" fillId="6" borderId="10" xfId="0" applyFont="1" applyFill="1" applyBorder="1" applyAlignment="1">
      <alignment horizontal="left" vertical="center"/>
    </xf>
    <xf numFmtId="166" fontId="28" fillId="5" borderId="10" xfId="4" applyFont="1" applyFill="1" applyBorder="1" applyAlignment="1">
      <alignment horizontal="right" vertical="center"/>
    </xf>
    <xf numFmtId="164" fontId="22" fillId="0" borderId="0" xfId="0" applyFont="1" applyFill="1" applyBorder="1" applyAlignment="1">
      <alignment horizontal="left" vertical="center"/>
    </xf>
    <xf numFmtId="164" fontId="32" fillId="0" borderId="0" xfId="0" applyFont="1" applyFill="1" applyBorder="1" applyAlignment="1">
      <alignment horizontal="center" vertical="center"/>
    </xf>
    <xf numFmtId="0" fontId="5" fillId="0" borderId="0" xfId="0" applyNumberFormat="1" applyFont="1" applyFill="1" applyAlignment="1">
      <alignment horizontal="left" vertical="center"/>
    </xf>
    <xf numFmtId="166" fontId="28" fillId="40" borderId="10" xfId="4" applyFont="1" applyFill="1" applyBorder="1" applyAlignment="1" applyProtection="1">
      <alignment horizontal="right" vertical="center"/>
    </xf>
    <xf numFmtId="166" fontId="28" fillId="40" borderId="10" xfId="4" applyFont="1" applyFill="1" applyBorder="1" applyAlignment="1">
      <alignment horizontal="right" vertical="center"/>
    </xf>
    <xf numFmtId="164" fontId="22" fillId="0" borderId="0" xfId="0" applyFont="1" applyFill="1" applyBorder="1" applyAlignment="1">
      <alignment horizontal="left"/>
    </xf>
    <xf numFmtId="164" fontId="5" fillId="0" borderId="0" xfId="0" applyFont="1" applyFill="1" applyBorder="1" applyAlignment="1">
      <alignment horizontal="left"/>
    </xf>
    <xf numFmtId="164" fontId="5" fillId="0" borderId="0" xfId="0" quotePrefix="1" applyFont="1" applyAlignment="1">
      <alignment horizontal="left" vertical="center"/>
    </xf>
    <xf numFmtId="164" fontId="28" fillId="7" borderId="0" xfId="0" applyFont="1" applyFill="1" applyAlignment="1">
      <alignment horizontal="left" vertical="center"/>
    </xf>
    <xf numFmtId="0" fontId="19" fillId="4" borderId="0" xfId="0" applyNumberFormat="1" applyFont="1" applyFill="1" applyAlignment="1">
      <alignment horizontal="left" vertical="center"/>
    </xf>
    <xf numFmtId="0" fontId="23" fillId="3" borderId="3" xfId="0" applyNumberFormat="1" applyFont="1" applyFill="1" applyBorder="1" applyAlignment="1">
      <alignment horizontal="left" vertical="center"/>
    </xf>
    <xf numFmtId="0" fontId="5" fillId="0" borderId="0" xfId="0" applyNumberFormat="1" applyFont="1" applyAlignment="1" applyProtection="1">
      <alignment horizontal="right" vertical="center"/>
    </xf>
    <xf numFmtId="164" fontId="5" fillId="0" borderId="0" xfId="0" applyFont="1" applyFill="1" applyAlignment="1" applyProtection="1">
      <alignment horizontal="right" vertical="center"/>
    </xf>
    <xf numFmtId="0" fontId="5" fillId="0" borderId="0" xfId="0" applyNumberFormat="1" applyFont="1" applyAlignment="1" applyProtection="1">
      <alignment horizontal="left" vertical="center"/>
    </xf>
    <xf numFmtId="0" fontId="5" fillId="0" borderId="1" xfId="0" applyNumberFormat="1" applyFont="1" applyBorder="1" applyAlignment="1">
      <alignment horizontal="right" vertical="center"/>
    </xf>
    <xf numFmtId="164" fontId="55" fillId="4" borderId="0" xfId="0" applyFont="1" applyFill="1" applyAlignment="1">
      <alignment horizontal="right" vertical="center"/>
    </xf>
    <xf numFmtId="15" fontId="19" fillId="4" borderId="0" xfId="0" applyNumberFormat="1" applyFont="1" applyFill="1" applyAlignment="1">
      <alignment horizontal="right" vertical="center"/>
    </xf>
    <xf numFmtId="39" fontId="5" fillId="0" borderId="0" xfId="0" applyNumberFormat="1" applyFont="1" applyAlignment="1">
      <alignment horizontal="right" vertical="center"/>
    </xf>
    <xf numFmtId="164" fontId="55" fillId="4" borderId="0" xfId="0" applyFont="1" applyFill="1" applyAlignment="1">
      <alignment horizontal="center" vertical="center"/>
    </xf>
    <xf numFmtId="164" fontId="55" fillId="4" borderId="0" xfId="0" applyFont="1" applyFill="1" applyAlignment="1" applyProtection="1">
      <alignment horizontal="center" vertical="center"/>
      <protection locked="0"/>
    </xf>
    <xf numFmtId="164" fontId="55" fillId="4" borderId="0" xfId="0" applyFont="1" applyFill="1" applyAlignment="1">
      <alignment horizontal="left" vertical="center"/>
    </xf>
    <xf numFmtId="0" fontId="55" fillId="4" borderId="0" xfId="0" applyNumberFormat="1" applyFont="1" applyFill="1" applyAlignment="1" applyProtection="1">
      <alignment horizontal="center" vertical="center"/>
      <protection locked="0"/>
    </xf>
    <xf numFmtId="0" fontId="50" fillId="5" borderId="31" xfId="0" applyNumberFormat="1" applyFont="1" applyFill="1" applyBorder="1" applyAlignment="1" applyProtection="1">
      <alignment horizontal="center" vertical="center"/>
      <protection locked="0"/>
    </xf>
    <xf numFmtId="37" fontId="23" fillId="4" borderId="0" xfId="2" applyNumberFormat="1" applyFont="1" applyFill="1" applyAlignment="1">
      <alignment horizontal="left" vertical="center"/>
    </xf>
    <xf numFmtId="0" fontId="19" fillId="4" borderId="0" xfId="0" applyNumberFormat="1" applyFont="1" applyFill="1" applyAlignment="1">
      <alignment horizontal="center" vertical="center"/>
    </xf>
    <xf numFmtId="0" fontId="56" fillId="4" borderId="0" xfId="0" applyNumberFormat="1" applyFont="1" applyFill="1" applyAlignment="1" applyProtection="1">
      <alignment horizontal="center" vertical="center"/>
      <protection locked="0"/>
    </xf>
    <xf numFmtId="164" fontId="19" fillId="4" borderId="0" xfId="0" applyFont="1" applyFill="1" applyBorder="1" applyAlignment="1">
      <alignment horizontal="center" vertical="center"/>
    </xf>
    <xf numFmtId="164" fontId="19" fillId="4" borderId="32" xfId="0" applyFont="1" applyFill="1" applyBorder="1" applyAlignment="1" applyProtection="1">
      <alignment horizontal="center" vertical="center"/>
      <protection locked="0"/>
    </xf>
    <xf numFmtId="164" fontId="19" fillId="4" borderId="33" xfId="0" applyFont="1" applyFill="1" applyBorder="1" applyAlignment="1" applyProtection="1">
      <alignment horizontal="center" vertical="center"/>
      <protection locked="0"/>
    </xf>
    <xf numFmtId="164" fontId="22" fillId="0" borderId="0" xfId="0" applyFont="1" applyAlignment="1" applyProtection="1">
      <alignment horizontal="center" vertical="center"/>
      <protection locked="0"/>
    </xf>
    <xf numFmtId="164" fontId="5" fillId="0" borderId="0" xfId="0" applyFont="1" applyAlignment="1" applyProtection="1">
      <alignment horizontal="center" vertical="center"/>
      <protection locked="0"/>
    </xf>
    <xf numFmtId="164" fontId="19" fillId="3" borderId="4" xfId="0" applyFont="1" applyFill="1" applyBorder="1" applyAlignment="1">
      <alignment horizontal="center" vertical="center"/>
    </xf>
    <xf numFmtId="164" fontId="45" fillId="3" borderId="4" xfId="0" applyFont="1" applyFill="1" applyBorder="1" applyAlignment="1" applyProtection="1">
      <alignment horizontal="center" vertical="center"/>
      <protection locked="0"/>
    </xf>
    <xf numFmtId="166" fontId="22" fillId="0" borderId="0" xfId="0" applyNumberFormat="1" applyFont="1">
      <alignment vertical="center"/>
    </xf>
    <xf numFmtId="166" fontId="32" fillId="0" borderId="0" xfId="0" applyNumberFormat="1" applyFont="1">
      <alignment vertical="center"/>
    </xf>
    <xf numFmtId="164" fontId="32" fillId="0" borderId="30" xfId="0" applyFont="1" applyBorder="1">
      <alignment vertical="center"/>
    </xf>
    <xf numFmtId="164" fontId="5" fillId="0" borderId="30" xfId="0" applyFont="1" applyBorder="1">
      <alignment vertical="center"/>
    </xf>
    <xf numFmtId="164" fontId="22" fillId="0" borderId="30" xfId="0" applyFont="1" applyBorder="1" applyAlignment="1">
      <alignment horizontal="center" vertical="center"/>
    </xf>
    <xf numFmtId="164" fontId="4" fillId="0" borderId="0" xfId="0" applyFont="1" applyFill="1">
      <alignment vertical="center"/>
    </xf>
    <xf numFmtId="164" fontId="5" fillId="7" borderId="19" xfId="0" applyFont="1" applyFill="1" applyBorder="1" applyAlignment="1">
      <alignment horizontal="left" vertical="center"/>
    </xf>
    <xf numFmtId="164" fontId="5" fillId="7" borderId="14" xfId="0" applyFont="1" applyFill="1" applyBorder="1" applyAlignment="1">
      <alignment horizontal="left" vertical="center"/>
    </xf>
    <xf numFmtId="164" fontId="5" fillId="7" borderId="18" xfId="0" applyFont="1" applyFill="1" applyBorder="1" applyAlignment="1">
      <alignment horizontal="left" vertical="center"/>
    </xf>
    <xf numFmtId="164" fontId="5" fillId="7" borderId="17" xfId="0" applyFont="1" applyFill="1" applyBorder="1" applyAlignment="1">
      <alignment horizontal="left" vertical="center"/>
    </xf>
    <xf numFmtId="164" fontId="5" fillId="7" borderId="0" xfId="0" applyFont="1" applyFill="1" applyBorder="1" applyAlignment="1">
      <alignment horizontal="left" vertical="center"/>
    </xf>
    <xf numFmtId="164" fontId="5" fillId="7" borderId="16" xfId="0" applyFont="1" applyFill="1" applyBorder="1" applyAlignment="1">
      <alignment horizontal="left" vertical="center"/>
    </xf>
    <xf numFmtId="164" fontId="19" fillId="7" borderId="0" xfId="0" applyFont="1" applyFill="1" applyBorder="1" applyAlignment="1">
      <alignment vertical="center" wrapText="1"/>
    </xf>
    <xf numFmtId="164" fontId="40" fillId="7" borderId="0" xfId="0" applyFont="1" applyFill="1" applyBorder="1" applyAlignment="1">
      <alignment vertical="center" wrapText="1"/>
    </xf>
    <xf numFmtId="164" fontId="5" fillId="0" borderId="16" xfId="0" applyFont="1" applyBorder="1" applyAlignment="1">
      <alignment horizontal="left" vertical="center"/>
    </xf>
    <xf numFmtId="164" fontId="5" fillId="7" borderId="0" xfId="0" applyFont="1" applyFill="1" applyBorder="1" applyAlignment="1" applyProtection="1">
      <alignment horizontal="center" vertical="center" wrapText="1"/>
      <protection locked="0"/>
    </xf>
    <xf numFmtId="164" fontId="28" fillId="5" borderId="19" xfId="0" applyFont="1" applyFill="1" applyBorder="1" applyAlignment="1">
      <alignment horizontal="left" vertical="center"/>
    </xf>
    <xf numFmtId="0" fontId="5" fillId="5" borderId="14" xfId="0" applyNumberFormat="1" applyFont="1" applyFill="1" applyBorder="1" applyAlignment="1" applyProtection="1">
      <alignment vertical="center" wrapText="1"/>
      <protection locked="0"/>
    </xf>
    <xf numFmtId="164" fontId="4" fillId="5" borderId="14" xfId="0" applyFont="1" applyFill="1" applyBorder="1">
      <alignment vertical="center"/>
    </xf>
    <xf numFmtId="164" fontId="4" fillId="5" borderId="14" xfId="0" applyFont="1" applyFill="1" applyBorder="1" applyAlignment="1">
      <alignment horizontal="left" vertical="center"/>
    </xf>
    <xf numFmtId="164" fontId="5" fillId="5" borderId="18" xfId="0" applyFont="1" applyFill="1" applyBorder="1" applyAlignment="1" applyProtection="1">
      <alignment vertical="center" wrapText="1"/>
      <protection locked="0"/>
    </xf>
    <xf numFmtId="164" fontId="5" fillId="5" borderId="17" xfId="0" applyFont="1" applyFill="1" applyBorder="1" applyAlignment="1">
      <alignment horizontal="left" vertical="center"/>
    </xf>
    <xf numFmtId="0" fontId="5" fillId="5" borderId="0" xfId="0" applyNumberFormat="1" applyFont="1" applyFill="1" applyBorder="1" applyAlignment="1" applyProtection="1">
      <alignment vertical="center" wrapText="1"/>
      <protection locked="0"/>
    </xf>
    <xf numFmtId="164" fontId="4" fillId="5" borderId="0" xfId="0" applyFont="1" applyFill="1" applyBorder="1">
      <alignment vertical="center"/>
    </xf>
    <xf numFmtId="164" fontId="47" fillId="0" borderId="16" xfId="0" applyFont="1" applyBorder="1" applyAlignment="1">
      <alignment horizontal="left" vertical="center"/>
    </xf>
    <xf numFmtId="164" fontId="5" fillId="0" borderId="34" xfId="0" applyFont="1" applyBorder="1" applyAlignment="1">
      <alignment horizontal="left" vertical="center"/>
    </xf>
    <xf numFmtId="164" fontId="4" fillId="40" borderId="16" xfId="0" applyFont="1" applyFill="1" applyBorder="1" applyAlignment="1">
      <alignment horizontal="left" vertical="center"/>
    </xf>
    <xf numFmtId="164" fontId="5" fillId="5" borderId="7" xfId="0" applyFont="1" applyFill="1" applyBorder="1" applyAlignment="1">
      <alignment horizontal="left" vertical="center"/>
    </xf>
    <xf numFmtId="0" fontId="5" fillId="5" borderId="13" xfId="0" applyNumberFormat="1" applyFont="1" applyFill="1" applyBorder="1" applyAlignment="1" applyProtection="1">
      <alignment vertical="center" wrapText="1"/>
      <protection locked="0"/>
    </xf>
    <xf numFmtId="164" fontId="4" fillId="5" borderId="13" xfId="0" applyFont="1" applyFill="1" applyBorder="1">
      <alignment vertical="center"/>
    </xf>
    <xf numFmtId="164" fontId="5" fillId="8" borderId="12" xfId="0" applyFont="1" applyFill="1" applyBorder="1" applyAlignment="1">
      <alignment horizontal="left" vertical="center"/>
    </xf>
    <xf numFmtId="164" fontId="5" fillId="7" borderId="7" xfId="0" applyFont="1" applyFill="1" applyBorder="1" applyAlignment="1">
      <alignment horizontal="left" vertical="center"/>
    </xf>
    <xf numFmtId="164" fontId="5" fillId="7" borderId="13" xfId="0" applyFont="1" applyFill="1" applyBorder="1" applyAlignment="1">
      <alignment horizontal="left" vertical="center"/>
    </xf>
    <xf numFmtId="164" fontId="5" fillId="7" borderId="12" xfId="0" applyFont="1" applyFill="1" applyBorder="1" applyAlignment="1">
      <alignment horizontal="left" vertical="center"/>
    </xf>
    <xf numFmtId="22" fontId="47" fillId="4" borderId="0" xfId="0" applyNumberFormat="1" applyFont="1" applyFill="1" applyAlignment="1">
      <alignment horizontal="left" vertical="center"/>
    </xf>
    <xf numFmtId="168" fontId="51" fillId="0" borderId="2" xfId="6" applyFont="1" applyFill="1" applyBorder="1" applyAlignment="1">
      <alignment horizontal="right" vertical="center"/>
    </xf>
    <xf numFmtId="168" fontId="26" fillId="0" borderId="9" xfId="6" applyFont="1" applyFill="1" applyBorder="1" applyAlignment="1">
      <alignment horizontal="right" vertical="center"/>
    </xf>
    <xf numFmtId="168" fontId="26" fillId="0" borderId="0" xfId="6" applyFont="1" applyFill="1" applyBorder="1" applyAlignment="1">
      <alignment horizontal="right" vertical="center"/>
    </xf>
    <xf numFmtId="169" fontId="4" fillId="0" borderId="0" xfId="0" applyNumberFormat="1" applyFont="1" applyFill="1" applyBorder="1" applyAlignment="1">
      <alignment horizontal="right" vertical="center"/>
    </xf>
    <xf numFmtId="168" fontId="51" fillId="0" borderId="0" xfId="6" applyFont="1" applyFill="1" applyBorder="1" applyAlignment="1">
      <alignment horizontal="right" vertical="center"/>
    </xf>
    <xf numFmtId="0" fontId="26" fillId="0" borderId="0" xfId="0" applyNumberFormat="1" applyFont="1" applyFill="1" applyBorder="1" applyAlignment="1">
      <alignment horizontal="right" vertical="center"/>
    </xf>
    <xf numFmtId="0" fontId="4" fillId="0" borderId="0" xfId="0" applyNumberFormat="1" applyFont="1" applyFill="1" applyBorder="1" applyAlignment="1">
      <alignment horizontal="right" vertical="center"/>
    </xf>
    <xf numFmtId="164" fontId="26" fillId="0" borderId="0" xfId="0" applyFont="1" applyAlignment="1">
      <alignment horizontal="right" vertical="center"/>
    </xf>
    <xf numFmtId="39" fontId="4" fillId="0" borderId="0" xfId="0" applyNumberFormat="1" applyFont="1" applyAlignment="1">
      <alignment horizontal="right" vertical="center"/>
    </xf>
    <xf numFmtId="164" fontId="51" fillId="0" borderId="0" xfId="0" applyFont="1" applyAlignment="1">
      <alignment horizontal="right" vertical="center"/>
    </xf>
    <xf numFmtId="39" fontId="51" fillId="0" borderId="0" xfId="0" applyNumberFormat="1" applyFont="1" applyAlignment="1">
      <alignment horizontal="right" vertical="center"/>
    </xf>
    <xf numFmtId="164" fontId="4" fillId="0" borderId="0" xfId="0" applyFont="1">
      <alignment vertical="center"/>
    </xf>
    <xf numFmtId="170" fontId="36" fillId="2" borderId="0" xfId="4" applyNumberFormat="1" applyFont="1" applyFill="1" applyAlignment="1" applyProtection="1">
      <alignment horizontal="right" vertical="center"/>
    </xf>
    <xf numFmtId="170" fontId="26" fillId="0" borderId="0" xfId="4" applyNumberFormat="1" applyFont="1" applyFill="1" applyAlignment="1" applyProtection="1">
      <alignment horizontal="right" vertical="center"/>
    </xf>
    <xf numFmtId="167" fontId="28" fillId="0" borderId="0" xfId="0" applyNumberFormat="1" applyFont="1">
      <alignment vertical="center"/>
    </xf>
    <xf numFmtId="164" fontId="28" fillId="0" borderId="0" xfId="0" applyFont="1" applyAlignment="1">
      <alignment horizontal="left" vertical="center"/>
    </xf>
    <xf numFmtId="164" fontId="4" fillId="0" borderId="0" xfId="0" applyFont="1" applyAlignment="1">
      <alignment horizontal="left" vertical="center"/>
    </xf>
    <xf numFmtId="166" fontId="37" fillId="0" borderId="0" xfId="4" applyFont="1" applyAlignment="1">
      <alignment horizontal="right" vertical="center"/>
    </xf>
    <xf numFmtId="166" fontId="58" fillId="2" borderId="0" xfId="4" applyFont="1" applyFill="1" applyAlignment="1">
      <alignment horizontal="right" vertical="center"/>
    </xf>
    <xf numFmtId="164" fontId="28" fillId="0" borderId="0" xfId="0" applyFont="1" applyAlignment="1">
      <alignment horizontal="right" vertical="center"/>
    </xf>
    <xf numFmtId="165" fontId="48" fillId="0" borderId="0" xfId="3" applyFont="1" applyAlignment="1">
      <alignment horizontal="right" vertical="center"/>
    </xf>
    <xf numFmtId="165" fontId="52" fillId="0" borderId="0" xfId="3" applyFont="1" applyAlignment="1">
      <alignment horizontal="right" vertical="center"/>
    </xf>
    <xf numFmtId="166" fontId="54" fillId="0" borderId="0" xfId="4" applyFont="1" applyFill="1" applyAlignment="1">
      <alignment horizontal="right" vertical="center"/>
    </xf>
    <xf numFmtId="166" fontId="48" fillId="0" borderId="0" xfId="4" applyFont="1" applyAlignment="1">
      <alignment horizontal="right" vertical="center"/>
    </xf>
    <xf numFmtId="166" fontId="52" fillId="0" borderId="0" xfId="4" applyFont="1" applyAlignment="1">
      <alignment horizontal="right" vertical="center"/>
    </xf>
    <xf numFmtId="166" fontId="53" fillId="2" borderId="0" xfId="4" applyFont="1" applyFill="1" applyAlignment="1">
      <alignment horizontal="right" vertical="center"/>
    </xf>
    <xf numFmtId="164" fontId="48" fillId="0" borderId="0" xfId="0" applyFont="1" applyAlignment="1">
      <alignment horizontal="right" vertical="center"/>
    </xf>
    <xf numFmtId="166" fontId="41" fillId="2" borderId="0" xfId="4" applyFont="1" applyFill="1" applyAlignment="1">
      <alignment horizontal="right" vertical="center"/>
    </xf>
    <xf numFmtId="166" fontId="37" fillId="5" borderId="10" xfId="4" applyFont="1" applyFill="1" applyBorder="1" applyAlignment="1">
      <alignment horizontal="right" vertical="center"/>
    </xf>
    <xf numFmtId="166" fontId="37" fillId="0" borderId="0" xfId="4" applyFont="1" applyFill="1" applyAlignment="1">
      <alignment horizontal="right" vertical="center"/>
    </xf>
    <xf numFmtId="166" fontId="37" fillId="5" borderId="11" xfId="4" applyFont="1" applyFill="1" applyBorder="1" applyAlignment="1">
      <alignment horizontal="right" vertical="center"/>
    </xf>
    <xf numFmtId="166" fontId="37" fillId="5" borderId="7" xfId="4" applyFont="1" applyFill="1" applyBorder="1" applyAlignment="1">
      <alignment horizontal="right" vertical="center"/>
    </xf>
    <xf numFmtId="166" fontId="37" fillId="5" borderId="13" xfId="4" applyFont="1" applyFill="1" applyBorder="1" applyAlignment="1">
      <alignment horizontal="right" vertical="center"/>
    </xf>
    <xf numFmtId="166" fontId="49" fillId="0" borderId="0" xfId="4" applyFont="1" applyAlignment="1">
      <alignment horizontal="right" vertical="center"/>
    </xf>
    <xf numFmtId="166" fontId="36" fillId="2" borderId="0" xfId="4" applyFont="1" applyFill="1" applyAlignment="1">
      <alignment horizontal="right" vertical="center"/>
    </xf>
    <xf numFmtId="166" fontId="52" fillId="6" borderId="10" xfId="4" applyFont="1" applyFill="1" applyBorder="1" applyAlignment="1">
      <alignment horizontal="right" vertical="center"/>
    </xf>
    <xf numFmtId="166" fontId="52" fillId="6" borderId="11" xfId="4" applyFont="1" applyFill="1" applyBorder="1" applyAlignment="1">
      <alignment horizontal="right" vertical="center"/>
    </xf>
    <xf numFmtId="177" fontId="37" fillId="0" borderId="0" xfId="2" applyNumberFormat="1" applyFont="1" applyFill="1" applyAlignment="1">
      <alignment horizontal="right" vertical="center"/>
    </xf>
    <xf numFmtId="177" fontId="4" fillId="40" borderId="0" xfId="2" applyNumberFormat="1" applyFont="1" applyFill="1" applyAlignment="1">
      <alignment horizontal="right" vertical="center"/>
    </xf>
    <xf numFmtId="177" fontId="4" fillId="0" borderId="0" xfId="0" applyNumberFormat="1" applyFont="1" applyAlignment="1">
      <alignment horizontal="right" vertical="center"/>
    </xf>
    <xf numFmtId="164" fontId="0" fillId="0" borderId="0" xfId="0" applyFont="1">
      <alignment vertical="center"/>
    </xf>
    <xf numFmtId="164" fontId="53" fillId="2" borderId="37" xfId="0" applyFont="1" applyFill="1" applyBorder="1" applyAlignment="1" applyProtection="1">
      <alignment horizontal="center" vertical="center"/>
    </xf>
    <xf numFmtId="166" fontId="37" fillId="5" borderId="37" xfId="4" applyFont="1" applyFill="1" applyBorder="1" applyAlignment="1">
      <alignment horizontal="center" vertical="center"/>
    </xf>
    <xf numFmtId="164" fontId="53" fillId="2" borderId="34" xfId="0" applyFont="1" applyFill="1" applyBorder="1" applyAlignment="1" applyProtection="1">
      <alignment horizontal="center" vertical="center"/>
    </xf>
    <xf numFmtId="164" fontId="28" fillId="0" borderId="0" xfId="0" applyFont="1" applyAlignment="1" applyProtection="1">
      <alignment horizontal="left" vertical="center"/>
    </xf>
    <xf numFmtId="166" fontId="36" fillId="2" borderId="37" xfId="4" applyFont="1" applyFill="1" applyBorder="1" applyAlignment="1" applyProtection="1">
      <alignment horizontal="right" vertical="center"/>
    </xf>
    <xf numFmtId="166" fontId="36" fillId="2" borderId="34" xfId="4" applyFont="1" applyFill="1" applyBorder="1" applyAlignment="1" applyProtection="1">
      <alignment horizontal="right" vertical="center"/>
    </xf>
    <xf numFmtId="166" fontId="37" fillId="5" borderId="38" xfId="4" applyFont="1" applyFill="1" applyBorder="1" applyAlignment="1">
      <alignment horizontal="center" vertical="center"/>
    </xf>
    <xf numFmtId="164" fontId="53" fillId="2" borderId="38" xfId="0" applyFont="1" applyFill="1" applyBorder="1" applyAlignment="1" applyProtection="1">
      <alignment horizontal="center" vertical="center"/>
    </xf>
    <xf numFmtId="164" fontId="53" fillId="2" borderId="35" xfId="0" applyFont="1" applyFill="1" applyBorder="1" applyAlignment="1" applyProtection="1">
      <alignment horizontal="center" vertical="center"/>
    </xf>
    <xf numFmtId="166" fontId="36" fillId="2" borderId="38" xfId="4" applyFont="1" applyFill="1" applyBorder="1" applyAlignment="1" applyProtection="1">
      <alignment horizontal="right" vertical="center"/>
    </xf>
    <xf numFmtId="166" fontId="36" fillId="2" borderId="35" xfId="4" applyFont="1" applyFill="1" applyBorder="1" applyAlignment="1" applyProtection="1">
      <alignment horizontal="right" vertical="center"/>
    </xf>
    <xf numFmtId="168" fontId="37" fillId="5" borderId="37" xfId="6" applyFont="1" applyFill="1" applyBorder="1" applyAlignment="1">
      <alignment horizontal="center" vertical="center"/>
    </xf>
    <xf numFmtId="168" fontId="4" fillId="2" borderId="37" xfId="6" applyFont="1" applyFill="1" applyBorder="1" applyAlignment="1" applyProtection="1">
      <alignment horizontal="right" vertical="center"/>
    </xf>
    <xf numFmtId="166" fontId="37" fillId="5" borderId="42" xfId="4" applyFont="1" applyFill="1" applyBorder="1" applyAlignment="1">
      <alignment horizontal="center" vertical="center"/>
    </xf>
    <xf numFmtId="164" fontId="53" fillId="2" borderId="42" xfId="0" applyFont="1" applyFill="1" applyBorder="1" applyAlignment="1" applyProtection="1">
      <alignment horizontal="center" vertical="center"/>
    </xf>
    <xf numFmtId="164" fontId="53" fillId="2" borderId="40" xfId="0" applyFont="1" applyFill="1" applyBorder="1" applyAlignment="1" applyProtection="1">
      <alignment horizontal="center" vertical="center"/>
    </xf>
    <xf numFmtId="166" fontId="36" fillId="2" borderId="42" xfId="4" applyFont="1" applyFill="1" applyBorder="1" applyAlignment="1" applyProtection="1">
      <alignment horizontal="right" vertical="center"/>
    </xf>
    <xf numFmtId="166" fontId="36" fillId="2" borderId="40" xfId="4" applyFont="1" applyFill="1" applyBorder="1" applyAlignment="1" applyProtection="1">
      <alignment horizontal="right" vertical="center"/>
    </xf>
    <xf numFmtId="168" fontId="37" fillId="5" borderId="34" xfId="6" applyFont="1" applyFill="1" applyBorder="1" applyAlignment="1">
      <alignment horizontal="center" vertical="center"/>
    </xf>
    <xf numFmtId="164" fontId="53" fillId="2" borderId="41" xfId="0" applyFont="1" applyFill="1" applyBorder="1" applyAlignment="1" applyProtection="1">
      <alignment horizontal="center" vertical="center"/>
    </xf>
    <xf numFmtId="168" fontId="4" fillId="2" borderId="34" xfId="6" applyFont="1" applyFill="1" applyBorder="1" applyAlignment="1" applyProtection="1">
      <alignment horizontal="right" vertical="center"/>
    </xf>
    <xf numFmtId="164" fontId="53" fillId="2" borderId="39" xfId="0" applyFont="1" applyFill="1" applyBorder="1" applyAlignment="1" applyProtection="1">
      <alignment horizontal="center" vertical="center"/>
    </xf>
    <xf numFmtId="164" fontId="53" fillId="2" borderId="36" xfId="0" applyFont="1" applyFill="1" applyBorder="1" applyAlignment="1" applyProtection="1">
      <alignment horizontal="center" vertical="center"/>
    </xf>
    <xf numFmtId="166" fontId="36" fillId="2" borderId="39" xfId="4" applyFont="1" applyFill="1" applyBorder="1" applyAlignment="1" applyProtection="1">
      <alignment horizontal="right" vertical="center"/>
    </xf>
    <xf numFmtId="166" fontId="36" fillId="2" borderId="36" xfId="4" applyFont="1" applyFill="1" applyBorder="1" applyAlignment="1" applyProtection="1">
      <alignment horizontal="right" vertical="center"/>
    </xf>
    <xf numFmtId="164" fontId="37" fillId="0" borderId="34" xfId="0" applyFont="1" applyFill="1" applyBorder="1" applyAlignment="1" applyProtection="1">
      <alignment horizontal="center" vertical="center"/>
    </xf>
    <xf numFmtId="164" fontId="28" fillId="3" borderId="4" xfId="0" applyFont="1" applyFill="1" applyBorder="1" applyAlignment="1">
      <alignment horizontal="center" vertical="center"/>
    </xf>
    <xf numFmtId="164" fontId="48" fillId="3" borderId="4" xfId="0" applyFont="1" applyFill="1" applyBorder="1" applyAlignment="1" applyProtection="1">
      <alignment horizontal="center" vertical="center"/>
      <protection locked="0"/>
    </xf>
    <xf numFmtId="164" fontId="4" fillId="3" borderId="4" xfId="0" applyFont="1" applyFill="1" applyBorder="1" applyAlignment="1">
      <alignment horizontal="left" vertical="center"/>
    </xf>
    <xf numFmtId="164" fontId="28" fillId="0" borderId="0" xfId="0" applyFont="1" applyAlignment="1">
      <alignment horizontal="center" vertical="center"/>
    </xf>
    <xf numFmtId="164" fontId="37" fillId="5" borderId="37" xfId="2" applyFont="1" applyFill="1" applyBorder="1" applyAlignment="1">
      <alignment horizontal="center" vertical="center"/>
    </xf>
    <xf numFmtId="164" fontId="4" fillId="0" borderId="0" xfId="0" applyFont="1" applyAlignment="1" applyProtection="1">
      <alignment horizontal="left" vertical="center"/>
    </xf>
    <xf numFmtId="164" fontId="36" fillId="2" borderId="37" xfId="2" applyFont="1" applyFill="1" applyBorder="1" applyAlignment="1" applyProtection="1">
      <alignment horizontal="right" vertical="center"/>
    </xf>
    <xf numFmtId="164" fontId="36" fillId="2" borderId="34" xfId="2" applyFont="1" applyFill="1" applyBorder="1" applyAlignment="1" applyProtection="1">
      <alignment horizontal="right" vertical="center"/>
    </xf>
    <xf numFmtId="164" fontId="4" fillId="2" borderId="37" xfId="2" applyFont="1" applyFill="1" applyBorder="1" applyAlignment="1" applyProtection="1">
      <alignment horizontal="right" vertical="center"/>
    </xf>
    <xf numFmtId="164" fontId="4" fillId="2" borderId="34" xfId="2" applyFont="1" applyFill="1" applyBorder="1" applyAlignment="1" applyProtection="1">
      <alignment horizontal="right" vertical="center"/>
    </xf>
    <xf numFmtId="166" fontId="37" fillId="5" borderId="34" xfId="4" applyFont="1" applyFill="1" applyBorder="1" applyAlignment="1">
      <alignment horizontal="center" vertical="center"/>
    </xf>
    <xf numFmtId="164" fontId="53" fillId="2" borderId="44" xfId="0" applyFont="1" applyFill="1" applyBorder="1" applyAlignment="1" applyProtection="1">
      <alignment horizontal="center" vertical="center"/>
    </xf>
    <xf numFmtId="165" fontId="37" fillId="5" borderId="35" xfId="3" applyFont="1" applyFill="1" applyBorder="1" applyAlignment="1">
      <alignment horizontal="center" vertical="center"/>
    </xf>
    <xf numFmtId="165" fontId="36" fillId="2" borderId="38" xfId="3" applyFont="1" applyFill="1" applyBorder="1" applyAlignment="1" applyProtection="1">
      <alignment horizontal="right" vertical="center"/>
    </xf>
    <xf numFmtId="165" fontId="36" fillId="2" borderId="34" xfId="3" applyFont="1" applyFill="1" applyBorder="1" applyAlignment="1" applyProtection="1">
      <alignment horizontal="right" vertical="center"/>
    </xf>
    <xf numFmtId="166" fontId="37" fillId="5" borderId="35" xfId="4" applyFont="1" applyFill="1" applyBorder="1" applyAlignment="1">
      <alignment horizontal="center" vertical="center"/>
    </xf>
    <xf numFmtId="165" fontId="36" fillId="2" borderId="36" xfId="3" applyFont="1" applyFill="1" applyBorder="1" applyAlignment="1" applyProtection="1">
      <alignment horizontal="right" vertical="center"/>
    </xf>
    <xf numFmtId="165" fontId="37" fillId="5" borderId="34" xfId="3" applyFont="1" applyFill="1" applyBorder="1" applyAlignment="1">
      <alignment horizontal="center" vertical="center"/>
    </xf>
    <xf numFmtId="165" fontId="36" fillId="2" borderId="37" xfId="3" applyFont="1" applyFill="1" applyBorder="1" applyAlignment="1" applyProtection="1">
      <alignment horizontal="right" vertical="center"/>
    </xf>
    <xf numFmtId="166" fontId="57" fillId="0" borderId="0" xfId="4" applyFont="1" applyFill="1" applyAlignment="1">
      <alignment horizontal="right" vertical="center"/>
    </xf>
    <xf numFmtId="166" fontId="48" fillId="2" borderId="0" xfId="4" applyFont="1" applyFill="1" applyAlignment="1">
      <alignment horizontal="right" vertical="center"/>
    </xf>
    <xf numFmtId="170" fontId="51" fillId="0" borderId="0" xfId="4" quotePrefix="1" applyNumberFormat="1" applyFont="1" applyAlignment="1">
      <alignment horizontal="right" vertical="center"/>
    </xf>
    <xf numFmtId="170" fontId="4" fillId="0" borderId="0" xfId="4" applyNumberFormat="1" applyFont="1" applyAlignment="1">
      <alignment horizontal="right" vertical="center"/>
    </xf>
    <xf numFmtId="164" fontId="49" fillId="0" borderId="0" xfId="0" applyFont="1" applyAlignment="1">
      <alignment horizontal="right" vertical="center"/>
    </xf>
    <xf numFmtId="165" fontId="26" fillId="0" borderId="0" xfId="3" applyFont="1" applyAlignment="1">
      <alignment horizontal="right" vertical="center"/>
    </xf>
    <xf numFmtId="164" fontId="51" fillId="0" borderId="0" xfId="0" applyFont="1" applyAlignment="1">
      <alignment horizontal="left" vertical="center"/>
    </xf>
    <xf numFmtId="164" fontId="48" fillId="0" borderId="0" xfId="0" applyFont="1" applyAlignment="1">
      <alignment horizontal="center" vertical="center"/>
    </xf>
    <xf numFmtId="166" fontId="4" fillId="0" borderId="0" xfId="4" applyFont="1" applyBorder="1" applyAlignment="1">
      <alignment horizontal="right" vertical="center"/>
    </xf>
    <xf numFmtId="166" fontId="57" fillId="5" borderId="44" xfId="4" applyFont="1" applyFill="1" applyBorder="1" applyAlignment="1">
      <alignment horizontal="right" vertical="center"/>
    </xf>
    <xf numFmtId="166" fontId="37" fillId="5" borderId="44" xfId="4" applyFont="1" applyFill="1" applyBorder="1" applyAlignment="1">
      <alignment horizontal="right" vertical="center"/>
    </xf>
    <xf numFmtId="166" fontId="48" fillId="7" borderId="0" xfId="4" applyFont="1" applyFill="1" applyAlignment="1">
      <alignment horizontal="right" vertical="center"/>
    </xf>
    <xf numFmtId="166" fontId="4" fillId="7" borderId="0" xfId="4" applyFont="1" applyFill="1" applyAlignment="1">
      <alignment horizontal="right" vertical="center"/>
    </xf>
    <xf numFmtId="166" fontId="4" fillId="7" borderId="0" xfId="4" applyFont="1" applyFill="1" applyBorder="1" applyAlignment="1">
      <alignment horizontal="right" vertical="center"/>
    </xf>
    <xf numFmtId="166" fontId="4" fillId="3" borderId="4" xfId="4" applyFont="1" applyFill="1" applyBorder="1" applyAlignment="1">
      <alignment horizontal="right" vertical="center"/>
    </xf>
    <xf numFmtId="164" fontId="4" fillId="3" borderId="4" xfId="0" applyFont="1" applyFill="1" applyBorder="1" applyAlignment="1">
      <alignment horizontal="right" vertical="center"/>
    </xf>
    <xf numFmtId="165" fontId="48" fillId="3" borderId="4" xfId="3" applyFont="1" applyFill="1" applyBorder="1" applyAlignment="1">
      <alignment horizontal="right" vertical="center"/>
    </xf>
    <xf numFmtId="166" fontId="4" fillId="0" borderId="0" xfId="4" applyFont="1" applyAlignment="1" applyProtection="1">
      <alignment horizontal="right" vertical="center"/>
    </xf>
    <xf numFmtId="166" fontId="37" fillId="5" borderId="10" xfId="4" applyFont="1" applyFill="1" applyBorder="1" applyAlignment="1" applyProtection="1">
      <alignment horizontal="right" vertical="center"/>
    </xf>
    <xf numFmtId="166" fontId="60" fillId="0" borderId="0" xfId="4" applyFont="1" applyAlignment="1">
      <alignment horizontal="right" vertical="center"/>
    </xf>
    <xf numFmtId="166" fontId="28" fillId="5" borderId="10" xfId="4" applyFont="1" applyFill="1" applyBorder="1" applyAlignment="1" applyProtection="1">
      <alignment horizontal="right" vertical="center"/>
    </xf>
    <xf numFmtId="164" fontId="4" fillId="0" borderId="0" xfId="0" applyFont="1" applyFill="1" applyAlignment="1">
      <alignment horizontal="right" vertical="center"/>
    </xf>
    <xf numFmtId="166" fontId="37" fillId="5" borderId="13" xfId="4" applyFont="1" applyFill="1" applyBorder="1" applyAlignment="1" applyProtection="1">
      <alignment horizontal="right" vertical="center"/>
    </xf>
    <xf numFmtId="166" fontId="28" fillId="0" borderId="0" xfId="4" applyFont="1" applyFill="1" applyBorder="1" applyAlignment="1" applyProtection="1">
      <alignment horizontal="right" vertical="center"/>
    </xf>
    <xf numFmtId="166" fontId="28" fillId="0" borderId="0" xfId="4" applyFont="1" applyFill="1" applyBorder="1" applyAlignment="1">
      <alignment horizontal="right" vertical="center"/>
    </xf>
    <xf numFmtId="164" fontId="57" fillId="0" borderId="0" xfId="0" applyFont="1" applyAlignment="1">
      <alignment horizontal="left" vertical="center"/>
    </xf>
    <xf numFmtId="164" fontId="4" fillId="0" borderId="0" xfId="0" applyFont="1" applyAlignment="1">
      <alignment horizontal="center" vertical="center"/>
    </xf>
    <xf numFmtId="166" fontId="57" fillId="7" borderId="0" xfId="4" applyFont="1" applyFill="1" applyAlignment="1">
      <alignment horizontal="right" vertical="center"/>
    </xf>
    <xf numFmtId="164" fontId="28" fillId="0" borderId="0" xfId="0" applyFont="1" applyFill="1" applyAlignment="1">
      <alignment horizontal="left" vertical="center"/>
    </xf>
    <xf numFmtId="164" fontId="52" fillId="6" borderId="6" xfId="2" applyFont="1" applyFill="1" applyBorder="1" applyAlignment="1">
      <alignment horizontal="right" vertical="center"/>
    </xf>
    <xf numFmtId="164" fontId="48" fillId="6" borderId="0" xfId="0" applyFont="1" applyFill="1" applyAlignment="1">
      <alignment horizontal="left" vertical="center"/>
    </xf>
    <xf numFmtId="164" fontId="52" fillId="6" borderId="15" xfId="2" applyFont="1" applyFill="1" applyBorder="1" applyAlignment="1">
      <alignment horizontal="right" vertical="center"/>
    </xf>
    <xf numFmtId="164" fontId="52" fillId="6" borderId="8" xfId="2" applyFont="1" applyFill="1" applyBorder="1" applyAlignment="1">
      <alignment horizontal="right" vertical="center"/>
    </xf>
    <xf numFmtId="164" fontId="4" fillId="0" borderId="0" xfId="0" applyFont="1" applyFill="1" applyAlignment="1">
      <alignment horizontal="left" vertical="center"/>
    </xf>
    <xf numFmtId="166" fontId="37" fillId="7" borderId="0" xfId="4" applyFont="1" applyFill="1" applyAlignment="1">
      <alignment horizontal="right" vertical="center"/>
    </xf>
    <xf numFmtId="164" fontId="57" fillId="5" borderId="10" xfId="0" applyFont="1" applyFill="1" applyBorder="1" applyAlignment="1">
      <alignment horizontal="left" vertical="center"/>
    </xf>
    <xf numFmtId="164" fontId="4" fillId="5" borderId="10" xfId="0" applyFont="1" applyFill="1" applyBorder="1" applyAlignment="1">
      <alignment horizontal="center" vertical="center"/>
    </xf>
    <xf numFmtId="164" fontId="4" fillId="5" borderId="10" xfId="0" applyFont="1" applyFill="1" applyBorder="1" applyAlignment="1">
      <alignment horizontal="left" vertical="center"/>
    </xf>
    <xf numFmtId="164" fontId="4" fillId="0" borderId="0" xfId="0" applyFont="1" applyAlignment="1" applyProtection="1">
      <alignment horizontal="right" vertical="center"/>
    </xf>
    <xf numFmtId="164" fontId="48" fillId="3" borderId="4" xfId="0" applyFont="1" applyFill="1" applyBorder="1" applyAlignment="1">
      <alignment horizontal="right" vertical="center"/>
    </xf>
    <xf numFmtId="166" fontId="28" fillId="7" borderId="0" xfId="4" applyFont="1" applyFill="1" applyAlignment="1">
      <alignment horizontal="right" vertical="center"/>
    </xf>
    <xf numFmtId="164" fontId="37" fillId="0" borderId="0" xfId="0" applyFont="1" applyAlignment="1">
      <alignment horizontal="right" vertical="center"/>
    </xf>
    <xf numFmtId="164" fontId="4" fillId="40" borderId="0" xfId="0" applyFont="1" applyFill="1" applyAlignment="1">
      <alignment horizontal="right" vertical="center"/>
    </xf>
    <xf numFmtId="164" fontId="48" fillId="0" borderId="0" xfId="0" applyFont="1">
      <alignment vertical="center"/>
    </xf>
    <xf numFmtId="164" fontId="48" fillId="40" borderId="0" xfId="0" applyFont="1" applyFill="1">
      <alignment vertical="center"/>
    </xf>
    <xf numFmtId="164" fontId="48" fillId="7" borderId="0" xfId="2" applyFont="1" applyFill="1" applyBorder="1" applyAlignment="1">
      <alignment horizontal="right" vertical="center"/>
    </xf>
    <xf numFmtId="164" fontId="49" fillId="0" borderId="0" xfId="0" applyFont="1">
      <alignment vertical="center"/>
    </xf>
    <xf numFmtId="164" fontId="4" fillId="40" borderId="0" xfId="0" applyFont="1" applyFill="1">
      <alignment vertical="center"/>
    </xf>
    <xf numFmtId="164" fontId="48" fillId="0" borderId="0" xfId="0" applyFont="1" applyFill="1" applyAlignment="1">
      <alignment horizontal="left" vertical="center"/>
    </xf>
    <xf numFmtId="164" fontId="4" fillId="0" borderId="0" xfId="2" applyFont="1" applyAlignment="1">
      <alignment horizontal="right" vertical="center"/>
    </xf>
    <xf numFmtId="165" fontId="4" fillId="0" borderId="0" xfId="3" applyFont="1" applyAlignment="1">
      <alignment horizontal="right" vertical="center"/>
    </xf>
    <xf numFmtId="164" fontId="49" fillId="0" borderId="0" xfId="0" applyFont="1" applyAlignment="1">
      <alignment horizontal="center" vertical="center"/>
    </xf>
    <xf numFmtId="166" fontId="57" fillId="0" borderId="0" xfId="4" applyFont="1" applyAlignment="1">
      <alignment horizontal="right" vertical="center"/>
    </xf>
    <xf numFmtId="166" fontId="28" fillId="40" borderId="0" xfId="4" applyFont="1" applyFill="1" applyAlignment="1">
      <alignment horizontal="right" vertical="center"/>
    </xf>
    <xf numFmtId="164" fontId="49" fillId="5" borderId="10" xfId="0" applyFont="1" applyFill="1" applyBorder="1" applyAlignment="1">
      <alignment horizontal="center" vertical="center"/>
    </xf>
    <xf numFmtId="164" fontId="28" fillId="5" borderId="10" xfId="0" applyFont="1" applyFill="1" applyBorder="1" applyAlignment="1">
      <alignment horizontal="left" vertical="center"/>
    </xf>
    <xf numFmtId="166" fontId="48" fillId="40" borderId="0" xfId="4" applyFont="1" applyFill="1" applyAlignment="1">
      <alignment horizontal="right" vertical="center"/>
    </xf>
    <xf numFmtId="164" fontId="49" fillId="0" borderId="10" xfId="0" applyFont="1" applyFill="1" applyBorder="1" applyAlignment="1">
      <alignment horizontal="center" vertical="center"/>
    </xf>
    <xf numFmtId="164" fontId="28" fillId="0" borderId="10" xfId="0" applyFont="1" applyFill="1" applyBorder="1" applyAlignment="1">
      <alignment horizontal="left" vertical="center"/>
    </xf>
    <xf numFmtId="166" fontId="28" fillId="0" borderId="10" xfId="4" applyFont="1" applyFill="1" applyBorder="1" applyAlignment="1">
      <alignment horizontal="right" vertical="center"/>
    </xf>
    <xf numFmtId="166" fontId="51" fillId="0" borderId="0" xfId="4" applyFont="1" applyFill="1" applyAlignment="1">
      <alignment horizontal="right" vertical="center"/>
    </xf>
    <xf numFmtId="166" fontId="36" fillId="7" borderId="0" xfId="4" applyFont="1" applyFill="1" applyAlignment="1">
      <alignment horizontal="right" vertical="center"/>
    </xf>
    <xf numFmtId="164" fontId="37" fillId="7" borderId="0" xfId="0" applyFont="1" applyFill="1" applyAlignment="1">
      <alignment horizontal="right" vertical="center"/>
    </xf>
    <xf numFmtId="164" fontId="48" fillId="0" borderId="0" xfId="0" applyFont="1" applyFill="1" applyBorder="1" applyAlignment="1">
      <alignment horizontal="left" vertical="center"/>
    </xf>
    <xf numFmtId="164" fontId="4" fillId="0" borderId="0" xfId="0" applyFont="1" applyFill="1" applyBorder="1" applyAlignment="1">
      <alignment horizontal="left" vertical="center"/>
    </xf>
    <xf numFmtId="166" fontId="51" fillId="0" borderId="0" xfId="4" applyFont="1" applyFill="1" applyBorder="1" applyAlignment="1">
      <alignment horizontal="right" vertical="center"/>
    </xf>
    <xf numFmtId="39" fontId="4" fillId="0" borderId="0" xfId="0" applyNumberFormat="1" applyFont="1" applyFill="1" applyBorder="1" applyAlignment="1">
      <alignment horizontal="right" vertical="center"/>
    </xf>
    <xf numFmtId="177" fontId="51" fillId="0" borderId="0" xfId="2" applyNumberFormat="1" applyFont="1">
      <alignment vertical="center"/>
    </xf>
    <xf numFmtId="164" fontId="61" fillId="4" borderId="0" xfId="0" applyFont="1" applyFill="1" applyAlignment="1">
      <alignment horizontal="left" vertical="center"/>
    </xf>
    <xf numFmtId="164" fontId="62" fillId="4" borderId="0" xfId="0" applyFont="1" applyFill="1" applyAlignment="1">
      <alignment horizontal="center" vertical="center"/>
    </xf>
    <xf numFmtId="164" fontId="64" fillId="4" borderId="0" xfId="0" applyFont="1" applyFill="1" applyAlignment="1">
      <alignment horizontal="right" vertical="center"/>
    </xf>
    <xf numFmtId="164" fontId="65" fillId="0" borderId="0" xfId="0" applyFont="1" applyAlignment="1">
      <alignment horizontal="right" vertical="center"/>
    </xf>
    <xf numFmtId="164" fontId="61" fillId="3" borderId="5" xfId="0" applyFont="1" applyFill="1" applyBorder="1" applyAlignment="1">
      <alignment horizontal="left" vertical="center"/>
    </xf>
    <xf numFmtId="164" fontId="61" fillId="3" borderId="4" xfId="0" applyFont="1" applyFill="1" applyBorder="1" applyAlignment="1">
      <alignment horizontal="left" vertical="center"/>
    </xf>
    <xf numFmtId="40" fontId="63" fillId="3" borderId="4" xfId="0" applyNumberFormat="1" applyFont="1" applyFill="1" applyBorder="1" applyAlignment="1">
      <alignment horizontal="left" vertical="center"/>
    </xf>
    <xf numFmtId="164" fontId="63" fillId="3" borderId="4" xfId="0" applyFont="1" applyFill="1" applyBorder="1" applyAlignment="1">
      <alignment horizontal="left" vertical="center"/>
    </xf>
    <xf numFmtId="164" fontId="64" fillId="3" borderId="4" xfId="0" applyFont="1" applyFill="1" applyBorder="1" applyAlignment="1">
      <alignment horizontal="center" vertical="center"/>
    </xf>
    <xf numFmtId="164" fontId="63" fillId="3" borderId="4" xfId="0" applyFont="1" applyFill="1" applyBorder="1" applyAlignment="1">
      <alignment horizontal="right" vertical="center"/>
    </xf>
    <xf numFmtId="164" fontId="64" fillId="3" borderId="4" xfId="0" applyFont="1" applyFill="1" applyBorder="1" applyAlignment="1">
      <alignment horizontal="right" vertical="center"/>
    </xf>
    <xf numFmtId="164" fontId="63" fillId="3" borderId="3" xfId="0" applyFont="1" applyFill="1" applyBorder="1" applyAlignment="1">
      <alignment horizontal="left" vertical="center"/>
    </xf>
    <xf numFmtId="164" fontId="66" fillId="0" borderId="0" xfId="0" applyFont="1" applyAlignment="1">
      <alignment horizontal="right" vertical="center"/>
    </xf>
    <xf numFmtId="164" fontId="65" fillId="0" borderId="0" xfId="0" applyFont="1">
      <alignment vertical="center"/>
    </xf>
    <xf numFmtId="164" fontId="67" fillId="0" borderId="0" xfId="0" applyFont="1">
      <alignment vertical="center"/>
    </xf>
    <xf numFmtId="164" fontId="65" fillId="0" borderId="0" xfId="0" applyFont="1" applyAlignment="1">
      <alignment horizontal="center" vertical="center"/>
    </xf>
    <xf numFmtId="165" fontId="69" fillId="0" borderId="0" xfId="3" applyFont="1" applyAlignment="1">
      <alignment horizontal="right" vertical="center"/>
    </xf>
    <xf numFmtId="164" fontId="66" fillId="0" borderId="0" xfId="0" applyFont="1">
      <alignment vertical="center"/>
    </xf>
    <xf numFmtId="167" fontId="65" fillId="0" borderId="0" xfId="61" applyNumberFormat="1" applyFont="1" applyAlignment="1">
      <alignment horizontal="right" vertical="center"/>
    </xf>
    <xf numFmtId="166" fontId="65" fillId="0" borderId="0" xfId="61" applyFont="1" applyAlignment="1">
      <alignment horizontal="right" vertical="center"/>
    </xf>
    <xf numFmtId="164" fontId="70" fillId="0" borderId="0" xfId="0" applyFont="1">
      <alignment vertical="center"/>
    </xf>
    <xf numFmtId="164" fontId="69" fillId="0" borderId="0" xfId="0" applyFont="1">
      <alignment vertical="center"/>
    </xf>
    <xf numFmtId="166" fontId="71" fillId="0" borderId="0" xfId="61" applyFont="1" applyFill="1" applyAlignment="1">
      <alignment horizontal="right" vertical="center"/>
    </xf>
    <xf numFmtId="166" fontId="67" fillId="0" borderId="0" xfId="61" applyFont="1" applyFill="1" applyAlignment="1">
      <alignment horizontal="right" vertical="center"/>
    </xf>
    <xf numFmtId="165" fontId="71" fillId="0" borderId="0" xfId="3" applyFont="1" applyFill="1">
      <alignment vertical="center"/>
    </xf>
    <xf numFmtId="166" fontId="75" fillId="0" borderId="0" xfId="61" applyFont="1" applyFill="1" applyAlignment="1">
      <alignment horizontal="right" vertical="center"/>
    </xf>
    <xf numFmtId="164" fontId="65" fillId="0" borderId="0" xfId="0" applyFont="1" applyAlignment="1">
      <alignment horizontal="left" vertical="center"/>
    </xf>
    <xf numFmtId="164" fontId="66" fillId="0" borderId="0" xfId="0" applyFont="1" applyAlignment="1">
      <alignment horizontal="left" vertical="center"/>
    </xf>
    <xf numFmtId="164" fontId="69" fillId="0" borderId="0" xfId="0" applyFont="1" applyAlignment="1">
      <alignment horizontal="center" vertical="center"/>
    </xf>
    <xf numFmtId="164" fontId="70" fillId="0" borderId="30" xfId="0" applyFont="1" applyBorder="1" applyAlignment="1">
      <alignment horizontal="left" vertical="center"/>
    </xf>
    <xf numFmtId="164" fontId="65" fillId="0" borderId="30" xfId="0" applyFont="1" applyBorder="1" applyAlignment="1">
      <alignment horizontal="left" vertical="center"/>
    </xf>
    <xf numFmtId="164" fontId="66" fillId="0" borderId="30" xfId="0" applyFont="1" applyBorder="1" applyAlignment="1">
      <alignment horizontal="left" vertical="center"/>
    </xf>
    <xf numFmtId="164" fontId="69" fillId="0" borderId="30" xfId="0" applyFont="1" applyBorder="1" applyAlignment="1">
      <alignment horizontal="center" vertical="center"/>
    </xf>
    <xf numFmtId="164" fontId="66" fillId="0" borderId="30" xfId="0" applyFont="1" applyBorder="1" applyAlignment="1">
      <alignment horizontal="right" vertical="center"/>
    </xf>
    <xf numFmtId="164" fontId="69" fillId="0" borderId="30" xfId="0" applyFont="1" applyBorder="1" applyAlignment="1">
      <alignment horizontal="right" vertical="center"/>
    </xf>
    <xf numFmtId="166" fontId="66" fillId="0" borderId="0" xfId="4" applyFont="1" applyAlignment="1">
      <alignment horizontal="right" vertical="center"/>
    </xf>
    <xf numFmtId="164" fontId="69" fillId="0" borderId="0" xfId="0" applyFont="1" applyAlignment="1">
      <alignment horizontal="right" vertical="center"/>
    </xf>
    <xf numFmtId="164" fontId="67" fillId="0" borderId="0" xfId="61" applyNumberFormat="1" applyFont="1" applyFill="1" applyAlignment="1">
      <alignment horizontal="right" vertical="center"/>
    </xf>
    <xf numFmtId="177" fontId="68" fillId="0" borderId="0" xfId="61" applyNumberFormat="1" applyFont="1" applyFill="1" applyAlignment="1">
      <alignment horizontal="right" vertical="center"/>
    </xf>
    <xf numFmtId="164" fontId="4" fillId="0" borderId="30" xfId="0" applyFont="1" applyBorder="1" applyAlignment="1">
      <alignment horizontal="left" vertical="center"/>
    </xf>
    <xf numFmtId="164" fontId="4" fillId="0" borderId="30" xfId="0" applyFont="1" applyBorder="1" applyAlignment="1">
      <alignment horizontal="center" vertical="center"/>
    </xf>
    <xf numFmtId="179" fontId="4" fillId="0" borderId="0" xfId="0" applyNumberFormat="1" applyFont="1" applyAlignment="1">
      <alignment horizontal="right" vertical="center"/>
    </xf>
    <xf numFmtId="177" fontId="37" fillId="0" borderId="0" xfId="2" applyNumberFormat="1" applyFont="1">
      <alignment vertical="center"/>
    </xf>
    <xf numFmtId="177" fontId="51" fillId="0" borderId="0" xfId="3" applyNumberFormat="1" applyFont="1">
      <alignment vertical="center"/>
    </xf>
    <xf numFmtId="165" fontId="4" fillId="40" borderId="0" xfId="3" applyFont="1" applyFill="1">
      <alignment vertical="center"/>
    </xf>
    <xf numFmtId="165" fontId="48" fillId="40" borderId="0" xfId="3" applyFont="1" applyFill="1">
      <alignment vertical="center"/>
    </xf>
    <xf numFmtId="165" fontId="48" fillId="40" borderId="0" xfId="3" applyFont="1" applyFill="1" applyAlignment="1">
      <alignment horizontal="right" vertical="center"/>
    </xf>
    <xf numFmtId="164" fontId="36" fillId="2" borderId="38" xfId="2" applyFont="1" applyFill="1" applyBorder="1" applyAlignment="1" applyProtection="1">
      <alignment horizontal="right" vertical="center"/>
    </xf>
    <xf numFmtId="164" fontId="36" fillId="2" borderId="35" xfId="2" applyFont="1" applyFill="1" applyBorder="1" applyAlignment="1" applyProtection="1">
      <alignment horizontal="right" vertical="center"/>
    </xf>
    <xf numFmtId="177" fontId="68" fillId="0" borderId="0" xfId="2" applyNumberFormat="1" applyFont="1" applyFill="1" applyAlignment="1">
      <alignment horizontal="right" vertical="center"/>
    </xf>
    <xf numFmtId="177" fontId="73" fillId="8" borderId="0" xfId="2" applyNumberFormat="1" applyFont="1" applyFill="1" applyAlignment="1">
      <alignment horizontal="right" vertical="center"/>
    </xf>
    <xf numFmtId="177" fontId="71" fillId="40" borderId="0" xfId="2" applyNumberFormat="1" applyFont="1" applyFill="1" applyAlignment="1">
      <alignment horizontal="right" vertical="center"/>
    </xf>
    <xf numFmtId="177" fontId="73" fillId="0" borderId="0" xfId="2" applyNumberFormat="1" applyFont="1" applyFill="1" applyAlignment="1">
      <alignment horizontal="right" vertical="center"/>
    </xf>
    <xf numFmtId="166" fontId="37" fillId="0" borderId="0" xfId="0" applyNumberFormat="1" applyFont="1" applyAlignment="1">
      <alignment horizontal="right" vertical="center"/>
    </xf>
    <xf numFmtId="164" fontId="67" fillId="0" borderId="0" xfId="0" applyFont="1" applyFill="1" applyAlignment="1">
      <alignment horizontal="center" vertical="center"/>
    </xf>
    <xf numFmtId="164" fontId="79" fillId="0" borderId="0" xfId="0" applyFont="1" applyFill="1">
      <alignment vertical="center"/>
    </xf>
    <xf numFmtId="164" fontId="67" fillId="0" borderId="0" xfId="0" applyFont="1" applyFill="1">
      <alignment vertical="center"/>
    </xf>
    <xf numFmtId="166" fontId="68" fillId="0" borderId="0" xfId="61" applyFont="1" applyFill="1" applyAlignment="1">
      <alignment horizontal="right" vertical="center"/>
    </xf>
    <xf numFmtId="166" fontId="80" fillId="0" borderId="0" xfId="61" applyFont="1" applyFill="1" applyAlignment="1">
      <alignment horizontal="right" vertical="center"/>
    </xf>
    <xf numFmtId="177" fontId="72" fillId="0" borderId="0" xfId="0" applyNumberFormat="1" applyFont="1" applyFill="1">
      <alignment vertical="center"/>
    </xf>
    <xf numFmtId="164" fontId="78" fillId="0" borderId="0" xfId="0" applyFont="1" applyFill="1">
      <alignment vertical="center"/>
    </xf>
    <xf numFmtId="166" fontId="81" fillId="0" borderId="0" xfId="4" applyFont="1" applyFill="1" applyAlignment="1">
      <alignment horizontal="right" vertical="center"/>
    </xf>
    <xf numFmtId="166" fontId="68" fillId="0" borderId="0" xfId="4" applyFont="1" applyFill="1" applyAlignment="1">
      <alignment horizontal="right" vertical="center"/>
    </xf>
    <xf numFmtId="164" fontId="51" fillId="0" borderId="2" xfId="0" applyFont="1" applyFill="1" applyBorder="1" applyAlignment="1">
      <alignment horizontal="center" vertical="center"/>
    </xf>
    <xf numFmtId="164" fontId="4" fillId="0" borderId="0" xfId="0" applyFont="1" applyFill="1" applyAlignment="1">
      <alignment horizontal="center" vertical="center"/>
    </xf>
    <xf numFmtId="179" fontId="53" fillId="0" borderId="34" xfId="0" applyNumberFormat="1" applyFont="1" applyFill="1" applyBorder="1" applyAlignment="1">
      <alignment horizontal="center" vertical="center"/>
    </xf>
    <xf numFmtId="166" fontId="26" fillId="0" borderId="0" xfId="4" applyFont="1" applyFill="1" applyAlignment="1">
      <alignment horizontal="right" vertical="center"/>
    </xf>
    <xf numFmtId="164" fontId="51" fillId="0" borderId="0" xfId="0" applyFont="1" applyFill="1" applyAlignment="1">
      <alignment horizontal="left" vertical="center"/>
    </xf>
    <xf numFmtId="164" fontId="59" fillId="0" borderId="34" xfId="0" applyFont="1" applyFill="1" applyBorder="1" applyAlignment="1">
      <alignment horizontal="center" vertical="center"/>
    </xf>
    <xf numFmtId="165" fontId="26" fillId="0" borderId="0" xfId="3" applyFont="1" applyFill="1">
      <alignment vertical="center"/>
    </xf>
    <xf numFmtId="164" fontId="48" fillId="0" borderId="0" xfId="0" applyFont="1" applyFill="1" applyAlignment="1">
      <alignment horizontal="center" vertical="center"/>
    </xf>
    <xf numFmtId="164" fontId="48" fillId="0" borderId="0" xfId="0" applyFont="1" applyFill="1">
      <alignment vertical="center"/>
    </xf>
    <xf numFmtId="165" fontId="52" fillId="0" borderId="0" xfId="3" applyFont="1" applyFill="1">
      <alignment vertical="center"/>
    </xf>
    <xf numFmtId="164" fontId="48" fillId="0" borderId="0" xfId="2" applyFont="1" applyFill="1" applyBorder="1" applyAlignment="1">
      <alignment horizontal="right" vertical="center"/>
    </xf>
    <xf numFmtId="164" fontId="57" fillId="0" borderId="0" xfId="0" applyFont="1" applyFill="1" applyAlignment="1">
      <alignment horizontal="left" vertical="center"/>
    </xf>
    <xf numFmtId="164" fontId="49" fillId="0" borderId="0" xfId="0" applyFont="1" applyFill="1">
      <alignment vertical="center"/>
    </xf>
    <xf numFmtId="165" fontId="36" fillId="0" borderId="46" xfId="3" applyFont="1" applyFill="1" applyBorder="1">
      <alignment vertical="center"/>
    </xf>
    <xf numFmtId="166" fontId="37" fillId="40" borderId="0" xfId="4" applyFont="1" applyFill="1" applyAlignment="1">
      <alignment horizontal="right" vertical="center"/>
    </xf>
    <xf numFmtId="164" fontId="36" fillId="0" borderId="16" xfId="0" applyFont="1" applyFill="1" applyBorder="1" applyAlignment="1">
      <alignment horizontal="left" vertical="center"/>
    </xf>
    <xf numFmtId="164" fontId="33" fillId="0" borderId="0" xfId="0" applyFont="1" applyAlignment="1">
      <alignment horizontal="left" vertical="center" indent="1"/>
    </xf>
    <xf numFmtId="166" fontId="37" fillId="5" borderId="0" xfId="4" applyFont="1" applyFill="1" applyBorder="1" applyAlignment="1">
      <alignment horizontal="right" vertical="center"/>
    </xf>
    <xf numFmtId="164" fontId="0" fillId="0" borderId="0" xfId="0" applyFont="1" applyAlignment="1">
      <alignment horizontal="left" vertical="center"/>
    </xf>
    <xf numFmtId="166" fontId="52" fillId="6" borderId="0" xfId="4" applyFont="1" applyFill="1" applyBorder="1" applyAlignment="1">
      <alignment horizontal="right" vertical="center"/>
    </xf>
    <xf numFmtId="164" fontId="46" fillId="0" borderId="0" xfId="0" applyFont="1" applyBorder="1" applyAlignment="1">
      <alignment horizontal="center" vertical="center"/>
    </xf>
    <xf numFmtId="164" fontId="4" fillId="7" borderId="0" xfId="0" applyFont="1" applyFill="1" applyBorder="1" applyAlignment="1">
      <alignment horizontal="center" vertical="center"/>
    </xf>
    <xf numFmtId="49" fontId="0" fillId="0" borderId="0" xfId="0" applyNumberFormat="1" applyFont="1" applyAlignment="1">
      <alignment horizontal="right" vertical="center"/>
    </xf>
    <xf numFmtId="170" fontId="5" fillId="0" borderId="0" xfId="0" applyNumberFormat="1" applyFont="1" applyAlignment="1">
      <alignment horizontal="right" vertical="center"/>
    </xf>
    <xf numFmtId="166" fontId="68" fillId="7" borderId="0" xfId="61" applyFont="1" applyFill="1" applyAlignment="1">
      <alignment horizontal="right" vertical="center"/>
    </xf>
    <xf numFmtId="177" fontId="72" fillId="7" borderId="0" xfId="0" applyNumberFormat="1" applyFont="1" applyFill="1">
      <alignment vertical="center"/>
    </xf>
    <xf numFmtId="166" fontId="68" fillId="7" borderId="0" xfId="4" applyFont="1" applyFill="1" applyAlignment="1">
      <alignment horizontal="right" vertical="center"/>
    </xf>
    <xf numFmtId="164" fontId="58" fillId="0" borderId="34" xfId="0" applyFont="1" applyFill="1" applyBorder="1" applyAlignment="1">
      <alignment horizontal="center" vertical="center"/>
    </xf>
    <xf numFmtId="164" fontId="76" fillId="0" borderId="0" xfId="0" applyFont="1">
      <alignment vertical="center"/>
    </xf>
    <xf numFmtId="164" fontId="71" fillId="0" borderId="0" xfId="0" applyFont="1" applyFill="1" applyAlignment="1">
      <alignment horizontal="center" vertical="center"/>
    </xf>
    <xf numFmtId="164" fontId="71" fillId="0" borderId="0" xfId="61" applyNumberFormat="1" applyFont="1" applyFill="1" applyAlignment="1">
      <alignment horizontal="right" vertical="center"/>
    </xf>
    <xf numFmtId="166" fontId="67" fillId="0" borderId="0" xfId="61" applyNumberFormat="1" applyFont="1" applyFill="1" applyAlignment="1">
      <alignment horizontal="right" vertical="center"/>
    </xf>
    <xf numFmtId="166" fontId="77" fillId="0" borderId="0" xfId="61" applyNumberFormat="1" applyFont="1" applyFill="1" applyAlignment="1">
      <alignment horizontal="right" vertical="center"/>
    </xf>
    <xf numFmtId="166" fontId="41" fillId="0" borderId="0" xfId="4" applyFont="1" applyAlignment="1">
      <alignment horizontal="right" vertical="center"/>
    </xf>
    <xf numFmtId="173" fontId="83" fillId="0" borderId="0" xfId="4" applyNumberFormat="1" applyFont="1" applyAlignment="1">
      <alignment horizontal="right" vertical="center"/>
    </xf>
    <xf numFmtId="164" fontId="0" fillId="0" borderId="0" xfId="0" applyFont="1" applyFill="1" applyBorder="1" applyAlignment="1">
      <alignment horizontal="left"/>
    </xf>
    <xf numFmtId="166" fontId="54" fillId="6" borderId="10" xfId="4" applyNumberFormat="1" applyFont="1" applyFill="1" applyBorder="1" applyAlignment="1">
      <alignment horizontal="right" vertical="center"/>
    </xf>
    <xf numFmtId="167" fontId="5" fillId="0" borderId="0" xfId="0" applyNumberFormat="1" applyFont="1" applyAlignment="1">
      <alignment horizontal="right" vertical="center"/>
    </xf>
    <xf numFmtId="166" fontId="5" fillId="0" borderId="0" xfId="0" applyNumberFormat="1" applyFont="1" applyAlignment="1">
      <alignment horizontal="right" vertical="center"/>
    </xf>
    <xf numFmtId="173" fontId="5" fillId="0" borderId="1" xfId="0" applyNumberFormat="1" applyFont="1" applyBorder="1" applyAlignment="1">
      <alignment horizontal="right" vertical="center"/>
    </xf>
    <xf numFmtId="165" fontId="58" fillId="0" borderId="34" xfId="3" applyFont="1" applyFill="1" applyBorder="1" applyAlignment="1">
      <alignment horizontal="center" vertical="center"/>
    </xf>
    <xf numFmtId="166" fontId="52" fillId="7" borderId="0" xfId="4" applyFont="1" applyFill="1" applyAlignment="1">
      <alignment horizontal="right" vertical="center"/>
    </xf>
    <xf numFmtId="164" fontId="23" fillId="3" borderId="4" xfId="0" applyFont="1" applyFill="1" applyBorder="1" applyAlignment="1">
      <alignment horizontal="centerContinuous" vertical="center"/>
    </xf>
    <xf numFmtId="164" fontId="4" fillId="0" borderId="0" xfId="0" applyFont="1" applyAlignment="1">
      <alignment horizontal="centerContinuous" vertical="center"/>
    </xf>
    <xf numFmtId="166" fontId="51" fillId="0" borderId="0" xfId="2" applyNumberFormat="1" applyFont="1">
      <alignment vertical="center"/>
    </xf>
    <xf numFmtId="166" fontId="51" fillId="7" borderId="0" xfId="2" applyNumberFormat="1" applyFont="1" applyFill="1">
      <alignment vertical="center"/>
    </xf>
    <xf numFmtId="166" fontId="4" fillId="7" borderId="0" xfId="2" applyNumberFormat="1" applyFont="1" applyFill="1">
      <alignment vertical="center"/>
    </xf>
    <xf numFmtId="40" fontId="28" fillId="0" borderId="0" xfId="0" applyNumberFormat="1" applyFont="1" applyFill="1" applyBorder="1" applyAlignment="1">
      <alignment horizontal="left" vertical="center"/>
    </xf>
    <xf numFmtId="180" fontId="28" fillId="6" borderId="30" xfId="0" applyNumberFormat="1" applyFont="1" applyFill="1" applyBorder="1" applyAlignment="1">
      <alignment horizontal="left" vertical="center"/>
    </xf>
    <xf numFmtId="164" fontId="28" fillId="6" borderId="30" xfId="0" applyFont="1" applyFill="1" applyBorder="1" applyAlignment="1">
      <alignment horizontal="left" vertical="center"/>
    </xf>
    <xf numFmtId="166" fontId="49" fillId="6" borderId="30" xfId="4" applyFont="1" applyFill="1" applyBorder="1" applyAlignment="1">
      <alignment horizontal="right" vertical="center"/>
    </xf>
    <xf numFmtId="166" fontId="28" fillId="6" borderId="30" xfId="4" applyFont="1" applyFill="1" applyBorder="1" applyAlignment="1">
      <alignment horizontal="right" vertical="center"/>
    </xf>
    <xf numFmtId="166" fontId="37" fillId="6" borderId="30" xfId="4" applyFont="1" applyFill="1" applyBorder="1">
      <alignment vertical="center"/>
    </xf>
    <xf numFmtId="167" fontId="4" fillId="0" borderId="0" xfId="0" applyNumberFormat="1" applyFont="1">
      <alignment vertical="center"/>
    </xf>
    <xf numFmtId="40" fontId="4" fillId="0" borderId="0" xfId="0" applyNumberFormat="1" applyFont="1" applyFill="1" applyBorder="1" applyAlignment="1">
      <alignment horizontal="left" vertical="center"/>
    </xf>
    <xf numFmtId="177" fontId="51" fillId="7" borderId="0" xfId="0" applyNumberFormat="1" applyFont="1" applyFill="1" applyAlignment="1">
      <alignment horizontal="right" vertical="center"/>
    </xf>
    <xf numFmtId="177" fontId="4" fillId="7" borderId="0" xfId="0" applyNumberFormat="1" applyFont="1" applyFill="1" applyAlignment="1">
      <alignment horizontal="right" vertical="center"/>
    </xf>
    <xf numFmtId="167" fontId="4" fillId="7" borderId="0" xfId="0" applyNumberFormat="1" applyFont="1" applyFill="1" applyAlignment="1">
      <alignment horizontal="left" vertical="center"/>
    </xf>
    <xf numFmtId="164" fontId="4" fillId="7" borderId="0" xfId="0" applyFont="1" applyFill="1" applyAlignment="1">
      <alignment horizontal="centerContinuous" vertical="center"/>
    </xf>
    <xf numFmtId="167" fontId="4" fillId="7" borderId="0" xfId="0" applyNumberFormat="1" applyFont="1" applyFill="1" applyBorder="1" applyAlignment="1">
      <alignment horizontal="left" vertical="center"/>
    </xf>
    <xf numFmtId="40" fontId="4" fillId="7" borderId="0" xfId="0" applyNumberFormat="1" applyFont="1" applyFill="1" applyBorder="1" applyAlignment="1">
      <alignment horizontal="left" vertical="center"/>
    </xf>
    <xf numFmtId="177" fontId="26" fillId="7" borderId="0" xfId="0" applyNumberFormat="1" applyFont="1" applyFill="1" applyAlignment="1">
      <alignment horizontal="right" vertical="center"/>
    </xf>
    <xf numFmtId="166" fontId="37" fillId="6" borderId="50" xfId="4" applyFont="1" applyFill="1" applyBorder="1" applyAlignment="1">
      <alignment horizontal="right" vertical="center"/>
    </xf>
    <xf numFmtId="166" fontId="37" fillId="6" borderId="30" xfId="4" applyFont="1" applyFill="1" applyBorder="1" applyAlignment="1">
      <alignment horizontal="right" vertical="center"/>
    </xf>
    <xf numFmtId="164" fontId="4" fillId="0" borderId="0" xfId="0" applyFont="1" applyFill="1" applyAlignment="1">
      <alignment vertical="center"/>
    </xf>
    <xf numFmtId="166" fontId="48" fillId="0" borderId="0" xfId="4" applyFont="1" applyFill="1" applyBorder="1" applyAlignment="1">
      <alignment horizontal="right" vertical="center"/>
    </xf>
    <xf numFmtId="164" fontId="28" fillId="0" borderId="0" xfId="0" applyFont="1" applyFill="1" applyBorder="1" applyAlignment="1">
      <alignment horizontal="left" vertical="center"/>
    </xf>
    <xf numFmtId="166" fontId="28" fillId="0" borderId="51" xfId="4" applyFont="1" applyFill="1" applyBorder="1" applyAlignment="1">
      <alignment horizontal="right" vertical="center"/>
    </xf>
    <xf numFmtId="164" fontId="28" fillId="5" borderId="47" xfId="0" applyFont="1" applyFill="1" applyBorder="1" applyAlignment="1">
      <alignment vertical="center"/>
    </xf>
    <xf numFmtId="164" fontId="28" fillId="5" borderId="48" xfId="0" applyFont="1" applyFill="1" applyBorder="1" applyAlignment="1">
      <alignment vertical="center"/>
    </xf>
    <xf numFmtId="175" fontId="28" fillId="5" borderId="48" xfId="0" applyNumberFormat="1" applyFont="1" applyFill="1" applyBorder="1" applyAlignment="1">
      <alignment vertical="center"/>
    </xf>
    <xf numFmtId="164" fontId="28" fillId="5" borderId="48" xfId="0" applyFont="1" applyFill="1" applyBorder="1" applyAlignment="1">
      <alignment horizontal="left" vertical="center"/>
    </xf>
    <xf numFmtId="166" fontId="49" fillId="5" borderId="48" xfId="4" applyFont="1" applyFill="1" applyBorder="1" applyAlignment="1">
      <alignment horizontal="right" vertical="center"/>
    </xf>
    <xf numFmtId="166" fontId="28" fillId="5" borderId="48" xfId="4" applyFont="1" applyFill="1" applyBorder="1" applyAlignment="1">
      <alignment horizontal="right" vertical="center"/>
    </xf>
    <xf numFmtId="166" fontId="41" fillId="5" borderId="48" xfId="4" applyFont="1" applyFill="1" applyBorder="1" applyAlignment="1">
      <alignment horizontal="right" vertical="center"/>
    </xf>
    <xf numFmtId="166" fontId="37" fillId="5" borderId="48" xfId="4" applyFont="1" applyFill="1" applyBorder="1" applyAlignment="1">
      <alignment horizontal="right" vertical="center"/>
    </xf>
    <xf numFmtId="166" fontId="37" fillId="5" borderId="52" xfId="4" applyFont="1" applyFill="1" applyBorder="1" applyAlignment="1">
      <alignment horizontal="right" vertical="center"/>
    </xf>
    <xf numFmtId="166" fontId="37" fillId="5" borderId="49" xfId="4" applyFont="1" applyFill="1" applyBorder="1" applyAlignment="1">
      <alignment horizontal="right" vertical="center"/>
    </xf>
    <xf numFmtId="164" fontId="28" fillId="5" borderId="45" xfId="0" applyFont="1" applyFill="1" applyBorder="1" applyAlignment="1">
      <alignment vertical="center"/>
    </xf>
    <xf numFmtId="164" fontId="28" fillId="5" borderId="49" xfId="0" applyFont="1" applyFill="1" applyBorder="1" applyAlignment="1">
      <alignment horizontal="left" vertical="center"/>
    </xf>
    <xf numFmtId="166" fontId="49" fillId="5" borderId="49" xfId="4" applyFont="1" applyFill="1" applyBorder="1" applyAlignment="1">
      <alignment horizontal="right" vertical="center"/>
    </xf>
    <xf numFmtId="166" fontId="28" fillId="5" borderId="49" xfId="4" applyFont="1" applyFill="1" applyBorder="1" applyAlignment="1">
      <alignment horizontal="right" vertical="center"/>
    </xf>
    <xf numFmtId="166" fontId="5" fillId="0" borderId="0" xfId="2" applyNumberFormat="1" applyFont="1">
      <alignment vertical="center"/>
    </xf>
    <xf numFmtId="173" fontId="5" fillId="0" borderId="0" xfId="2" applyNumberFormat="1" applyFont="1">
      <alignment vertical="center"/>
    </xf>
    <xf numFmtId="166" fontId="68" fillId="0" borderId="0" xfId="61" applyNumberFormat="1" applyFont="1" applyFill="1" applyAlignment="1">
      <alignment horizontal="right" vertical="center"/>
    </xf>
    <xf numFmtId="176" fontId="77" fillId="0" borderId="0" xfId="61" applyNumberFormat="1" applyFont="1" applyFill="1" applyAlignment="1">
      <alignment horizontal="right" vertical="center"/>
    </xf>
    <xf numFmtId="166" fontId="54" fillId="7" borderId="0" xfId="4" applyFont="1" applyFill="1" applyAlignment="1">
      <alignment horizontal="right" vertical="center"/>
    </xf>
    <xf numFmtId="166" fontId="36" fillId="0" borderId="34" xfId="2" applyNumberFormat="1" applyFont="1" applyFill="1" applyBorder="1">
      <alignment vertical="center"/>
    </xf>
    <xf numFmtId="0" fontId="0" fillId="0" borderId="0" xfId="0" applyNumberFormat="1" applyFont="1" applyAlignment="1">
      <alignment horizontal="left" vertical="center"/>
    </xf>
    <xf numFmtId="170" fontId="51" fillId="7" borderId="0" xfId="4" quotePrefix="1" applyNumberFormat="1" applyFont="1" applyFill="1" applyAlignment="1">
      <alignment horizontal="right" vertical="center"/>
    </xf>
    <xf numFmtId="164" fontId="22" fillId="0" borderId="0" xfId="0" applyFont="1" applyBorder="1" applyAlignment="1">
      <alignment horizontal="left" vertical="center"/>
    </xf>
    <xf numFmtId="167" fontId="22" fillId="0" borderId="0" xfId="0" applyNumberFormat="1" applyFont="1" applyBorder="1">
      <alignment vertical="center"/>
    </xf>
    <xf numFmtId="165" fontId="52" fillId="0" borderId="0" xfId="3" applyFont="1" applyBorder="1" applyAlignment="1">
      <alignment horizontal="right" vertical="center"/>
    </xf>
    <xf numFmtId="164" fontId="5" fillId="0" borderId="0" xfId="0" applyFont="1" applyBorder="1" applyAlignment="1">
      <alignment horizontal="left" vertical="center"/>
    </xf>
    <xf numFmtId="164" fontId="5" fillId="0" borderId="0" xfId="0" applyFont="1" applyBorder="1" applyAlignment="1">
      <alignment horizontal="right" vertical="center"/>
    </xf>
    <xf numFmtId="164" fontId="34" fillId="43" borderId="0" xfId="0" applyFont="1" applyFill="1" applyBorder="1" applyAlignment="1">
      <alignment horizontal="right" vertical="center"/>
    </xf>
    <xf numFmtId="164" fontId="34" fillId="43" borderId="59" xfId="0" applyFont="1" applyFill="1" applyBorder="1" applyAlignment="1">
      <alignment horizontal="right" vertical="center"/>
    </xf>
    <xf numFmtId="164" fontId="88" fillId="44" borderId="54" xfId="0" applyFont="1" applyFill="1" applyBorder="1" applyAlignment="1">
      <alignment horizontal="left" vertical="center"/>
    </xf>
    <xf numFmtId="170" fontId="88" fillId="44" borderId="54" xfId="4" applyNumberFormat="1" applyFont="1" applyFill="1" applyBorder="1" applyAlignment="1">
      <alignment horizontal="left" vertical="center"/>
    </xf>
    <xf numFmtId="164" fontId="88" fillId="44" borderId="61" xfId="0" applyFont="1" applyFill="1" applyBorder="1" applyAlignment="1">
      <alignment horizontal="left" vertical="center"/>
    </xf>
    <xf numFmtId="164" fontId="88" fillId="44" borderId="62" xfId="0" applyFont="1" applyFill="1" applyBorder="1" applyAlignment="1">
      <alignment horizontal="left" vertical="center"/>
    </xf>
    <xf numFmtId="0" fontId="85" fillId="43" borderId="63" xfId="0" applyNumberFormat="1" applyFont="1" applyFill="1" applyBorder="1" applyAlignment="1">
      <alignment horizontal="left" wrapText="1"/>
    </xf>
    <xf numFmtId="0" fontId="85" fillId="43" borderId="44" xfId="0" applyNumberFormat="1" applyFont="1" applyFill="1" applyBorder="1" applyAlignment="1">
      <alignment horizontal="right" wrapText="1"/>
    </xf>
    <xf numFmtId="0" fontId="85" fillId="43" borderId="44" xfId="4" applyNumberFormat="1" applyFont="1" applyFill="1" applyBorder="1" applyAlignment="1">
      <alignment horizontal="right" wrapText="1"/>
    </xf>
    <xf numFmtId="164" fontId="34" fillId="43" borderId="56" xfId="0" applyFont="1" applyFill="1" applyBorder="1" applyAlignment="1">
      <alignment horizontal="left" vertical="center" wrapText="1"/>
    </xf>
    <xf numFmtId="164" fontId="34" fillId="43" borderId="58" xfId="0" applyFont="1" applyFill="1" applyBorder="1" applyAlignment="1">
      <alignment horizontal="left" vertical="center" wrapText="1"/>
    </xf>
    <xf numFmtId="164" fontId="34" fillId="43" borderId="56" xfId="0" applyFont="1" applyFill="1" applyBorder="1" applyAlignment="1">
      <alignment horizontal="left" vertical="center" wrapText="1" indent="1"/>
    </xf>
    <xf numFmtId="164" fontId="86" fillId="43" borderId="56" xfId="0" applyFont="1" applyFill="1" applyBorder="1" applyAlignment="1">
      <alignment horizontal="left" vertical="center" wrapText="1"/>
    </xf>
    <xf numFmtId="164" fontId="86" fillId="43" borderId="0" xfId="0" applyFont="1" applyFill="1" applyBorder="1" applyAlignment="1">
      <alignment horizontal="right" vertical="center"/>
    </xf>
    <xf numFmtId="164" fontId="86" fillId="43" borderId="53" xfId="0" applyFont="1" applyFill="1" applyBorder="1" applyAlignment="1">
      <alignment horizontal="left" vertical="center" wrapText="1"/>
    </xf>
    <xf numFmtId="164" fontId="86" fillId="43" borderId="54" xfId="0" applyFont="1" applyFill="1" applyBorder="1" applyAlignment="1">
      <alignment horizontal="right" vertical="center"/>
    </xf>
    <xf numFmtId="165" fontId="60" fillId="0" borderId="0" xfId="3" applyFont="1" applyAlignment="1">
      <alignment horizontal="right" vertical="center"/>
    </xf>
    <xf numFmtId="164" fontId="84" fillId="43" borderId="56" xfId="0" applyFont="1" applyFill="1" applyBorder="1" applyAlignment="1">
      <alignment horizontal="left" vertical="center" wrapText="1"/>
    </xf>
    <xf numFmtId="164" fontId="84" fillId="43" borderId="0" xfId="0" applyFont="1" applyFill="1" applyBorder="1" applyAlignment="1">
      <alignment horizontal="right" vertical="center"/>
    </xf>
    <xf numFmtId="165" fontId="34" fillId="43" borderId="0" xfId="3" applyFont="1" applyFill="1" applyBorder="1">
      <alignment vertical="center"/>
    </xf>
    <xf numFmtId="165" fontId="84" fillId="45" borderId="57" xfId="3" applyFont="1" applyFill="1" applyBorder="1" applyAlignment="1">
      <alignment horizontal="right" vertical="center"/>
    </xf>
    <xf numFmtId="165" fontId="87" fillId="45" borderId="55" xfId="3" applyFont="1" applyFill="1" applyBorder="1" applyAlignment="1">
      <alignment horizontal="right" vertical="center"/>
    </xf>
    <xf numFmtId="165" fontId="87" fillId="45" borderId="57" xfId="3" applyFont="1" applyFill="1" applyBorder="1" applyAlignment="1">
      <alignment horizontal="right" vertical="center"/>
    </xf>
    <xf numFmtId="165" fontId="84" fillId="45" borderId="60" xfId="3" applyFont="1" applyFill="1" applyBorder="1" applyAlignment="1">
      <alignment horizontal="right" vertical="center"/>
    </xf>
    <xf numFmtId="0" fontId="85" fillId="45" borderId="64" xfId="0" applyNumberFormat="1" applyFont="1" applyFill="1" applyBorder="1" applyAlignment="1">
      <alignment horizontal="right" wrapText="1"/>
    </xf>
    <xf numFmtId="164" fontId="34" fillId="43" borderId="56" xfId="0" applyFont="1" applyFill="1" applyBorder="1" applyAlignment="1">
      <alignment horizontal="left" vertical="center"/>
    </xf>
    <xf numFmtId="166" fontId="34" fillId="43" borderId="0" xfId="0" applyNumberFormat="1" applyFont="1" applyFill="1" applyBorder="1" applyAlignment="1">
      <alignment horizontal="right" vertical="center"/>
    </xf>
    <xf numFmtId="164" fontId="34" fillId="43" borderId="66" xfId="0" applyFont="1" applyFill="1" applyBorder="1" applyAlignment="1">
      <alignment horizontal="right" vertical="center"/>
    </xf>
    <xf numFmtId="0" fontId="85" fillId="43" borderId="44" xfId="0" applyNumberFormat="1" applyFont="1" applyFill="1" applyBorder="1" applyAlignment="1">
      <alignment horizontal="right"/>
    </xf>
    <xf numFmtId="164" fontId="86" fillId="43" borderId="68" xfId="0" applyFont="1" applyFill="1" applyBorder="1" applyAlignment="1">
      <alignment horizontal="left" vertical="center" wrapText="1"/>
    </xf>
    <xf numFmtId="164" fontId="34" fillId="43" borderId="69" xfId="0" applyFont="1" applyFill="1" applyBorder="1" applyAlignment="1">
      <alignment horizontal="right" vertical="center"/>
    </xf>
    <xf numFmtId="166" fontId="34" fillId="43" borderId="69" xfId="0" applyNumberFormat="1" applyFont="1" applyFill="1" applyBorder="1" applyAlignment="1">
      <alignment horizontal="right" vertical="center"/>
    </xf>
    <xf numFmtId="166" fontId="86" fillId="43" borderId="54" xfId="0" applyNumberFormat="1" applyFont="1" applyFill="1" applyBorder="1" applyAlignment="1">
      <alignment horizontal="right" vertical="center"/>
    </xf>
    <xf numFmtId="164" fontId="83" fillId="45" borderId="70" xfId="0" applyFont="1" applyFill="1" applyBorder="1" applyAlignment="1">
      <alignment horizontal="right" vertical="center"/>
    </xf>
    <xf numFmtId="165" fontId="89" fillId="45" borderId="57" xfId="3" applyNumberFormat="1" applyFont="1" applyFill="1" applyBorder="1" applyAlignment="1">
      <alignment horizontal="right" vertical="center"/>
    </xf>
    <xf numFmtId="165" fontId="90" fillId="45" borderId="55" xfId="3" applyNumberFormat="1" applyFont="1" applyFill="1" applyBorder="1" applyAlignment="1">
      <alignment horizontal="right" vertical="center"/>
    </xf>
    <xf numFmtId="164" fontId="86" fillId="43" borderId="53" xfId="0" applyFont="1" applyFill="1" applyBorder="1" applyAlignment="1">
      <alignment horizontal="left" vertical="center"/>
    </xf>
    <xf numFmtId="164" fontId="86" fillId="43" borderId="71" xfId="0" applyFont="1" applyFill="1" applyBorder="1" applyAlignment="1">
      <alignment horizontal="left" vertical="center"/>
    </xf>
    <xf numFmtId="164" fontId="86" fillId="43" borderId="72" xfId="0" applyFont="1" applyFill="1" applyBorder="1" applyAlignment="1">
      <alignment horizontal="right" vertical="center"/>
    </xf>
    <xf numFmtId="166" fontId="86" fillId="43" borderId="72" xfId="0" applyNumberFormat="1" applyFont="1" applyFill="1" applyBorder="1" applyAlignment="1">
      <alignment horizontal="right" vertical="center"/>
    </xf>
    <xf numFmtId="165" fontId="90" fillId="45" borderId="73" xfId="3" applyNumberFormat="1" applyFont="1" applyFill="1" applyBorder="1" applyAlignment="1">
      <alignment horizontal="right" vertical="center"/>
    </xf>
    <xf numFmtId="164" fontId="86" fillId="43" borderId="74" xfId="0" applyFont="1" applyFill="1" applyBorder="1" applyAlignment="1">
      <alignment horizontal="left" vertical="center"/>
    </xf>
    <xf numFmtId="164" fontId="86" fillId="43" borderId="75" xfId="0" applyFont="1" applyFill="1" applyBorder="1" applyAlignment="1">
      <alignment horizontal="right" vertical="center"/>
    </xf>
    <xf numFmtId="166" fontId="86" fillId="43" borderId="75" xfId="0" applyNumberFormat="1" applyFont="1" applyFill="1" applyBorder="1" applyAlignment="1">
      <alignment horizontal="right" vertical="center"/>
    </xf>
    <xf numFmtId="165" fontId="90" fillId="45" borderId="76" xfId="3" applyNumberFormat="1" applyFont="1" applyFill="1" applyBorder="1" applyAlignment="1">
      <alignment horizontal="right" vertical="center"/>
    </xf>
    <xf numFmtId="165" fontId="5" fillId="0" borderId="0" xfId="3" applyNumberFormat="1" applyFont="1">
      <alignment vertical="center"/>
    </xf>
    <xf numFmtId="164" fontId="34" fillId="43" borderId="56" xfId="0" applyFont="1" applyFill="1" applyBorder="1" applyAlignment="1">
      <alignment horizontal="left" vertical="center" indent="1"/>
    </xf>
    <xf numFmtId="165" fontId="84" fillId="45" borderId="67" xfId="3" applyFont="1" applyFill="1" applyBorder="1" applyAlignment="1">
      <alignment horizontal="right" vertical="center"/>
    </xf>
    <xf numFmtId="166" fontId="86" fillId="43" borderId="0" xfId="0" applyNumberFormat="1" applyFont="1" applyFill="1" applyBorder="1" applyAlignment="1">
      <alignment horizontal="right" vertical="center"/>
    </xf>
    <xf numFmtId="165" fontId="87" fillId="45" borderId="73" xfId="3" applyFont="1" applyFill="1" applyBorder="1" applyAlignment="1">
      <alignment horizontal="right" vertical="center"/>
    </xf>
    <xf numFmtId="165" fontId="87" fillId="45" borderId="76" xfId="3" applyFont="1" applyFill="1" applyBorder="1" applyAlignment="1">
      <alignment horizontal="right" vertical="center"/>
    </xf>
    <xf numFmtId="0" fontId="85" fillId="43" borderId="0" xfId="0" applyNumberFormat="1" applyFont="1" applyFill="1" applyBorder="1" applyAlignment="1">
      <alignment horizontal="right"/>
    </xf>
    <xf numFmtId="164" fontId="33" fillId="0" borderId="77" xfId="0" applyFont="1" applyBorder="1" applyAlignment="1">
      <alignment horizontal="right" vertical="center"/>
    </xf>
    <xf numFmtId="164" fontId="34" fillId="43" borderId="78" xfId="0" applyFont="1" applyFill="1" applyBorder="1" applyAlignment="1">
      <alignment horizontal="left" vertical="center" wrapText="1"/>
    </xf>
    <xf numFmtId="164" fontId="34" fillId="43" borderId="79" xfId="0" applyFont="1" applyFill="1" applyBorder="1" applyAlignment="1">
      <alignment horizontal="right" vertical="center"/>
    </xf>
    <xf numFmtId="166" fontId="34" fillId="43" borderId="79" xfId="0" applyNumberFormat="1" applyFont="1" applyFill="1" applyBorder="1" applyAlignment="1">
      <alignment horizontal="right" vertical="center"/>
    </xf>
    <xf numFmtId="166" fontId="34" fillId="43" borderId="59" xfId="0" applyNumberFormat="1" applyFont="1" applyFill="1" applyBorder="1" applyAlignment="1">
      <alignment horizontal="right" vertical="center"/>
    </xf>
    <xf numFmtId="166" fontId="34" fillId="43" borderId="79" xfId="2" applyNumberFormat="1" applyFont="1" applyFill="1" applyBorder="1">
      <alignment vertical="center"/>
    </xf>
    <xf numFmtId="166" fontId="34" fillId="45" borderId="57" xfId="2" applyNumberFormat="1" applyFont="1" applyFill="1" applyBorder="1">
      <alignment vertical="center"/>
    </xf>
    <xf numFmtId="166" fontId="34" fillId="43" borderId="56" xfId="2" applyNumberFormat="1" applyFont="1" applyFill="1" applyBorder="1">
      <alignment vertical="center"/>
    </xf>
    <xf numFmtId="166" fontId="34" fillId="43" borderId="0" xfId="2" applyNumberFormat="1" applyFont="1" applyFill="1" applyBorder="1">
      <alignment vertical="center"/>
    </xf>
    <xf numFmtId="166" fontId="34" fillId="43" borderId="78" xfId="2" applyNumberFormat="1" applyFont="1" applyFill="1" applyBorder="1" applyAlignment="1">
      <alignment vertical="center" wrapText="1"/>
    </xf>
    <xf numFmtId="166" fontId="34" fillId="43" borderId="56" xfId="2" applyNumberFormat="1" applyFont="1" applyFill="1" applyBorder="1" applyAlignment="1">
      <alignment horizontal="left" vertical="center" indent="1"/>
    </xf>
    <xf numFmtId="164" fontId="33" fillId="0" borderId="0" xfId="0" applyFont="1" applyBorder="1" applyAlignment="1">
      <alignment horizontal="left" vertical="center"/>
    </xf>
    <xf numFmtId="164" fontId="33" fillId="0" borderId="0" xfId="0" applyFont="1" applyBorder="1" applyAlignment="1">
      <alignment horizontal="right" vertical="center"/>
    </xf>
    <xf numFmtId="166" fontId="34" fillId="43" borderId="58" xfId="2" applyNumberFormat="1" applyFont="1" applyFill="1" applyBorder="1" applyAlignment="1">
      <alignment horizontal="left" vertical="center"/>
    </xf>
    <xf numFmtId="164" fontId="22" fillId="0" borderId="59" xfId="0" applyFont="1" applyBorder="1" applyAlignment="1">
      <alignment horizontal="left" vertical="center"/>
    </xf>
    <xf numFmtId="164" fontId="5" fillId="0" borderId="59" xfId="0" applyFont="1" applyBorder="1" applyAlignment="1">
      <alignment horizontal="left" vertical="center"/>
    </xf>
    <xf numFmtId="164" fontId="33" fillId="0" borderId="59" xfId="0" applyFont="1" applyBorder="1" applyAlignment="1">
      <alignment horizontal="left" vertical="center"/>
    </xf>
    <xf numFmtId="166" fontId="34" fillId="43" borderId="59" xfId="2" applyNumberFormat="1" applyFont="1" applyFill="1" applyBorder="1">
      <alignment vertical="center"/>
    </xf>
    <xf numFmtId="165" fontId="34" fillId="45" borderId="60" xfId="3" applyFont="1" applyFill="1" applyBorder="1">
      <alignment vertical="center"/>
    </xf>
    <xf numFmtId="165" fontId="34" fillId="45" borderId="80" xfId="3" applyFont="1" applyFill="1" applyBorder="1">
      <alignment vertical="center"/>
    </xf>
    <xf numFmtId="166" fontId="34" fillId="43" borderId="0" xfId="2" applyNumberFormat="1" applyFont="1" applyFill="1" applyBorder="1" applyAlignment="1">
      <alignment horizontal="left" vertical="center" indent="1"/>
    </xf>
    <xf numFmtId="167" fontId="34" fillId="43" borderId="0" xfId="2" applyNumberFormat="1" applyFont="1" applyFill="1" applyBorder="1" applyAlignment="1">
      <alignment horizontal="left" vertical="center" indent="1"/>
    </xf>
    <xf numFmtId="164" fontId="34" fillId="43" borderId="0" xfId="2" applyNumberFormat="1" applyFont="1" applyFill="1" applyBorder="1" applyAlignment="1">
      <alignment horizontal="left" vertical="center" indent="1"/>
    </xf>
    <xf numFmtId="164" fontId="86" fillId="43" borderId="0" xfId="2" applyNumberFormat="1" applyFont="1" applyFill="1" applyBorder="1" applyAlignment="1">
      <alignment horizontal="left" vertical="center" indent="1"/>
    </xf>
    <xf numFmtId="166" fontId="86" fillId="43" borderId="0" xfId="2" applyNumberFormat="1" applyFont="1" applyFill="1" applyBorder="1" applyAlignment="1">
      <alignment horizontal="left" vertical="center" indent="1"/>
    </xf>
    <xf numFmtId="181" fontId="34" fillId="43" borderId="0" xfId="3" applyNumberFormat="1" applyFont="1" applyFill="1" applyBorder="1">
      <alignment vertical="center"/>
    </xf>
    <xf numFmtId="164" fontId="34" fillId="43" borderId="0" xfId="4" applyNumberFormat="1" applyFont="1" applyFill="1" applyBorder="1" applyAlignment="1">
      <alignment horizontal="right" vertical="center"/>
    </xf>
    <xf numFmtId="164" fontId="34" fillId="43" borderId="66" xfId="4" applyNumberFormat="1" applyFont="1" applyFill="1" applyBorder="1" applyAlignment="1">
      <alignment horizontal="right" vertical="center"/>
    </xf>
    <xf numFmtId="164" fontId="86" fillId="43" borderId="0" xfId="4" applyNumberFormat="1" applyFont="1" applyFill="1" applyBorder="1" applyAlignment="1">
      <alignment horizontal="right" vertical="center"/>
    </xf>
    <xf numFmtId="164" fontId="34" fillId="43" borderId="0" xfId="3" applyNumberFormat="1" applyFont="1" applyFill="1" applyBorder="1">
      <alignment vertical="center"/>
    </xf>
    <xf numFmtId="181" fontId="84" fillId="43" borderId="0" xfId="3" applyNumberFormat="1" applyFont="1" applyFill="1" applyBorder="1">
      <alignment vertical="center"/>
    </xf>
    <xf numFmtId="181" fontId="84" fillId="43" borderId="59" xfId="3" applyNumberFormat="1" applyFont="1" applyFill="1" applyBorder="1">
      <alignment vertical="center"/>
    </xf>
    <xf numFmtId="164" fontId="34" fillId="43" borderId="65" xfId="0" applyFont="1" applyFill="1" applyBorder="1" applyAlignment="1">
      <alignment horizontal="left" vertical="center" wrapText="1" indent="1"/>
    </xf>
    <xf numFmtId="164" fontId="86" fillId="43" borderId="54" xfId="4" applyNumberFormat="1" applyFont="1" applyFill="1" applyBorder="1" applyAlignment="1">
      <alignment horizontal="right" vertical="center"/>
    </xf>
    <xf numFmtId="164" fontId="84" fillId="43" borderId="58" xfId="0" applyFont="1" applyFill="1" applyBorder="1" applyAlignment="1">
      <alignment horizontal="left" vertical="center" wrapText="1"/>
    </xf>
    <xf numFmtId="164" fontId="84" fillId="43" borderId="59" xfId="0" applyFont="1" applyFill="1" applyBorder="1" applyAlignment="1">
      <alignment horizontal="right" vertical="center"/>
    </xf>
    <xf numFmtId="164" fontId="34" fillId="43" borderId="0" xfId="0" applyNumberFormat="1" applyFont="1" applyFill="1" applyBorder="1" applyAlignment="1">
      <alignment horizontal="right" vertical="center"/>
    </xf>
    <xf numFmtId="164" fontId="86" fillId="43" borderId="54" xfId="0" applyNumberFormat="1" applyFont="1" applyFill="1" applyBorder="1" applyAlignment="1">
      <alignment horizontal="right" vertical="center"/>
    </xf>
    <xf numFmtId="164" fontId="86" fillId="43" borderId="72" xfId="0" applyNumberFormat="1" applyFont="1" applyFill="1" applyBorder="1" applyAlignment="1">
      <alignment horizontal="right" vertical="center"/>
    </xf>
    <xf numFmtId="164" fontId="86" fillId="43" borderId="75" xfId="0" applyNumberFormat="1" applyFont="1" applyFill="1" applyBorder="1" applyAlignment="1">
      <alignment horizontal="right" vertical="center"/>
    </xf>
    <xf numFmtId="164" fontId="34" fillId="43" borderId="79" xfId="2" applyNumberFormat="1" applyFont="1" applyFill="1" applyBorder="1">
      <alignment vertical="center"/>
    </xf>
    <xf numFmtId="164" fontId="34" fillId="43" borderId="0" xfId="2" applyNumberFormat="1" applyFont="1" applyFill="1" applyBorder="1">
      <alignment vertical="center"/>
    </xf>
    <xf numFmtId="164" fontId="5" fillId="0" borderId="0" xfId="0" applyNumberFormat="1" applyFont="1" applyBorder="1" applyAlignment="1">
      <alignment horizontal="right" vertical="center"/>
    </xf>
    <xf numFmtId="167" fontId="33" fillId="0" borderId="0" xfId="0" applyNumberFormat="1" applyFont="1" applyAlignment="1">
      <alignment horizontal="right" vertical="center"/>
    </xf>
    <xf numFmtId="167" fontId="86" fillId="43" borderId="0" xfId="2" applyNumberFormat="1" applyFont="1" applyFill="1" applyBorder="1" applyAlignment="1">
      <alignment horizontal="left" vertical="center" indent="1"/>
    </xf>
    <xf numFmtId="165" fontId="52" fillId="0" borderId="0" xfId="3" applyFont="1">
      <alignment vertical="center"/>
    </xf>
    <xf numFmtId="181" fontId="33" fillId="0" borderId="0" xfId="3" applyNumberFormat="1" applyFont="1">
      <alignment vertical="center"/>
    </xf>
    <xf numFmtId="0" fontId="92" fillId="41" borderId="0" xfId="91" applyFont="1" applyFill="1"/>
    <xf numFmtId="166" fontId="76" fillId="8" borderId="0" xfId="61" applyFont="1" applyFill="1" applyAlignment="1">
      <alignment horizontal="right" vertical="center"/>
    </xf>
    <xf numFmtId="166" fontId="22" fillId="0" borderId="0" xfId="0" applyNumberFormat="1" applyFont="1" applyAlignment="1">
      <alignment horizontal="right" vertical="center"/>
    </xf>
    <xf numFmtId="166" fontId="37" fillId="5" borderId="9" xfId="4" applyFont="1" applyFill="1" applyBorder="1" applyAlignment="1">
      <alignment horizontal="right" vertical="center"/>
    </xf>
    <xf numFmtId="164" fontId="37" fillId="7" borderId="0" xfId="2" applyFont="1" applyFill="1">
      <alignment vertical="center"/>
    </xf>
    <xf numFmtId="167" fontId="65" fillId="7" borderId="0" xfId="61" applyNumberFormat="1" applyFont="1" applyFill="1" applyAlignment="1">
      <alignment horizontal="right" vertical="center"/>
    </xf>
    <xf numFmtId="164" fontId="65" fillId="7" borderId="0" xfId="0" applyFont="1" applyFill="1">
      <alignment vertical="center"/>
    </xf>
    <xf numFmtId="164" fontId="67" fillId="7" borderId="0" xfId="0" applyFont="1" applyFill="1" applyAlignment="1">
      <alignment horizontal="center" vertical="center"/>
    </xf>
    <xf numFmtId="164" fontId="67" fillId="7" borderId="0" xfId="0" applyFont="1" applyFill="1">
      <alignment vertical="center"/>
    </xf>
    <xf numFmtId="165" fontId="26" fillId="7" borderId="0" xfId="3" applyFont="1" applyFill="1">
      <alignment vertical="center"/>
    </xf>
    <xf numFmtId="165" fontId="52" fillId="0" borderId="14" xfId="3" applyFont="1" applyBorder="1" applyAlignment="1">
      <alignment horizontal="right" vertical="center"/>
    </xf>
    <xf numFmtId="166" fontId="57" fillId="0" borderId="13" xfId="4" applyFont="1" applyFill="1" applyBorder="1" applyAlignment="1">
      <alignment horizontal="right" vertical="center"/>
    </xf>
    <xf numFmtId="166" fontId="37" fillId="7" borderId="34" xfId="4" applyFont="1" applyFill="1" applyBorder="1" applyAlignment="1">
      <alignment horizontal="center" vertical="center"/>
    </xf>
    <xf numFmtId="166" fontId="37" fillId="5" borderId="10" xfId="4" applyNumberFormat="1" applyFont="1" applyFill="1" applyBorder="1" applyAlignment="1">
      <alignment horizontal="right" vertical="center"/>
    </xf>
    <xf numFmtId="166" fontId="74" fillId="0" borderId="0" xfId="61" applyFont="1" applyFill="1" applyAlignment="1">
      <alignment horizontal="right" vertical="center"/>
    </xf>
    <xf numFmtId="166" fontId="73" fillId="0" borderId="0" xfId="61" applyFont="1" applyFill="1" applyAlignment="1">
      <alignment horizontal="right" vertical="center"/>
    </xf>
    <xf numFmtId="164" fontId="0" fillId="0" borderId="0" xfId="0" applyAlignment="1"/>
    <xf numFmtId="164" fontId="88" fillId="44" borderId="81" xfId="0" applyFont="1" applyFill="1" applyBorder="1" applyAlignment="1">
      <alignment horizontal="left" vertical="center"/>
    </xf>
    <xf numFmtId="164" fontId="88" fillId="44" borderId="82" xfId="0" applyFont="1" applyFill="1" applyBorder="1" applyAlignment="1">
      <alignment horizontal="left" vertical="center"/>
    </xf>
    <xf numFmtId="164" fontId="86" fillId="43" borderId="56" xfId="0" applyFont="1" applyFill="1" applyBorder="1" applyAlignment="1">
      <alignment horizontal="left" vertical="center"/>
    </xf>
    <xf numFmtId="37" fontId="86" fillId="43" borderId="0" xfId="2" applyNumberFormat="1" applyFont="1" applyFill="1" applyBorder="1" applyAlignment="1">
      <alignment horizontal="right" vertical="center"/>
    </xf>
    <xf numFmtId="37" fontId="34" fillId="43" borderId="0" xfId="2" applyNumberFormat="1" applyFont="1" applyFill="1" applyBorder="1" applyAlignment="1">
      <alignment horizontal="right" vertical="center"/>
    </xf>
    <xf numFmtId="37" fontId="34" fillId="43" borderId="57" xfId="2" applyNumberFormat="1" applyFont="1" applyFill="1" applyBorder="1" applyAlignment="1">
      <alignment horizontal="right" vertical="center"/>
    </xf>
    <xf numFmtId="164" fontId="85" fillId="43" borderId="84" xfId="0" applyFont="1" applyFill="1" applyBorder="1" applyAlignment="1">
      <alignment horizontal="left" vertical="center"/>
    </xf>
    <xf numFmtId="37" fontId="85" fillId="43" borderId="85" xfId="2" applyNumberFormat="1" applyFont="1" applyFill="1" applyBorder="1" applyAlignment="1">
      <alignment horizontal="right" vertical="center"/>
    </xf>
    <xf numFmtId="37" fontId="85" fillId="43" borderId="86" xfId="2" applyNumberFormat="1" applyFont="1" applyFill="1" applyBorder="1" applyAlignment="1">
      <alignment horizontal="right" vertical="center"/>
    </xf>
    <xf numFmtId="1" fontId="88" fillId="44" borderId="82" xfId="0" applyNumberFormat="1" applyFont="1" applyFill="1" applyBorder="1" applyAlignment="1">
      <alignment horizontal="right" vertical="center"/>
    </xf>
    <xf numFmtId="1" fontId="88" fillId="44" borderId="83" xfId="0" applyNumberFormat="1" applyFont="1" applyFill="1" applyBorder="1" applyAlignment="1">
      <alignment horizontal="right" vertical="center"/>
    </xf>
    <xf numFmtId="164" fontId="92" fillId="41" borderId="0" xfId="2" applyFont="1" applyFill="1">
      <alignment vertical="center"/>
    </xf>
    <xf numFmtId="37" fontId="34" fillId="43" borderId="87" xfId="2" applyNumberFormat="1" applyFont="1" applyFill="1" applyBorder="1" applyAlignment="1">
      <alignment horizontal="right" vertical="center"/>
    </xf>
    <xf numFmtId="164" fontId="4" fillId="0" borderId="0" xfId="2" applyFont="1">
      <alignment vertical="center"/>
    </xf>
    <xf numFmtId="165" fontId="0" fillId="0" borderId="0" xfId="3" applyFont="1">
      <alignment vertical="center"/>
    </xf>
    <xf numFmtId="164" fontId="66" fillId="7" borderId="0" xfId="0" applyFont="1" applyFill="1" applyAlignment="1">
      <alignment horizontal="left" vertical="center"/>
    </xf>
    <xf numFmtId="164" fontId="40" fillId="7" borderId="0" xfId="0" applyFont="1" applyFill="1" applyAlignment="1">
      <alignment horizontal="right" vertical="center"/>
    </xf>
    <xf numFmtId="164" fontId="0" fillId="7" borderId="0" xfId="0" applyFont="1" applyFill="1" applyAlignment="1">
      <alignment horizontal="right" vertical="center"/>
    </xf>
    <xf numFmtId="165" fontId="26" fillId="0" borderId="0" xfId="3" applyNumberFormat="1" applyFont="1" applyFill="1">
      <alignment vertical="center"/>
    </xf>
    <xf numFmtId="165" fontId="5" fillId="0" borderId="0" xfId="3" applyFont="1">
      <alignment vertical="center"/>
    </xf>
    <xf numFmtId="164" fontId="97" fillId="0" borderId="37" xfId="0" applyFont="1" applyBorder="1" applyAlignment="1">
      <alignment horizontal="left" wrapText="1" readingOrder="1"/>
    </xf>
    <xf numFmtId="164" fontId="97" fillId="0" borderId="44" xfId="0" applyFont="1" applyBorder="1" applyAlignment="1">
      <alignment horizontal="right" wrapText="1" readingOrder="1"/>
    </xf>
    <xf numFmtId="164" fontId="97" fillId="45" borderId="41" xfId="0" applyFont="1" applyFill="1" applyBorder="1" applyAlignment="1">
      <alignment horizontal="right" wrapText="1" readingOrder="1"/>
    </xf>
    <xf numFmtId="164" fontId="98" fillId="0" borderId="38" xfId="0" applyFont="1" applyBorder="1" applyAlignment="1">
      <alignment horizontal="left" vertical="center" wrapText="1" readingOrder="1"/>
    </xf>
    <xf numFmtId="175" fontId="98" fillId="0" borderId="79" xfId="77" applyNumberFormat="1" applyFont="1" applyBorder="1" applyAlignment="1">
      <alignment horizontal="right" vertical="center" wrapText="1" readingOrder="1"/>
    </xf>
    <xf numFmtId="183" fontId="99" fillId="45" borderId="88" xfId="3" applyNumberFormat="1" applyFont="1" applyFill="1" applyBorder="1" applyAlignment="1">
      <alignment horizontal="right" vertical="center" wrapText="1" readingOrder="1"/>
    </xf>
    <xf numFmtId="3" fontId="98" fillId="0" borderId="79" xfId="0" applyNumberFormat="1" applyFont="1" applyBorder="1" applyAlignment="1">
      <alignment horizontal="right" vertical="center" wrapText="1" readingOrder="1"/>
    </xf>
    <xf numFmtId="183" fontId="99" fillId="45" borderId="88" xfId="0" applyNumberFormat="1" applyFont="1" applyFill="1" applyBorder="1" applyAlignment="1">
      <alignment horizontal="right" vertical="center" wrapText="1" readingOrder="1"/>
    </xf>
    <xf numFmtId="164" fontId="98" fillId="0" borderId="42" xfId="0" applyFont="1" applyBorder="1" applyAlignment="1">
      <alignment horizontal="left" vertical="center" wrapText="1" indent="1" readingOrder="1"/>
    </xf>
    <xf numFmtId="175" fontId="98" fillId="0" borderId="0" xfId="77" applyNumberFormat="1" applyFont="1" applyAlignment="1">
      <alignment horizontal="right" vertical="center" wrapText="1" readingOrder="1"/>
    </xf>
    <xf numFmtId="183" fontId="99" fillId="45" borderId="89" xfId="3" applyNumberFormat="1" applyFont="1" applyFill="1" applyBorder="1" applyAlignment="1">
      <alignment horizontal="right" vertical="center" wrapText="1" readingOrder="1"/>
    </xf>
    <xf numFmtId="3" fontId="98" fillId="0" borderId="0" xfId="0" applyNumberFormat="1" applyFont="1" applyAlignment="1">
      <alignment horizontal="right" vertical="center" wrapText="1" readingOrder="1"/>
    </xf>
    <xf numFmtId="183" fontId="99" fillId="45" borderId="89" xfId="0" applyNumberFormat="1" applyFont="1" applyFill="1" applyBorder="1" applyAlignment="1">
      <alignment horizontal="right" vertical="center" wrapText="1" readingOrder="1"/>
    </xf>
    <xf numFmtId="164" fontId="97" fillId="0" borderId="42" xfId="0" applyFont="1" applyBorder="1" applyAlignment="1">
      <alignment horizontal="left" vertical="center" wrapText="1" readingOrder="1"/>
    </xf>
    <xf numFmtId="175" fontId="97" fillId="0" borderId="0" xfId="77" applyNumberFormat="1" applyFont="1" applyAlignment="1">
      <alignment horizontal="right" vertical="center" wrapText="1" readingOrder="1"/>
    </xf>
    <xf numFmtId="3" fontId="97" fillId="0" borderId="0" xfId="0" applyNumberFormat="1" applyFont="1" applyAlignment="1">
      <alignment horizontal="right" vertical="center" wrapText="1" readingOrder="1"/>
    </xf>
    <xf numFmtId="164" fontId="99" fillId="0" borderId="42" xfId="0" applyFont="1" applyBorder="1" applyAlignment="1">
      <alignment horizontal="left" vertical="center" wrapText="1" readingOrder="1"/>
    </xf>
    <xf numFmtId="183" fontId="98" fillId="0" borderId="0" xfId="3" applyNumberFormat="1" applyFont="1" applyAlignment="1">
      <alignment horizontal="right" vertical="center" wrapText="1" readingOrder="1"/>
    </xf>
    <xf numFmtId="183" fontId="98" fillId="0" borderId="0" xfId="0" applyNumberFormat="1" applyFont="1" applyAlignment="1">
      <alignment horizontal="right" vertical="center" wrapText="1" readingOrder="1"/>
    </xf>
    <xf numFmtId="164" fontId="98" fillId="0" borderId="90" xfId="0" applyFont="1" applyBorder="1" applyAlignment="1">
      <alignment horizontal="left" vertical="center" wrapText="1" readingOrder="1"/>
    </xf>
    <xf numFmtId="43" fontId="98" fillId="0" borderId="91" xfId="77" applyFont="1" applyBorder="1" applyAlignment="1">
      <alignment horizontal="right" vertical="center" wrapText="1" readingOrder="1"/>
    </xf>
    <xf numFmtId="183" fontId="99" fillId="45" borderId="92" xfId="3" applyNumberFormat="1" applyFont="1" applyFill="1" applyBorder="1" applyAlignment="1">
      <alignment horizontal="right" vertical="center" wrapText="1" readingOrder="1"/>
    </xf>
    <xf numFmtId="183" fontId="99" fillId="45" borderId="92" xfId="0" applyNumberFormat="1" applyFont="1" applyFill="1" applyBorder="1" applyAlignment="1">
      <alignment horizontal="right" vertical="center" wrapText="1" readingOrder="1"/>
    </xf>
    <xf numFmtId="164" fontId="100" fillId="44" borderId="81" xfId="0" applyFont="1" applyFill="1" applyBorder="1" applyAlignment="1">
      <alignment horizontal="left" vertical="center"/>
    </xf>
    <xf numFmtId="164" fontId="100" fillId="44" borderId="82" xfId="0" applyFont="1" applyFill="1" applyBorder="1" applyAlignment="1">
      <alignment horizontal="right" vertical="center"/>
    </xf>
    <xf numFmtId="164" fontId="100" fillId="44" borderId="83" xfId="0" applyFont="1" applyFill="1" applyBorder="1" applyAlignment="1">
      <alignment horizontal="right" vertical="center"/>
    </xf>
    <xf numFmtId="164" fontId="101" fillId="43" borderId="56" xfId="0" applyFont="1" applyFill="1" applyBorder="1" applyAlignment="1">
      <alignment horizontal="left" vertical="center"/>
    </xf>
    <xf numFmtId="164" fontId="101" fillId="43" borderId="0" xfId="0" applyFont="1" applyFill="1" applyBorder="1" applyAlignment="1">
      <alignment horizontal="right" vertical="center"/>
    </xf>
    <xf numFmtId="164" fontId="101" fillId="43" borderId="57" xfId="0" applyFont="1" applyFill="1" applyBorder="1" applyAlignment="1">
      <alignment horizontal="right" vertical="center"/>
    </xf>
    <xf numFmtId="175" fontId="101" fillId="43" borderId="0" xfId="77" applyNumberFormat="1" applyFont="1" applyFill="1" applyBorder="1" applyAlignment="1">
      <alignment horizontal="right" vertical="center"/>
    </xf>
    <xf numFmtId="175" fontId="101" fillId="43" borderId="57" xfId="77" applyNumberFormat="1" applyFont="1" applyFill="1" applyBorder="1" applyAlignment="1">
      <alignment horizontal="right" vertical="center"/>
    </xf>
    <xf numFmtId="175" fontId="102" fillId="0" borderId="0" xfId="77" applyNumberFormat="1" applyFont="1"/>
    <xf numFmtId="164" fontId="101" fillId="43" borderId="58" xfId="0" applyFont="1" applyFill="1" applyBorder="1" applyAlignment="1">
      <alignment horizontal="left" vertical="center"/>
    </xf>
    <xf numFmtId="184" fontId="101" fillId="43" borderId="59" xfId="77" applyNumberFormat="1" applyFont="1" applyFill="1" applyBorder="1" applyAlignment="1">
      <alignment horizontal="right" vertical="center"/>
    </xf>
    <xf numFmtId="184" fontId="101" fillId="43" borderId="60" xfId="77" applyNumberFormat="1" applyFont="1" applyFill="1" applyBorder="1" applyAlignment="1">
      <alignment horizontal="right" vertical="center"/>
    </xf>
    <xf numFmtId="167" fontId="0" fillId="0" borderId="0" xfId="2" applyNumberFormat="1" applyFont="1">
      <alignment vertical="center"/>
    </xf>
    <xf numFmtId="167" fontId="0" fillId="0" borderId="0" xfId="0" applyNumberFormat="1">
      <alignment vertical="center"/>
    </xf>
    <xf numFmtId="181" fontId="0" fillId="0" borderId="0" xfId="3" applyNumberFormat="1" applyFont="1">
      <alignment vertical="center"/>
    </xf>
    <xf numFmtId="175" fontId="5" fillId="0" borderId="0" xfId="77" applyNumberFormat="1" applyFont="1"/>
    <xf numFmtId="1" fontId="68" fillId="7" borderId="0" xfId="61" applyNumberFormat="1" applyFont="1" applyFill="1" applyAlignment="1">
      <alignment horizontal="right" vertical="center"/>
    </xf>
    <xf numFmtId="1" fontId="65" fillId="0" borderId="0" xfId="0" applyNumberFormat="1" applyFont="1" applyAlignment="1">
      <alignment vertical="center"/>
    </xf>
    <xf numFmtId="1" fontId="65" fillId="0" borderId="0" xfId="3" applyNumberFormat="1" applyFont="1" applyAlignment="1">
      <alignment horizontal="right" vertical="center"/>
    </xf>
    <xf numFmtId="164" fontId="0" fillId="0" borderId="0" xfId="0" applyAlignment="1">
      <alignment vertical="center"/>
    </xf>
    <xf numFmtId="164" fontId="71" fillId="0" borderId="0" xfId="0" applyFont="1" applyAlignment="1">
      <alignment vertical="center"/>
    </xf>
    <xf numFmtId="176" fontId="77" fillId="0" borderId="46" xfId="61" applyNumberFormat="1" applyFont="1" applyFill="1" applyBorder="1" applyAlignment="1">
      <alignment horizontal="right" vertical="center"/>
    </xf>
    <xf numFmtId="165" fontId="77" fillId="0" borderId="0" xfId="3" applyFont="1" applyFill="1">
      <alignment vertical="center"/>
    </xf>
    <xf numFmtId="165" fontId="77" fillId="0" borderId="46" xfId="3" applyFont="1" applyFill="1" applyBorder="1">
      <alignment vertical="center"/>
    </xf>
    <xf numFmtId="10" fontId="0" fillId="0" borderId="0" xfId="0" applyNumberFormat="1" applyAlignment="1"/>
    <xf numFmtId="164" fontId="68" fillId="0" borderId="0" xfId="0" applyFont="1" applyAlignment="1">
      <alignment horizontal="left" vertical="center" readingOrder="1"/>
    </xf>
    <xf numFmtId="184" fontId="31" fillId="44" borderId="0" xfId="77" applyNumberFormat="1" applyFont="1" applyFill="1"/>
    <xf numFmtId="184" fontId="31" fillId="46" borderId="0" xfId="77" applyNumberFormat="1" applyFont="1" applyFill="1"/>
    <xf numFmtId="164" fontId="22" fillId="0" borderId="0" xfId="0" applyFont="1" applyAlignment="1"/>
    <xf numFmtId="175" fontId="22" fillId="0" borderId="0" xfId="77" applyNumberFormat="1" applyFont="1"/>
    <xf numFmtId="175" fontId="0" fillId="0" borderId="0" xfId="77" applyNumberFormat="1" applyFont="1"/>
    <xf numFmtId="1" fontId="0" fillId="0" borderId="0" xfId="0" applyNumberFormat="1" applyAlignment="1"/>
    <xf numFmtId="1" fontId="22" fillId="0" borderId="0" xfId="0" applyNumberFormat="1" applyFont="1" applyAlignment="1"/>
    <xf numFmtId="175" fontId="5" fillId="0" borderId="46" xfId="77" applyNumberFormat="1" applyFont="1" applyBorder="1"/>
    <xf numFmtId="167" fontId="86" fillId="43" borderId="0" xfId="77" applyNumberFormat="1" applyFont="1" applyFill="1" applyBorder="1" applyAlignment="1">
      <alignment horizontal="left" vertical="center" indent="1"/>
    </xf>
    <xf numFmtId="166" fontId="34" fillId="43" borderId="0" xfId="77" applyNumberFormat="1" applyFont="1" applyFill="1" applyBorder="1" applyAlignment="1">
      <alignment horizontal="left" vertical="center" indent="1"/>
    </xf>
    <xf numFmtId="167" fontId="34" fillId="43" borderId="0" xfId="2" applyNumberFormat="1" applyFont="1" applyFill="1" applyBorder="1">
      <alignment vertical="center"/>
    </xf>
    <xf numFmtId="164" fontId="96" fillId="44" borderId="37" xfId="0" applyFont="1" applyFill="1" applyBorder="1" applyAlignment="1">
      <alignment horizontal="left" vertical="center" wrapText="1" readingOrder="1"/>
    </xf>
    <xf numFmtId="164" fontId="98" fillId="0" borderId="79" xfId="0" applyFont="1" applyBorder="1" applyAlignment="1">
      <alignment horizontal="right" vertical="center" wrapText="1" readingOrder="1"/>
    </xf>
    <xf numFmtId="164" fontId="98" fillId="0" borderId="0" xfId="0" applyFont="1" applyAlignment="1">
      <alignment horizontal="right" vertical="center" wrapText="1" readingOrder="1"/>
    </xf>
    <xf numFmtId="164" fontId="98" fillId="0" borderId="42" xfId="0" applyFont="1" applyBorder="1" applyAlignment="1">
      <alignment horizontal="left" vertical="center" wrapText="1" readingOrder="1"/>
    </xf>
    <xf numFmtId="164" fontId="98" fillId="0" borderId="39" xfId="0" applyFont="1" applyBorder="1" applyAlignment="1">
      <alignment horizontal="left" vertical="center" wrapText="1" indent="1" readingOrder="1"/>
    </xf>
    <xf numFmtId="164" fontId="98" fillId="0" borderId="93" xfId="0" applyFont="1" applyBorder="1" applyAlignment="1">
      <alignment horizontal="right" vertical="center" wrapText="1" readingOrder="1"/>
    </xf>
    <xf numFmtId="164" fontId="97" fillId="0" borderId="38" xfId="0" applyFont="1" applyBorder="1" applyAlignment="1">
      <alignment horizontal="left" vertical="center" wrapText="1" readingOrder="1"/>
    </xf>
    <xf numFmtId="164" fontId="97" fillId="0" borderId="79" xfId="0" applyFont="1" applyBorder="1" applyAlignment="1">
      <alignment horizontal="right" vertical="center" wrapText="1" readingOrder="1"/>
    </xf>
    <xf numFmtId="164" fontId="103" fillId="0" borderId="42" xfId="0" applyFont="1" applyBorder="1" applyAlignment="1">
      <alignment vertical="center" wrapText="1"/>
    </xf>
    <xf numFmtId="164" fontId="103" fillId="0" borderId="0" xfId="0" applyFont="1" applyAlignment="1">
      <alignment horizontal="right" vertical="center" wrapText="1"/>
    </xf>
    <xf numFmtId="164" fontId="97" fillId="0" borderId="0" xfId="0" applyFont="1" applyAlignment="1">
      <alignment horizontal="right" vertical="center" wrapText="1" readingOrder="1"/>
    </xf>
    <xf numFmtId="164" fontId="98" fillId="0" borderId="39" xfId="0" applyFont="1" applyBorder="1" applyAlignment="1">
      <alignment horizontal="left" vertical="center" wrapText="1" readingOrder="1"/>
    </xf>
    <xf numFmtId="164" fontId="105" fillId="0" borderId="42" xfId="0" applyFont="1" applyBorder="1" applyAlignment="1">
      <alignment horizontal="left" vertical="center" wrapText="1" readingOrder="1"/>
    </xf>
    <xf numFmtId="164" fontId="105" fillId="0" borderId="0" xfId="0" applyFont="1" applyAlignment="1">
      <alignment horizontal="right" vertical="center" wrapText="1" readingOrder="1"/>
    </xf>
    <xf numFmtId="164" fontId="99" fillId="0" borderId="0" xfId="0" applyFont="1" applyAlignment="1">
      <alignment horizontal="right" vertical="center" wrapText="1" readingOrder="1"/>
    </xf>
    <xf numFmtId="164" fontId="107" fillId="0" borderId="42" xfId="0" applyFont="1" applyBorder="1" applyAlignment="1">
      <alignment horizontal="left" vertical="center" wrapText="1" readingOrder="1"/>
    </xf>
    <xf numFmtId="164" fontId="107" fillId="0" borderId="0" xfId="0" applyFont="1" applyAlignment="1">
      <alignment horizontal="right" vertical="center" wrapText="1" readingOrder="1"/>
    </xf>
    <xf numFmtId="164" fontId="96" fillId="44" borderId="44" xfId="0" applyFont="1" applyFill="1" applyBorder="1" applyAlignment="1">
      <alignment horizontal="left" vertical="center" wrapText="1" readingOrder="1"/>
    </xf>
    <xf numFmtId="165" fontId="99" fillId="45" borderId="88" xfId="3" applyFont="1" applyFill="1" applyBorder="1">
      <alignment vertical="center"/>
    </xf>
    <xf numFmtId="165" fontId="99" fillId="45" borderId="89" xfId="3" applyFont="1" applyFill="1" applyBorder="1">
      <alignment vertical="center"/>
    </xf>
    <xf numFmtId="165" fontId="99" fillId="45" borderId="87" xfId="3" applyFont="1" applyFill="1" applyBorder="1">
      <alignment vertical="center"/>
    </xf>
    <xf numFmtId="165" fontId="104" fillId="45" borderId="88" xfId="3" applyFont="1" applyFill="1" applyBorder="1">
      <alignment vertical="center"/>
    </xf>
    <xf numFmtId="165" fontId="103" fillId="45" borderId="89" xfId="3" applyFont="1" applyFill="1" applyBorder="1">
      <alignment vertical="center"/>
    </xf>
    <xf numFmtId="165" fontId="104" fillId="45" borderId="89" xfId="3" applyFont="1" applyFill="1" applyBorder="1">
      <alignment vertical="center"/>
    </xf>
    <xf numFmtId="165" fontId="106" fillId="45" borderId="89" xfId="3" applyFont="1" applyFill="1" applyBorder="1">
      <alignment vertical="center"/>
    </xf>
    <xf numFmtId="165" fontId="108" fillId="45" borderId="89" xfId="3" applyFont="1" applyFill="1" applyBorder="1">
      <alignment vertical="center"/>
    </xf>
    <xf numFmtId="165" fontId="99" fillId="45" borderId="92" xfId="3" applyFont="1" applyFill="1" applyBorder="1">
      <alignment vertical="center"/>
    </xf>
    <xf numFmtId="181" fontId="99" fillId="0" borderId="91" xfId="3" applyNumberFormat="1" applyFont="1" applyBorder="1">
      <alignment vertical="center"/>
    </xf>
    <xf numFmtId="181" fontId="98" fillId="0" borderId="0" xfId="3" applyNumberFormat="1" applyFont="1">
      <alignment vertical="center"/>
    </xf>
    <xf numFmtId="181" fontId="99" fillId="0" borderId="0" xfId="3" applyNumberFormat="1" applyFont="1">
      <alignment vertical="center"/>
    </xf>
    <xf numFmtId="164" fontId="96" fillId="44" borderId="41" xfId="0" applyFont="1" applyFill="1" applyBorder="1" applyAlignment="1">
      <alignment horizontal="left" vertical="center" wrapText="1" readingOrder="1"/>
    </xf>
    <xf numFmtId="164" fontId="99" fillId="0" borderId="90" xfId="0" applyFont="1" applyBorder="1" applyAlignment="1">
      <alignment horizontal="left" vertical="center" wrapText="1" readingOrder="1"/>
    </xf>
    <xf numFmtId="164" fontId="97" fillId="0" borderId="37" xfId="0" applyFont="1" applyBorder="1" applyAlignment="1">
      <alignment horizontal="left" vertical="center" wrapText="1" readingOrder="1"/>
    </xf>
    <xf numFmtId="164" fontId="97" fillId="0" borderId="44" xfId="0" applyFont="1" applyBorder="1" applyAlignment="1">
      <alignment horizontal="right" vertical="center" wrapText="1" readingOrder="1"/>
    </xf>
    <xf numFmtId="164" fontId="97" fillId="0" borderId="94" xfId="0" applyFont="1" applyBorder="1" applyAlignment="1">
      <alignment horizontal="left" vertical="center" wrapText="1" readingOrder="1"/>
    </xf>
    <xf numFmtId="164" fontId="97" fillId="0" borderId="85" xfId="0" applyFont="1" applyBorder="1" applyAlignment="1">
      <alignment horizontal="right" vertical="center" wrapText="1" readingOrder="1"/>
    </xf>
    <xf numFmtId="165" fontId="104" fillId="45" borderId="41" xfId="3" applyFont="1" applyFill="1" applyBorder="1">
      <alignment vertical="center"/>
    </xf>
    <xf numFmtId="165" fontId="104" fillId="45" borderId="95" xfId="3" applyFont="1" applyFill="1" applyBorder="1">
      <alignment vertical="center"/>
    </xf>
    <xf numFmtId="164" fontId="109" fillId="0" borderId="0" xfId="0" applyFont="1" applyAlignment="1">
      <alignment horizontal="right" vertical="center" wrapText="1" readingOrder="1"/>
    </xf>
    <xf numFmtId="164" fontId="98" fillId="45" borderId="89" xfId="0" applyFont="1" applyFill="1" applyBorder="1" applyAlignment="1">
      <alignment horizontal="left" vertical="center" wrapText="1" readingOrder="1"/>
    </xf>
    <xf numFmtId="164" fontId="109" fillId="0" borderId="0" xfId="0" applyFont="1" applyAlignment="1">
      <alignment horizontal="left" vertical="center" wrapText="1" readingOrder="1"/>
    </xf>
    <xf numFmtId="164" fontId="109" fillId="0" borderId="79" xfId="0" applyFont="1" applyBorder="1" applyAlignment="1">
      <alignment vertical="center" wrapText="1" readingOrder="1"/>
    </xf>
    <xf numFmtId="166" fontId="109" fillId="0" borderId="91" xfId="0" applyNumberFormat="1" applyFont="1" applyBorder="1" applyAlignment="1">
      <alignment horizontal="right" vertical="center" wrapText="1" readingOrder="1"/>
    </xf>
    <xf numFmtId="165" fontId="98" fillId="45" borderId="92" xfId="3" applyFont="1" applyFill="1" applyBorder="1">
      <alignment vertical="center"/>
    </xf>
    <xf numFmtId="165" fontId="98" fillId="45" borderId="88" xfId="3" applyFont="1" applyFill="1" applyBorder="1">
      <alignment vertical="center"/>
    </xf>
    <xf numFmtId="164" fontId="96" fillId="44" borderId="61" xfId="0" applyFont="1" applyFill="1" applyBorder="1" applyAlignment="1">
      <alignment horizontal="left" vertical="center"/>
    </xf>
    <xf numFmtId="164" fontId="96" fillId="44" borderId="54" xfId="0" applyFont="1" applyFill="1" applyBorder="1" applyAlignment="1">
      <alignment horizontal="left" vertical="center"/>
    </xf>
    <xf numFmtId="0" fontId="97" fillId="43" borderId="63" xfId="0" applyNumberFormat="1" applyFont="1" applyFill="1" applyBorder="1" applyAlignment="1">
      <alignment horizontal="left" wrapText="1"/>
    </xf>
    <xf numFmtId="0" fontId="97" fillId="43" borderId="44" xfId="0" applyNumberFormat="1" applyFont="1" applyFill="1" applyBorder="1" applyAlignment="1">
      <alignment horizontal="right"/>
    </xf>
    <xf numFmtId="0" fontId="97" fillId="45" borderId="64" xfId="0" applyNumberFormat="1" applyFont="1" applyFill="1" applyBorder="1" applyAlignment="1">
      <alignment horizontal="right" wrapText="1"/>
    </xf>
    <xf numFmtId="166" fontId="111" fillId="43" borderId="78" xfId="2" applyNumberFormat="1" applyFont="1" applyFill="1" applyBorder="1" applyAlignment="1">
      <alignment vertical="center" wrapText="1"/>
    </xf>
    <xf numFmtId="164" fontId="111" fillId="43" borderId="79" xfId="2" applyNumberFormat="1" applyFont="1" applyFill="1" applyBorder="1">
      <alignment vertical="center"/>
    </xf>
    <xf numFmtId="165" fontId="111" fillId="45" borderId="80" xfId="3" applyFont="1" applyFill="1" applyBorder="1">
      <alignment vertical="center"/>
    </xf>
    <xf numFmtId="166" fontId="111" fillId="43" borderId="56" xfId="2" applyNumberFormat="1" applyFont="1" applyFill="1" applyBorder="1" applyAlignment="1">
      <alignment horizontal="left" vertical="center" indent="1"/>
    </xf>
    <xf numFmtId="164" fontId="111" fillId="43" borderId="0" xfId="2" applyNumberFormat="1" applyFont="1" applyFill="1" applyBorder="1">
      <alignment vertical="center"/>
    </xf>
    <xf numFmtId="166" fontId="111" fillId="45" borderId="57" xfId="2" applyNumberFormat="1" applyFont="1" applyFill="1" applyBorder="1">
      <alignment vertical="center"/>
    </xf>
    <xf numFmtId="166" fontId="111" fillId="43" borderId="56" xfId="2" applyNumberFormat="1" applyFont="1" applyFill="1" applyBorder="1">
      <alignment vertical="center"/>
    </xf>
    <xf numFmtId="164" fontId="112" fillId="0" borderId="0" xfId="0" applyFont="1" applyBorder="1" applyAlignment="1">
      <alignment horizontal="right" vertical="center"/>
    </xf>
    <xf numFmtId="164" fontId="113" fillId="0" borderId="0" xfId="0" applyFont="1" applyBorder="1" applyAlignment="1">
      <alignment horizontal="right" vertical="center"/>
    </xf>
    <xf numFmtId="166" fontId="111" fillId="43" borderId="58" xfId="2" applyNumberFormat="1" applyFont="1" applyFill="1" applyBorder="1" applyAlignment="1">
      <alignment horizontal="left" vertical="center"/>
    </xf>
    <xf numFmtId="166" fontId="111" fillId="43" borderId="59" xfId="2" applyNumberFormat="1" applyFont="1" applyFill="1" applyBorder="1">
      <alignment vertical="center"/>
    </xf>
    <xf numFmtId="165" fontId="111" fillId="45" borderId="60" xfId="3" applyFont="1" applyFill="1" applyBorder="1">
      <alignment vertical="center"/>
    </xf>
    <xf numFmtId="166" fontId="0" fillId="0" borderId="0" xfId="2" applyNumberFormat="1" applyFont="1">
      <alignment vertical="center"/>
    </xf>
    <xf numFmtId="166" fontId="0" fillId="0" borderId="0" xfId="0" applyNumberFormat="1">
      <alignment vertical="center"/>
    </xf>
    <xf numFmtId="164" fontId="114" fillId="0" borderId="0" xfId="0" applyFont="1" applyAlignment="1">
      <alignment horizontal="right" vertical="center" wrapText="1" readingOrder="1"/>
    </xf>
    <xf numFmtId="165" fontId="115" fillId="45" borderId="89" xfId="3" applyFont="1" applyFill="1" applyBorder="1">
      <alignment vertical="center"/>
    </xf>
    <xf numFmtId="164" fontId="100" fillId="44" borderId="37" xfId="0" applyFont="1" applyFill="1" applyBorder="1" applyAlignment="1">
      <alignment horizontal="left" vertical="center" wrapText="1" readingOrder="1"/>
    </xf>
    <xf numFmtId="164" fontId="100" fillId="44" borderId="44" xfId="0" applyFont="1" applyFill="1" applyBorder="1" applyAlignment="1">
      <alignment horizontal="left" vertical="center" wrapText="1" readingOrder="1"/>
    </xf>
    <xf numFmtId="164" fontId="100" fillId="44" borderId="41" xfId="0" applyFont="1" applyFill="1" applyBorder="1" applyAlignment="1">
      <alignment horizontal="left" vertical="center" wrapText="1" readingOrder="1"/>
    </xf>
    <xf numFmtId="164" fontId="102" fillId="0" borderId="0" xfId="0" applyFont="1">
      <alignment vertical="center"/>
    </xf>
    <xf numFmtId="164" fontId="110" fillId="0" borderId="37" xfId="0" applyFont="1" applyBorder="1" applyAlignment="1">
      <alignment horizontal="left" wrapText="1" readingOrder="1"/>
    </xf>
    <xf numFmtId="164" fontId="110" fillId="0" borderId="44" xfId="0" applyFont="1" applyBorder="1" applyAlignment="1">
      <alignment horizontal="right" wrapText="1" readingOrder="1"/>
    </xf>
    <xf numFmtId="164" fontId="110" fillId="45" borderId="41" xfId="0" applyFont="1" applyFill="1" applyBorder="1" applyAlignment="1">
      <alignment horizontal="right" wrapText="1" readingOrder="1"/>
    </xf>
    <xf numFmtId="164" fontId="116" fillId="0" borderId="38" xfId="0" applyFont="1" applyBorder="1" applyAlignment="1">
      <alignment horizontal="left" vertical="center" wrapText="1" readingOrder="1"/>
    </xf>
    <xf numFmtId="164" fontId="116" fillId="0" borderId="79" xfId="0" applyFont="1" applyBorder="1" applyAlignment="1">
      <alignment horizontal="right" vertical="center" wrapText="1" readingOrder="1"/>
    </xf>
    <xf numFmtId="164" fontId="116" fillId="0" borderId="42" xfId="0" applyFont="1" applyBorder="1" applyAlignment="1">
      <alignment horizontal="left" vertical="center" wrapText="1" readingOrder="1"/>
    </xf>
    <xf numFmtId="164" fontId="116" fillId="0" borderId="0" xfId="0" applyFont="1" applyAlignment="1">
      <alignment horizontal="right" vertical="center" wrapText="1" readingOrder="1"/>
    </xf>
    <xf numFmtId="164" fontId="116" fillId="0" borderId="39" xfId="0" applyFont="1" applyBorder="1" applyAlignment="1">
      <alignment horizontal="left" vertical="center" wrapText="1" readingOrder="1"/>
    </xf>
    <xf numFmtId="164" fontId="116" fillId="0" borderId="93" xfId="0" applyFont="1" applyBorder="1" applyAlignment="1">
      <alignment horizontal="right" vertical="center" wrapText="1" readingOrder="1"/>
    </xf>
    <xf numFmtId="164" fontId="110" fillId="0" borderId="38" xfId="0" applyFont="1" applyBorder="1" applyAlignment="1">
      <alignment horizontal="left" vertical="center" wrapText="1" readingOrder="1"/>
    </xf>
    <xf numFmtId="164" fontId="110" fillId="0" borderId="79" xfId="0" applyFont="1" applyBorder="1" applyAlignment="1">
      <alignment horizontal="right" vertical="center" wrapText="1" readingOrder="1"/>
    </xf>
    <xf numFmtId="164" fontId="110" fillId="0" borderId="37" xfId="0" applyFont="1" applyBorder="1" applyAlignment="1">
      <alignment horizontal="left" vertical="center" wrapText="1" readingOrder="1"/>
    </xf>
    <xf numFmtId="164" fontId="110" fillId="0" borderId="44" xfId="0" applyFont="1" applyBorder="1" applyAlignment="1">
      <alignment horizontal="right" vertical="center" wrapText="1" readingOrder="1"/>
    </xf>
    <xf numFmtId="164" fontId="101" fillId="0" borderId="42" xfId="0" applyFont="1" applyBorder="1" applyAlignment="1">
      <alignment vertical="center" wrapText="1"/>
    </xf>
    <xf numFmtId="164" fontId="110" fillId="0" borderId="94" xfId="0" applyFont="1" applyBorder="1" applyAlignment="1">
      <alignment horizontal="left" vertical="center" wrapText="1" readingOrder="1"/>
    </xf>
    <xf numFmtId="164" fontId="110" fillId="0" borderId="85" xfId="0" applyFont="1" applyBorder="1" applyAlignment="1">
      <alignment horizontal="right" vertical="center" wrapText="1" readingOrder="1"/>
    </xf>
    <xf numFmtId="164" fontId="116" fillId="0" borderId="42" xfId="0" applyFont="1" applyBorder="1" applyAlignment="1">
      <alignment horizontal="left" vertical="center" wrapText="1" indent="1" readingOrder="1"/>
    </xf>
    <xf numFmtId="164" fontId="116" fillId="0" borderId="39" xfId="0" applyFont="1" applyBorder="1" applyAlignment="1">
      <alignment horizontal="left" vertical="center" wrapText="1" indent="1" readingOrder="1"/>
    </xf>
    <xf numFmtId="165" fontId="117" fillId="45" borderId="88" xfId="3" applyFont="1" applyFill="1" applyBorder="1">
      <alignment vertical="center"/>
    </xf>
    <xf numFmtId="165" fontId="117" fillId="45" borderId="89" xfId="3" applyFont="1" applyFill="1" applyBorder="1">
      <alignment vertical="center"/>
    </xf>
    <xf numFmtId="165" fontId="117" fillId="45" borderId="87" xfId="3" applyFont="1" applyFill="1" applyBorder="1">
      <alignment vertical="center"/>
    </xf>
    <xf numFmtId="165" fontId="118" fillId="45" borderId="88" xfId="3" applyFont="1" applyFill="1" applyBorder="1">
      <alignment vertical="center"/>
    </xf>
    <xf numFmtId="165" fontId="118" fillId="45" borderId="41" xfId="3" applyFont="1" applyFill="1" applyBorder="1">
      <alignment vertical="center"/>
    </xf>
    <xf numFmtId="165" fontId="118" fillId="45" borderId="95" xfId="3" applyFont="1" applyFill="1" applyBorder="1">
      <alignment vertical="center"/>
    </xf>
    <xf numFmtId="165" fontId="33" fillId="0" borderId="0" xfId="3" applyFont="1">
      <alignment vertical="center"/>
    </xf>
    <xf numFmtId="164" fontId="109" fillId="0" borderId="79" xfId="0" applyNumberFormat="1" applyFont="1" applyBorder="1" applyAlignment="1">
      <alignment vertical="center" wrapText="1" readingOrder="1"/>
    </xf>
    <xf numFmtId="181" fontId="5" fillId="0" borderId="0" xfId="3" applyNumberFormat="1" applyFont="1">
      <alignment vertical="center"/>
    </xf>
    <xf numFmtId="181" fontId="5" fillId="0" borderId="46" xfId="3" applyNumberFormat="1" applyFont="1" applyBorder="1">
      <alignment vertical="center"/>
    </xf>
    <xf numFmtId="185" fontId="77" fillId="0" borderId="0" xfId="3" applyNumberFormat="1" applyFont="1" applyFill="1">
      <alignment vertical="center"/>
    </xf>
    <xf numFmtId="165" fontId="77" fillId="0" borderId="46" xfId="3" applyNumberFormat="1" applyFont="1" applyFill="1" applyBorder="1">
      <alignment vertical="center"/>
    </xf>
    <xf numFmtId="166" fontId="82" fillId="8" borderId="0" xfId="4" applyFont="1" applyFill="1" applyAlignment="1">
      <alignment horizontal="right" vertical="center"/>
    </xf>
    <xf numFmtId="166" fontId="52" fillId="6" borderId="10" xfId="4" applyNumberFormat="1" applyFont="1" applyFill="1" applyBorder="1" applyAlignment="1">
      <alignment horizontal="right" vertical="center"/>
    </xf>
    <xf numFmtId="166" fontId="26" fillId="0" borderId="0" xfId="4" applyFont="1" applyBorder="1" applyAlignment="1">
      <alignment horizontal="right" vertical="center"/>
    </xf>
    <xf numFmtId="166" fontId="51" fillId="0" borderId="0" xfId="4" applyFont="1" applyBorder="1" applyAlignment="1">
      <alignment horizontal="right" vertical="center"/>
    </xf>
    <xf numFmtId="166" fontId="37" fillId="42" borderId="10" xfId="4" applyFont="1" applyFill="1" applyBorder="1" applyAlignment="1">
      <alignment horizontal="right" vertical="center"/>
    </xf>
    <xf numFmtId="165" fontId="66" fillId="0" borderId="0" xfId="3" applyFont="1">
      <alignment vertical="center"/>
    </xf>
    <xf numFmtId="177" fontId="36" fillId="7" borderId="0" xfId="0" applyNumberFormat="1" applyFont="1" applyFill="1" applyAlignment="1">
      <alignment horizontal="right" vertical="center"/>
    </xf>
    <xf numFmtId="164" fontId="5" fillId="47" borderId="0" xfId="0" applyFont="1" applyFill="1" applyAlignment="1" applyProtection="1">
      <alignment horizontal="right" vertical="center"/>
    </xf>
    <xf numFmtId="0" fontId="4" fillId="0" borderId="0" xfId="76"/>
    <xf numFmtId="0" fontId="4" fillId="0" borderId="0" xfId="76" applyNumberFormat="1" applyFont="1" applyFill="1" applyBorder="1" applyAlignment="1" applyProtection="1">
      <alignment horizontal="left" vertical="center"/>
    </xf>
    <xf numFmtId="0" fontId="4" fillId="0" borderId="0" xfId="76" applyNumberFormat="1" applyFont="1" applyFill="1" applyBorder="1" applyAlignment="1" applyProtection="1">
      <alignment horizontal="right" vertical="center"/>
    </xf>
    <xf numFmtId="187" fontId="4" fillId="0" borderId="0" xfId="76" applyNumberFormat="1" applyFont="1" applyFill="1" applyBorder="1" applyAlignment="1" applyProtection="1"/>
    <xf numFmtId="3" fontId="4" fillId="0" borderId="0" xfId="76" applyNumberFormat="1"/>
    <xf numFmtId="0" fontId="4" fillId="0" borderId="0" xfId="70"/>
    <xf numFmtId="0" fontId="4" fillId="8" borderId="0" xfId="70" applyFill="1"/>
    <xf numFmtId="3" fontId="4" fillId="8" borderId="0" xfId="76" applyNumberFormat="1" applyFill="1"/>
    <xf numFmtId="0" fontId="4" fillId="0" borderId="0" xfId="70" applyNumberFormat="1" applyFont="1" applyFill="1" applyBorder="1" applyAlignment="1" applyProtection="1">
      <alignment horizontal="left" vertical="center"/>
    </xf>
    <xf numFmtId="0" fontId="4" fillId="0" borderId="0" xfId="70" applyNumberFormat="1" applyFont="1" applyFill="1" applyBorder="1" applyAlignment="1" applyProtection="1">
      <alignment horizontal="right" vertical="center"/>
    </xf>
    <xf numFmtId="187" fontId="4" fillId="0" borderId="0" xfId="70" applyNumberFormat="1" applyFont="1" applyFill="1" applyBorder="1" applyAlignment="1" applyProtection="1"/>
    <xf numFmtId="0" fontId="4" fillId="47" borderId="0" xfId="70" applyFill="1"/>
    <xf numFmtId="166" fontId="59" fillId="0" borderId="0" xfId="4" applyFont="1" applyFill="1" applyAlignment="1">
      <alignment horizontal="right" vertical="center"/>
    </xf>
    <xf numFmtId="166" fontId="59" fillId="8" borderId="0" xfId="4" applyFont="1" applyFill="1" applyAlignment="1">
      <alignment horizontal="right" vertical="center"/>
    </xf>
    <xf numFmtId="166" fontId="4" fillId="0" borderId="0" xfId="0" applyNumberFormat="1" applyFont="1" applyAlignment="1">
      <alignment horizontal="right" vertical="center"/>
    </xf>
    <xf numFmtId="3" fontId="4" fillId="0" borderId="0" xfId="70" applyNumberFormat="1"/>
    <xf numFmtId="166" fontId="28" fillId="0" borderId="0" xfId="4" applyNumberFormat="1" applyFont="1" applyFill="1" applyAlignment="1">
      <alignment horizontal="right" vertical="center"/>
    </xf>
    <xf numFmtId="173" fontId="54" fillId="0" borderId="0" xfId="4" applyNumberFormat="1" applyFont="1" applyFill="1" applyAlignment="1">
      <alignment horizontal="right" vertical="center"/>
    </xf>
    <xf numFmtId="164" fontId="0" fillId="7" borderId="0" xfId="0" applyFill="1" applyBorder="1">
      <alignment vertical="center"/>
    </xf>
    <xf numFmtId="164" fontId="0" fillId="7" borderId="0" xfId="0" applyFill="1" applyBorder="1" applyAlignment="1">
      <alignment horizontal="left" vertical="center"/>
    </xf>
    <xf numFmtId="164" fontId="22" fillId="7" borderId="0" xfId="0" applyFont="1" applyFill="1" applyBorder="1">
      <alignment vertical="center"/>
    </xf>
    <xf numFmtId="164" fontId="22" fillId="7" borderId="0" xfId="0" applyFont="1" applyFill="1" applyBorder="1" applyAlignment="1">
      <alignment horizontal="left" vertical="center" wrapText="1"/>
    </xf>
    <xf numFmtId="164" fontId="0" fillId="7" borderId="0" xfId="0" applyFill="1" applyBorder="1" applyAlignment="1">
      <alignment vertical="center" wrapText="1"/>
    </xf>
    <xf numFmtId="166" fontId="0" fillId="7" borderId="0" xfId="0" applyNumberFormat="1" applyFill="1" applyBorder="1">
      <alignment vertical="center"/>
    </xf>
    <xf numFmtId="177" fontId="23" fillId="42" borderId="0" xfId="2" applyNumberFormat="1" applyFont="1" applyFill="1">
      <alignment vertical="center"/>
    </xf>
    <xf numFmtId="164" fontId="70" fillId="47" borderId="0" xfId="0" applyFont="1" applyFill="1">
      <alignment vertical="center"/>
    </xf>
    <xf numFmtId="164" fontId="67" fillId="42" borderId="0" xfId="61" applyNumberFormat="1" applyFont="1" applyFill="1" applyAlignment="1">
      <alignment horizontal="right" vertical="center"/>
    </xf>
    <xf numFmtId="164" fontId="71" fillId="42" borderId="0" xfId="61" applyNumberFormat="1" applyFont="1" applyFill="1" applyAlignment="1">
      <alignment horizontal="right" vertical="center"/>
    </xf>
    <xf numFmtId="164" fontId="74" fillId="42" borderId="0" xfId="61" applyNumberFormat="1" applyFont="1" applyFill="1" applyAlignment="1">
      <alignment horizontal="right" vertical="center"/>
    </xf>
    <xf numFmtId="164" fontId="32" fillId="47" borderId="0" xfId="0" applyFont="1" applyFill="1">
      <alignment vertical="center"/>
    </xf>
    <xf numFmtId="164" fontId="22" fillId="47" borderId="0" xfId="0" applyFont="1" applyFill="1" applyAlignment="1">
      <alignment horizontal="left" vertical="center"/>
    </xf>
    <xf numFmtId="164" fontId="22" fillId="47" borderId="0" xfId="0" applyFont="1" applyFill="1">
      <alignment vertical="center"/>
    </xf>
    <xf numFmtId="164" fontId="65" fillId="47" borderId="0" xfId="0" applyFont="1" applyFill="1">
      <alignment vertical="center"/>
    </xf>
    <xf numFmtId="166" fontId="63" fillId="42" borderId="0" xfId="61" applyFont="1" applyFill="1" applyAlignment="1">
      <alignment horizontal="right" vertical="center"/>
    </xf>
    <xf numFmtId="166" fontId="51" fillId="42" borderId="0" xfId="4" applyFont="1" applyFill="1" applyAlignment="1">
      <alignment horizontal="right" vertical="center"/>
    </xf>
    <xf numFmtId="164" fontId="32" fillId="47" borderId="0" xfId="0" applyFont="1" applyFill="1" applyAlignment="1">
      <alignment horizontal="left" vertical="center"/>
    </xf>
    <xf numFmtId="164" fontId="28" fillId="47" borderId="0" xfId="0" applyFont="1" applyFill="1" applyAlignment="1">
      <alignment horizontal="left" vertical="center"/>
    </xf>
    <xf numFmtId="164" fontId="33" fillId="47" borderId="0" xfId="0" applyFont="1" applyFill="1" applyAlignment="1">
      <alignment horizontal="left" vertical="center"/>
    </xf>
    <xf numFmtId="164" fontId="5" fillId="47" borderId="0" xfId="0" applyFont="1" applyFill="1" applyAlignment="1">
      <alignment horizontal="left" vertical="center"/>
    </xf>
    <xf numFmtId="166" fontId="54" fillId="42" borderId="0" xfId="4" applyFont="1" applyFill="1" applyAlignment="1">
      <alignment horizontal="right" vertical="center"/>
    </xf>
    <xf numFmtId="173" fontId="54" fillId="6" borderId="10" xfId="4" applyNumberFormat="1" applyFont="1" applyFill="1" applyBorder="1" applyAlignment="1">
      <alignment horizontal="right" vertical="center"/>
    </xf>
    <xf numFmtId="188" fontId="5" fillId="0" borderId="0" xfId="0" applyNumberFormat="1" applyFont="1" applyAlignment="1">
      <alignment horizontal="right" vertical="center"/>
    </xf>
    <xf numFmtId="177" fontId="68" fillId="0" borderId="0" xfId="0" applyNumberFormat="1" applyFont="1" applyFill="1">
      <alignment vertical="center"/>
    </xf>
    <xf numFmtId="189" fontId="4" fillId="0" borderId="0" xfId="76" applyNumberFormat="1"/>
    <xf numFmtId="187" fontId="4" fillId="0" borderId="0" xfId="76" applyNumberFormat="1"/>
    <xf numFmtId="3" fontId="28" fillId="0" borderId="0" xfId="76" applyNumberFormat="1" applyFont="1"/>
    <xf numFmtId="0" fontId="122" fillId="48" borderId="0" xfId="104" applyFont="1" applyFill="1" applyAlignment="1" applyProtection="1">
      <alignment horizontal="right"/>
    </xf>
    <xf numFmtId="0" fontId="123" fillId="48" borderId="0" xfId="104" applyFont="1" applyFill="1" applyAlignment="1" applyProtection="1">
      <alignment horizontal="right"/>
    </xf>
    <xf numFmtId="0" fontId="123" fillId="48" borderId="0" xfId="104" applyFont="1" applyFill="1" applyProtection="1"/>
    <xf numFmtId="0" fontId="122" fillId="48" borderId="0" xfId="104" applyFont="1" applyFill="1" applyProtection="1"/>
    <xf numFmtId="0" fontId="122" fillId="48" borderId="0" xfId="104" applyFont="1" applyFill="1" applyAlignment="1" applyProtection="1">
      <alignment horizontal="left"/>
    </xf>
    <xf numFmtId="0" fontId="124" fillId="48" borderId="0" xfId="104" applyFont="1" applyFill="1" applyAlignment="1" applyProtection="1">
      <alignment horizontal="left"/>
    </xf>
    <xf numFmtId="0" fontId="125" fillId="48" borderId="0" xfId="104" applyFont="1" applyFill="1" applyAlignment="1" applyProtection="1">
      <alignment horizontal="right"/>
    </xf>
    <xf numFmtId="4" fontId="126" fillId="48" borderId="0" xfId="104" applyNumberFormat="1" applyFont="1" applyFill="1" applyAlignment="1" applyProtection="1">
      <alignment horizontal="right"/>
    </xf>
    <xf numFmtId="0" fontId="127" fillId="49" borderId="0" xfId="104" applyFont="1" applyFill="1" applyAlignment="1" applyProtection="1">
      <alignment horizontal="left"/>
    </xf>
    <xf numFmtId="0" fontId="123" fillId="48" borderId="0" xfId="104" applyFont="1" applyFill="1" applyAlignment="1" applyProtection="1">
      <alignment wrapText="1"/>
    </xf>
    <xf numFmtId="182" fontId="122" fillId="48" borderId="0" xfId="104" applyNumberFormat="1" applyFont="1" applyFill="1" applyAlignment="1" applyProtection="1">
      <alignment horizontal="right"/>
    </xf>
    <xf numFmtId="182" fontId="123" fillId="48" borderId="0" xfId="104" applyNumberFormat="1" applyFont="1" applyFill="1" applyAlignment="1" applyProtection="1">
      <alignment horizontal="right"/>
    </xf>
    <xf numFmtId="182" fontId="128" fillId="48" borderId="0" xfId="104" applyNumberFormat="1" applyFont="1" applyFill="1" applyAlignment="1" applyProtection="1">
      <alignment horizontal="right"/>
    </xf>
    <xf numFmtId="182" fontId="129" fillId="48" borderId="0" xfId="104" applyNumberFormat="1" applyFont="1" applyFill="1" applyAlignment="1" applyProtection="1">
      <alignment horizontal="right"/>
    </xf>
    <xf numFmtId="4" fontId="122" fillId="48" borderId="0" xfId="104" applyNumberFormat="1" applyFont="1" applyFill="1" applyAlignment="1" applyProtection="1">
      <alignment horizontal="right"/>
    </xf>
    <xf numFmtId="0" fontId="130" fillId="48" borderId="0" xfId="104" applyFont="1" applyFill="1" applyProtection="1"/>
    <xf numFmtId="0" fontId="131" fillId="48" borderId="0" xfId="104" applyFont="1" applyFill="1" applyProtection="1"/>
    <xf numFmtId="0" fontId="121" fillId="0" borderId="0" xfId="104" applyProtection="1"/>
    <xf numFmtId="164" fontId="59" fillId="0" borderId="0" xfId="0" applyFont="1" applyFill="1" applyBorder="1" applyAlignment="1">
      <alignment horizontal="center" vertical="center"/>
    </xf>
    <xf numFmtId="164" fontId="26" fillId="0" borderId="0" xfId="2" applyFont="1" applyFill="1">
      <alignment vertical="center"/>
    </xf>
    <xf numFmtId="166" fontId="26" fillId="0" borderId="0" xfId="2" applyNumberFormat="1" applyFont="1" applyFill="1">
      <alignment vertical="center"/>
    </xf>
    <xf numFmtId="166" fontId="51" fillId="7" borderId="0" xfId="4" applyFont="1" applyFill="1" applyAlignment="1">
      <alignment horizontal="right" vertical="center"/>
    </xf>
    <xf numFmtId="0" fontId="4" fillId="47" borderId="0" xfId="76" applyNumberFormat="1" applyFont="1" applyFill="1" applyBorder="1" applyAlignment="1" applyProtection="1">
      <alignment horizontal="right" vertical="center"/>
    </xf>
    <xf numFmtId="0" fontId="4" fillId="47" borderId="0" xfId="76" applyNumberFormat="1" applyFont="1" applyFill="1" applyBorder="1" applyAlignment="1" applyProtection="1">
      <alignment horizontal="left" vertical="center"/>
    </xf>
    <xf numFmtId="187" fontId="4" fillId="47" borderId="0" xfId="76" applyNumberFormat="1" applyFont="1" applyFill="1" applyBorder="1" applyAlignment="1" applyProtection="1"/>
    <xf numFmtId="0" fontId="4" fillId="47" borderId="0" xfId="76" applyFill="1"/>
    <xf numFmtId="187" fontId="4" fillId="47" borderId="0" xfId="76" applyNumberFormat="1" applyFill="1"/>
    <xf numFmtId="189" fontId="4" fillId="47" borderId="0" xfId="76" applyNumberFormat="1" applyFill="1"/>
    <xf numFmtId="0" fontId="133" fillId="0" borderId="0" xfId="105" applyFont="1"/>
    <xf numFmtId="0" fontId="132" fillId="0" borderId="0" xfId="105"/>
    <xf numFmtId="190" fontId="132" fillId="0" borderId="0" xfId="105" applyNumberFormat="1"/>
    <xf numFmtId="4" fontId="132" fillId="0" borderId="0" xfId="105" applyNumberFormat="1"/>
    <xf numFmtId="4" fontId="133" fillId="0" borderId="0" xfId="105" applyNumberFormat="1" applyFont="1"/>
    <xf numFmtId="166" fontId="26" fillId="42" borderId="0" xfId="4" applyFont="1" applyFill="1" applyAlignment="1">
      <alignment horizontal="right" vertical="center"/>
    </xf>
    <xf numFmtId="0" fontId="28" fillId="0" borderId="0" xfId="76" applyFont="1"/>
    <xf numFmtId="166" fontId="4" fillId="0" borderId="0" xfId="2" applyNumberFormat="1" applyFont="1">
      <alignment vertical="center"/>
    </xf>
    <xf numFmtId="166" fontId="28" fillId="0" borderId="0" xfId="76" applyNumberFormat="1" applyFont="1"/>
    <xf numFmtId="166" fontId="28" fillId="42" borderId="0" xfId="4" applyFont="1" applyFill="1" applyAlignment="1">
      <alignment horizontal="right" vertical="center"/>
    </xf>
    <xf numFmtId="177" fontId="51" fillId="42" borderId="0" xfId="0" applyNumberFormat="1" applyFont="1" applyFill="1" applyAlignment="1">
      <alignment horizontal="right" vertical="center"/>
    </xf>
    <xf numFmtId="171" fontId="4" fillId="5" borderId="11" xfId="0" applyNumberFormat="1" applyFont="1" applyFill="1" applyBorder="1" applyAlignment="1">
      <alignment horizontal="center"/>
    </xf>
    <xf numFmtId="171" fontId="47" fillId="5" borderId="9" xfId="0" applyNumberFormat="1" applyFont="1" applyFill="1" applyBorder="1" applyAlignment="1">
      <alignment horizontal="center"/>
    </xf>
    <xf numFmtId="0" fontId="0" fillId="0" borderId="19" xfId="0" applyNumberFormat="1" applyFont="1" applyFill="1" applyBorder="1" applyAlignment="1" applyProtection="1">
      <alignment horizontal="center" vertical="center" wrapText="1"/>
      <protection locked="0"/>
    </xf>
    <xf numFmtId="0" fontId="0" fillId="0" borderId="14" xfId="0" applyNumberFormat="1" applyFont="1" applyFill="1" applyBorder="1" applyAlignment="1" applyProtection="1">
      <alignment horizontal="center" vertical="center" wrapText="1"/>
      <protection locked="0"/>
    </xf>
    <xf numFmtId="0" fontId="0" fillId="0" borderId="18" xfId="0" applyNumberFormat="1" applyFont="1" applyFill="1" applyBorder="1" applyAlignment="1" applyProtection="1">
      <alignment horizontal="center" vertical="center" wrapText="1"/>
      <protection locked="0"/>
    </xf>
    <xf numFmtId="0" fontId="0" fillId="0" borderId="17"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16" xfId="0" applyNumberFormat="1" applyFont="1" applyFill="1" applyBorder="1" applyAlignment="1" applyProtection="1">
      <alignment horizontal="center" vertical="center" wrapText="1"/>
      <protection locked="0"/>
    </xf>
    <xf numFmtId="0" fontId="0" fillId="0" borderId="7" xfId="0" applyNumberFormat="1" applyFont="1" applyFill="1" applyBorder="1" applyAlignment="1" applyProtection="1">
      <alignment horizontal="center" vertical="center" wrapText="1"/>
      <protection locked="0"/>
    </xf>
    <xf numFmtId="0" fontId="0" fillId="0" borderId="13" xfId="0" applyNumberFormat="1" applyFont="1" applyFill="1" applyBorder="1" applyAlignment="1" applyProtection="1">
      <alignment horizontal="center" vertical="center" wrapText="1"/>
      <protection locked="0"/>
    </xf>
    <xf numFmtId="0" fontId="0" fillId="0" borderId="12" xfId="0" applyNumberFormat="1" applyFont="1" applyFill="1" applyBorder="1" applyAlignment="1" applyProtection="1">
      <alignment horizontal="center" vertical="center" wrapText="1"/>
      <protection locked="0"/>
    </xf>
    <xf numFmtId="164" fontId="30" fillId="3" borderId="19" xfId="0" applyFont="1" applyFill="1" applyBorder="1" applyAlignment="1" applyProtection="1">
      <alignment horizontal="center" vertical="center" wrapText="1"/>
      <protection locked="0"/>
    </xf>
    <xf numFmtId="164" fontId="30" fillId="3" borderId="14" xfId="0" applyFont="1" applyFill="1" applyBorder="1" applyAlignment="1" applyProtection="1">
      <alignment horizontal="center" vertical="center" wrapText="1"/>
      <protection locked="0"/>
    </xf>
    <xf numFmtId="164" fontId="30" fillId="3" borderId="18" xfId="0" applyFont="1" applyFill="1" applyBorder="1" applyAlignment="1" applyProtection="1">
      <alignment horizontal="center" vertical="center" wrapText="1"/>
      <protection locked="0"/>
    </xf>
    <xf numFmtId="0" fontId="5" fillId="0" borderId="19" xfId="0" applyNumberFormat="1" applyFont="1" applyFill="1" applyBorder="1" applyAlignment="1" applyProtection="1">
      <alignment horizontal="center" vertical="center" wrapText="1"/>
      <protection locked="0"/>
    </xf>
    <xf numFmtId="0" fontId="5" fillId="0" borderId="14" xfId="0" applyNumberFormat="1" applyFont="1" applyFill="1" applyBorder="1" applyAlignment="1" applyProtection="1">
      <alignment horizontal="center" vertical="center" wrapText="1"/>
      <protection locked="0"/>
    </xf>
    <xf numFmtId="0" fontId="5" fillId="0" borderId="17"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5" fillId="0" borderId="7" xfId="0" applyNumberFormat="1" applyFont="1" applyFill="1" applyBorder="1" applyAlignment="1" applyProtection="1">
      <alignment horizontal="center" vertical="center" wrapText="1"/>
      <protection locked="0"/>
    </xf>
    <xf numFmtId="0" fontId="5" fillId="0" borderId="13" xfId="0" applyNumberFormat="1" applyFont="1" applyFill="1" applyBorder="1" applyAlignment="1" applyProtection="1">
      <alignment horizontal="center" vertical="center" wrapText="1"/>
      <protection locked="0"/>
    </xf>
    <xf numFmtId="0" fontId="55" fillId="4" borderId="43" xfId="0" applyNumberFormat="1" applyFont="1" applyFill="1" applyBorder="1" applyAlignment="1" applyProtection="1">
      <alignment horizontal="center" vertical="center"/>
      <protection locked="0"/>
    </xf>
    <xf numFmtId="0" fontId="55" fillId="4" borderId="0" xfId="0" applyNumberFormat="1" applyFont="1" applyFill="1" applyAlignment="1" applyProtection="1">
      <alignment horizontal="center" vertical="center"/>
      <protection locked="0"/>
    </xf>
    <xf numFmtId="37" fontId="55" fillId="4" borderId="0" xfId="2" applyNumberFormat="1" applyFont="1" applyFill="1" applyAlignment="1">
      <alignment horizontal="center" vertical="center"/>
    </xf>
    <xf numFmtId="164" fontId="46" fillId="0" borderId="20" xfId="0" applyFont="1" applyBorder="1" applyAlignment="1">
      <alignment horizontal="center" vertical="center"/>
    </xf>
    <xf numFmtId="164" fontId="23" fillId="42" borderId="20" xfId="0" applyFont="1" applyFill="1" applyBorder="1" applyAlignment="1">
      <alignment horizontal="center" vertical="center"/>
    </xf>
    <xf numFmtId="164" fontId="4" fillId="7" borderId="20" xfId="0" applyFont="1" applyFill="1" applyBorder="1" applyAlignment="1">
      <alignment horizontal="center" vertical="center"/>
    </xf>
    <xf numFmtId="0" fontId="4" fillId="0" borderId="0" xfId="76" applyNumberFormat="1" applyFont="1" applyFill="1" applyBorder="1" applyAlignment="1" applyProtection="1">
      <alignment horizontal="left" vertical="center"/>
    </xf>
    <xf numFmtId="0" fontId="4" fillId="0" borderId="0" xfId="76"/>
    <xf numFmtId="0" fontId="4" fillId="0" borderId="0" xfId="76" applyNumberFormat="1" applyFont="1" applyFill="1" applyBorder="1" applyAlignment="1" applyProtection="1">
      <alignment horizontal="center" vertical="center"/>
    </xf>
    <xf numFmtId="0" fontId="4" fillId="0" borderId="0" xfId="76" applyNumberFormat="1" applyFont="1" applyFill="1" applyBorder="1" applyAlignment="1" applyProtection="1">
      <alignment horizontal="right" vertical="center"/>
    </xf>
    <xf numFmtId="0" fontId="120" fillId="0" borderId="0" xfId="76" applyNumberFormat="1" applyFont="1" applyFill="1" applyBorder="1" applyAlignment="1" applyProtection="1">
      <alignment horizontal="center" vertical="center"/>
    </xf>
    <xf numFmtId="0" fontId="4" fillId="0" borderId="0" xfId="70" applyNumberFormat="1" applyFont="1" applyFill="1" applyBorder="1" applyAlignment="1" applyProtection="1">
      <alignment horizontal="left" vertical="center"/>
    </xf>
    <xf numFmtId="0" fontId="4" fillId="0" borderId="0" xfId="70"/>
    <xf numFmtId="0" fontId="4" fillId="0" borderId="0" xfId="70" applyNumberFormat="1" applyFont="1" applyFill="1" applyBorder="1" applyAlignment="1" applyProtection="1">
      <alignment horizontal="center" vertical="center"/>
    </xf>
    <xf numFmtId="0" fontId="4" fillId="0" borderId="0" xfId="70" applyNumberFormat="1" applyFont="1" applyFill="1" applyBorder="1" applyAlignment="1" applyProtection="1">
      <alignment horizontal="right" vertical="center"/>
    </xf>
    <xf numFmtId="0" fontId="120" fillId="0" borderId="0" xfId="70" applyNumberFormat="1" applyFont="1" applyFill="1" applyBorder="1" applyAlignment="1" applyProtection="1">
      <alignment horizontal="center" vertical="center"/>
    </xf>
    <xf numFmtId="164" fontId="96" fillId="44" borderId="37" xfId="0" applyFont="1" applyFill="1" applyBorder="1" applyAlignment="1">
      <alignment horizontal="left" vertical="center" wrapText="1" readingOrder="1"/>
    </xf>
    <xf numFmtId="164" fontId="96" fillId="44" borderId="44" xfId="0" applyFont="1" applyFill="1" applyBorder="1" applyAlignment="1">
      <alignment horizontal="left" vertical="center" wrapText="1" readingOrder="1"/>
    </xf>
    <xf numFmtId="164" fontId="34" fillId="43" borderId="57" xfId="0" applyFont="1" applyFill="1" applyBorder="1" applyAlignment="1">
      <alignment horizontal="right" vertical="center"/>
    </xf>
    <xf numFmtId="0" fontId="88" fillId="44" borderId="61" xfId="0" applyNumberFormat="1" applyFont="1" applyFill="1" applyBorder="1" applyAlignment="1">
      <alignment horizontal="left" vertical="center"/>
    </xf>
    <xf numFmtId="0" fontId="88" fillId="44" borderId="54" xfId="0" applyNumberFormat="1" applyFont="1" applyFill="1" applyBorder="1" applyAlignment="1">
      <alignment horizontal="left" vertical="center"/>
    </xf>
    <xf numFmtId="0" fontId="88" fillId="44" borderId="62" xfId="0" applyNumberFormat="1" applyFont="1" applyFill="1" applyBorder="1" applyAlignment="1">
      <alignment horizontal="left" vertical="center"/>
    </xf>
    <xf numFmtId="0" fontId="85" fillId="43" borderId="63" xfId="0" applyNumberFormat="1" applyFont="1" applyFill="1" applyBorder="1" applyAlignment="1">
      <alignment horizontal="left"/>
    </xf>
    <xf numFmtId="0" fontId="85" fillId="43" borderId="64" xfId="0" applyNumberFormat="1" applyFont="1" applyFill="1" applyBorder="1" applyAlignment="1">
      <alignment horizontal="right" wrapText="1"/>
    </xf>
    <xf numFmtId="164" fontId="34" fillId="43" borderId="96" xfId="0" applyFont="1" applyFill="1" applyBorder="1" applyAlignment="1">
      <alignment horizontal="left" vertical="center"/>
    </xf>
    <xf numFmtId="164" fontId="34" fillId="43" borderId="97" xfId="0" applyFont="1" applyFill="1" applyBorder="1" applyAlignment="1">
      <alignment horizontal="right" vertical="center"/>
    </xf>
    <xf numFmtId="167" fontId="34" fillId="43" borderId="97" xfId="0" applyNumberFormat="1" applyFont="1" applyFill="1" applyBorder="1" applyAlignment="1">
      <alignment horizontal="right" vertical="center"/>
    </xf>
    <xf numFmtId="181" fontId="84" fillId="43" borderId="98" xfId="3" applyNumberFormat="1" applyFont="1" applyFill="1" applyBorder="1">
      <alignment vertical="center"/>
    </xf>
    <xf numFmtId="164" fontId="34" fillId="43" borderId="99" xfId="0" applyFont="1" applyFill="1" applyBorder="1" applyAlignment="1">
      <alignment horizontal="left" vertical="center"/>
    </xf>
    <xf numFmtId="164" fontId="34" fillId="43" borderId="100" xfId="0" applyFont="1" applyFill="1" applyBorder="1" applyAlignment="1">
      <alignment horizontal="right" vertical="center"/>
    </xf>
    <xf numFmtId="167" fontId="34" fillId="43" borderId="100" xfId="0" applyNumberFormat="1" applyFont="1" applyFill="1" applyBorder="1" applyAlignment="1">
      <alignment horizontal="right" vertical="center"/>
    </xf>
    <xf numFmtId="181" fontId="34" fillId="43" borderId="101" xfId="3" applyNumberFormat="1" applyFont="1" applyFill="1" applyBorder="1">
      <alignment vertical="center"/>
    </xf>
    <xf numFmtId="164" fontId="34" fillId="43" borderId="102" xfId="0" applyFont="1" applyFill="1" applyBorder="1" applyAlignment="1">
      <alignment horizontal="left" vertical="center"/>
    </xf>
    <xf numFmtId="164" fontId="34" fillId="43" borderId="103" xfId="0" applyFont="1" applyFill="1" applyBorder="1" applyAlignment="1">
      <alignment horizontal="right" vertical="center"/>
    </xf>
    <xf numFmtId="167" fontId="34" fillId="43" borderId="103" xfId="0" applyNumberFormat="1" applyFont="1" applyFill="1" applyBorder="1" applyAlignment="1">
      <alignment horizontal="right" vertical="center"/>
    </xf>
    <xf numFmtId="164" fontId="34" fillId="43" borderId="104" xfId="0" applyFont="1" applyFill="1" applyBorder="1" applyAlignment="1">
      <alignment horizontal="right" vertical="center"/>
    </xf>
    <xf numFmtId="164" fontId="34" fillId="43" borderId="72" xfId="0" applyFont="1" applyFill="1" applyBorder="1" applyAlignment="1">
      <alignment horizontal="right" vertical="center"/>
    </xf>
    <xf numFmtId="164" fontId="34" fillId="43" borderId="73" xfId="0" applyFont="1" applyFill="1" applyBorder="1" applyAlignment="1">
      <alignment horizontal="right" vertical="center"/>
    </xf>
    <xf numFmtId="164" fontId="86" fillId="43" borderId="99" xfId="0" applyFont="1" applyFill="1" applyBorder="1" applyAlignment="1">
      <alignment horizontal="left" vertical="center"/>
    </xf>
    <xf numFmtId="164" fontId="86" fillId="43" borderId="100" xfId="0" applyFont="1" applyFill="1" applyBorder="1" applyAlignment="1">
      <alignment horizontal="right" vertical="center"/>
    </xf>
    <xf numFmtId="167" fontId="86" fillId="43" borderId="100" xfId="0" applyNumberFormat="1" applyFont="1" applyFill="1" applyBorder="1" applyAlignment="1">
      <alignment horizontal="right" vertical="center"/>
    </xf>
    <xf numFmtId="181" fontId="87" fillId="43" borderId="101" xfId="3" applyNumberFormat="1" applyFont="1" applyFill="1" applyBorder="1">
      <alignment vertical="center"/>
    </xf>
    <xf numFmtId="164" fontId="84" fillId="43" borderId="99" xfId="0" applyFont="1" applyFill="1" applyBorder="1" applyAlignment="1">
      <alignment horizontal="left" vertical="center"/>
    </xf>
    <xf numFmtId="164" fontId="84" fillId="43" borderId="100" xfId="0" applyFont="1" applyFill="1" applyBorder="1" applyAlignment="1">
      <alignment horizontal="right" vertical="center"/>
    </xf>
    <xf numFmtId="181" fontId="84" fillId="43" borderId="100" xfId="3" applyNumberFormat="1" applyFont="1" applyFill="1" applyBorder="1">
      <alignment vertical="center"/>
    </xf>
    <xf numFmtId="164" fontId="84" fillId="43" borderId="101" xfId="0" applyFont="1" applyFill="1" applyBorder="1" applyAlignment="1">
      <alignment horizontal="right" vertical="center"/>
    </xf>
    <xf numFmtId="164" fontId="84" fillId="43" borderId="105" xfId="0" applyFont="1" applyFill="1" applyBorder="1" applyAlignment="1">
      <alignment horizontal="left" vertical="center"/>
    </xf>
    <xf numFmtId="164" fontId="84" fillId="43" borderId="106" xfId="0" applyFont="1" applyFill="1" applyBorder="1" applyAlignment="1">
      <alignment horizontal="right" vertical="center"/>
    </xf>
    <xf numFmtId="181" fontId="84" fillId="43" borderId="106" xfId="3" applyNumberFormat="1" applyFont="1" applyFill="1" applyBorder="1">
      <alignment vertical="center"/>
    </xf>
    <xf numFmtId="164" fontId="84" fillId="43" borderId="107" xfId="0" applyFont="1" applyFill="1" applyBorder="1" applyAlignment="1">
      <alignment horizontal="right" vertical="center"/>
    </xf>
    <xf numFmtId="164" fontId="86" fillId="43" borderId="108" xfId="0" applyFont="1" applyFill="1" applyBorder="1" applyAlignment="1">
      <alignment horizontal="left" vertical="center"/>
    </xf>
    <xf numFmtId="164" fontId="86" fillId="43" borderId="109" xfId="0" applyFont="1" applyFill="1" applyBorder="1" applyAlignment="1">
      <alignment horizontal="right" vertical="center"/>
    </xf>
    <xf numFmtId="167" fontId="86" fillId="43" borderId="109" xfId="0" applyNumberFormat="1" applyFont="1" applyFill="1" applyBorder="1" applyAlignment="1">
      <alignment horizontal="right" vertical="center"/>
    </xf>
    <xf numFmtId="181" fontId="87" fillId="43" borderId="110" xfId="3" applyNumberFormat="1" applyFont="1" applyFill="1" applyBorder="1">
      <alignment vertical="center"/>
    </xf>
    <xf numFmtId="164" fontId="86" fillId="43" borderId="68" xfId="0" applyFont="1" applyFill="1" applyBorder="1" applyAlignment="1">
      <alignment horizontal="left" vertical="center"/>
    </xf>
    <xf numFmtId="164" fontId="34" fillId="43" borderId="70" xfId="0" applyFont="1" applyFill="1" applyBorder="1" applyAlignment="1">
      <alignment horizontal="right" vertical="center"/>
    </xf>
    <xf numFmtId="167" fontId="71" fillId="0" borderId="0" xfId="2" quotePrefix="1" applyNumberFormat="1" applyFont="1">
      <alignment vertical="center"/>
    </xf>
    <xf numFmtId="165" fontId="71" fillId="0" borderId="0" xfId="3" applyFont="1" applyAlignment="1">
      <alignment horizontal="right" vertical="center"/>
    </xf>
  </cellXfs>
  <cellStyles count="106">
    <cellStyle name="20% - Accent1" xfId="29" builtinId="30" hidden="1" customBuiltin="1"/>
    <cellStyle name="20% - Accent2" xfId="33" builtinId="34" hidden="1" customBuiltin="1"/>
    <cellStyle name="20% - Accent3" xfId="37" builtinId="38" hidden="1" customBuiltin="1"/>
    <cellStyle name="20% - Accent4" xfId="41" builtinId="42" hidden="1" customBuiltin="1"/>
    <cellStyle name="20% - Accent5" xfId="45" builtinId="46" hidden="1" customBuiltin="1"/>
    <cellStyle name="20% - Accent6" xfId="49" builtinId="50" hidden="1" customBuiltin="1"/>
    <cellStyle name="40% - Accent1" xfId="30" builtinId="31" hidden="1" customBuiltin="1"/>
    <cellStyle name="40% - Accent2" xfId="34" builtinId="35" hidden="1" customBuiltin="1"/>
    <cellStyle name="40% - Accent3" xfId="38" builtinId="39" hidden="1" customBuiltin="1"/>
    <cellStyle name="40% - Accent4" xfId="42" builtinId="43" hidden="1" customBuiltin="1"/>
    <cellStyle name="40% - Accent5" xfId="46" builtinId="47" hidden="1" customBuiltin="1"/>
    <cellStyle name="40% - Accent6" xfId="50" builtinId="51" hidden="1" customBuiltin="1"/>
    <cellStyle name="60% - Accent1" xfId="31" builtinId="32" hidden="1" customBuiltin="1"/>
    <cellStyle name="60% - Accent2" xfId="35" builtinId="36" hidden="1" customBuiltin="1"/>
    <cellStyle name="60% - Accent3" xfId="39" builtinId="40" hidden="1" customBuiltin="1"/>
    <cellStyle name="60% - Accent4" xfId="43" builtinId="44" hidden="1" customBuiltin="1"/>
    <cellStyle name="60% - Accent5" xfId="47" builtinId="48" hidden="1" customBuiltin="1"/>
    <cellStyle name="60% - Accent6" xfId="51" builtinId="52" hidden="1" customBuiltin="1"/>
    <cellStyle name="Accent1" xfId="28" builtinId="29" hidden="1" customBuiltin="1"/>
    <cellStyle name="Accent2" xfId="32" builtinId="33" hidden="1" customBuiltin="1"/>
    <cellStyle name="Accent3" xfId="36" builtinId="37" hidden="1" customBuiltin="1"/>
    <cellStyle name="Accent4" xfId="40" builtinId="41" hidden="1" customBuiltin="1"/>
    <cellStyle name="Accent5" xfId="44" builtinId="45" hidden="1" customBuiltin="1"/>
    <cellStyle name="Accent6" xfId="48" builtinId="49" hidden="1" customBuiltin="1"/>
    <cellStyle name="AFE" xfId="84"/>
    <cellStyle name="Bad" xfId="17" builtinId="27" hidden="1" customBuiltin="1"/>
    <cellStyle name="Calculation" xfId="21" builtinId="22" hidden="1" customBuiltin="1"/>
    <cellStyle name="Check Cell" xfId="23" builtinId="23" hidden="1" customBuiltin="1"/>
    <cellStyle name="Comma" xfId="1" builtinId="3" hidden="1" customBuiltin="1"/>
    <cellStyle name="Comma" xfId="2"/>
    <cellStyle name="Comma [0]" xfId="8" builtinId="6" hidden="1" customBuiltin="1"/>
    <cellStyle name="Comma 2" xfId="60"/>
    <cellStyle name="Comma 2 2" xfId="73"/>
    <cellStyle name="Comma 2 3" xfId="86"/>
    <cellStyle name="Comma 3" xfId="75"/>
    <cellStyle name="Comma 3 2" xfId="77"/>
    <cellStyle name="Comma 4" xfId="81"/>
    <cellStyle name="Comma 5" xfId="99"/>
    <cellStyle name="Comma 6" xfId="103"/>
    <cellStyle name="Comma_Axmann Utopia toolbox all_in_one" xfId="92"/>
    <cellStyle name="Currency" xfId="9" builtinId="4" hidden="1" customBuiltin="1"/>
    <cellStyle name="Currency [0]" xfId="10" builtinId="7" hidden="1" customBuiltin="1"/>
    <cellStyle name="DateLong" xfId="5"/>
    <cellStyle name="DateLong 2" xfId="55"/>
    <cellStyle name="DateShort" xfId="6"/>
    <cellStyle name="DateShort 2" xfId="59"/>
    <cellStyle name="Explanatory Text" xfId="26" builtinId="53" hidden="1" customBuiltin="1"/>
    <cellStyle name="Factor" xfId="4"/>
    <cellStyle name="Factor 2" xfId="61"/>
    <cellStyle name="Good" xfId="16" builtinId="26" hidden="1" customBuiltin="1"/>
    <cellStyle name="Heading 1" xfId="12" builtinId="16" hidden="1" customBuiltin="1"/>
    <cellStyle name="Heading 2" xfId="13" builtinId="17" hidden="1" customBuiltin="1"/>
    <cellStyle name="Heading 3" xfId="14" builtinId="18" hidden="1" customBuiltin="1"/>
    <cellStyle name="Heading 4" xfId="15" builtinId="19" hidden="1" customBuiltin="1"/>
    <cellStyle name="Hyperlink" xfId="52" builtinId="8" hidden="1" customBuiltin="1"/>
    <cellStyle name="Hyperlink" xfId="62" builtinId="8" hidden="1"/>
    <cellStyle name="Hyperlink" xfId="63" builtinId="8" hidden="1"/>
    <cellStyle name="Input" xfId="19" builtinId="20" hidden="1" customBuiltin="1"/>
    <cellStyle name="Linked Cell" xfId="22" builtinId="24" hidden="1" customBuiltin="1"/>
    <cellStyle name="Neutral" xfId="18" builtinId="28" hidden="1" customBuiltin="1"/>
    <cellStyle name="Normal" xfId="0" builtinId="0" customBuiltin="1"/>
    <cellStyle name="Normal 10" xfId="93"/>
    <cellStyle name="Normal 11" xfId="101"/>
    <cellStyle name="Normal 12" xfId="104"/>
    <cellStyle name="Normal 13" xfId="76"/>
    <cellStyle name="Normal 14" xfId="105"/>
    <cellStyle name="Normal 2" xfId="54"/>
    <cellStyle name="Normal 2 2" xfId="57"/>
    <cellStyle name="Normal 2 2 2" xfId="69"/>
    <cellStyle name="Normal 2 3" xfId="65"/>
    <cellStyle name="Normal 2 4" xfId="68"/>
    <cellStyle name="Normal 2 5" xfId="70"/>
    <cellStyle name="Normal 2 6" xfId="82"/>
    <cellStyle name="Normal 2 7" xfId="85"/>
    <cellStyle name="Normal 2 8" xfId="90"/>
    <cellStyle name="Normal 26" xfId="98"/>
    <cellStyle name="Normal 3" xfId="58"/>
    <cellStyle name="Normal 33" xfId="96"/>
    <cellStyle name="Normal 36" xfId="97"/>
    <cellStyle name="Normal 37" xfId="100"/>
    <cellStyle name="Normal 38" xfId="95"/>
    <cellStyle name="Normal 4" xfId="64"/>
    <cellStyle name="Normal 4 2" xfId="66"/>
    <cellStyle name="Normal 4 2 2" xfId="83"/>
    <cellStyle name="Normal 5" xfId="67"/>
    <cellStyle name="Normal 6" xfId="72"/>
    <cellStyle name="Normal 7" xfId="78"/>
    <cellStyle name="Normal 8" xfId="79"/>
    <cellStyle name="Normal 9" xfId="80"/>
    <cellStyle name="Normal 9 2" xfId="94"/>
    <cellStyle name="Normal_Germany Utopia_selected sheets" xfId="91"/>
    <cellStyle name="Note" xfId="25" builtinId="10" hidden="1" customBuiltin="1"/>
    <cellStyle name="Output" xfId="20" builtinId="21" hidden="1" customBuiltin="1"/>
    <cellStyle name="Percent" xfId="7" builtinId="5" hidden="1" customBuiltin="1"/>
    <cellStyle name="Percent" xfId="3"/>
    <cellStyle name="Percent 2" xfId="71"/>
    <cellStyle name="Percent 2 2" xfId="87"/>
    <cellStyle name="Percent 3" xfId="74"/>
    <cellStyle name="Percent 4" xfId="53"/>
    <cellStyle name="Percent 5" xfId="102"/>
    <cellStyle name="Standard 4" xfId="89"/>
    <cellStyle name="Standard 5" xfId="56"/>
    <cellStyle name="Standard 5 2" xfId="88"/>
    <cellStyle name="Title" xfId="11" builtinId="15" hidden="1" customBuiltin="1"/>
    <cellStyle name="Total" xfId="27" builtinId="25" hidden="1" customBuiltin="1"/>
    <cellStyle name="Warning Text" xfId="24" builtinId="11" hidden="1" customBuiltin="1"/>
  </cellStyles>
  <dxfs count="31">
    <dxf>
      <font>
        <color rgb="FFFF0000"/>
      </font>
      <fill>
        <patternFill>
          <fgColor rgb="FF007C92"/>
        </patternFill>
      </fill>
    </dxf>
    <dxf>
      <font>
        <color rgb="FF7AB800"/>
      </font>
      <fill>
        <patternFill>
          <fgColor rgb="FF007C92"/>
        </patternFill>
      </fill>
    </dxf>
    <dxf>
      <font>
        <color rgb="FFFF0000"/>
      </font>
      <fill>
        <patternFill>
          <fgColor rgb="FF007C92"/>
        </patternFill>
      </fill>
    </dxf>
    <dxf>
      <font>
        <color rgb="FF7AB800"/>
      </font>
      <fill>
        <patternFill>
          <fgColor rgb="FF007C92"/>
        </patternFill>
      </fill>
    </dxf>
    <dxf>
      <font>
        <color rgb="FFFF0000"/>
      </font>
      <fill>
        <patternFill>
          <fgColor rgb="FF007C92"/>
        </patternFill>
      </fill>
    </dxf>
    <dxf>
      <font>
        <color rgb="FF7AB800"/>
      </font>
      <fill>
        <patternFill>
          <fgColor rgb="FF007C92"/>
        </patternFill>
      </fill>
    </dxf>
    <dxf>
      <font>
        <color rgb="FFFF0000"/>
      </font>
      <fill>
        <patternFill>
          <fgColor rgb="FF007C92"/>
        </patternFill>
      </fill>
    </dxf>
    <dxf>
      <font>
        <color rgb="FF7AB800"/>
      </font>
      <fill>
        <patternFill>
          <fgColor rgb="FF007C92"/>
        </patternFill>
      </fill>
    </dxf>
    <dxf>
      <font>
        <color rgb="FFFF0000"/>
      </font>
      <fill>
        <patternFill>
          <fgColor rgb="FF007C92"/>
        </patternFill>
      </fill>
    </dxf>
    <dxf>
      <font>
        <color rgb="FF7AB800"/>
      </font>
      <fill>
        <patternFill>
          <fgColor rgb="FF007C92"/>
        </patternFill>
      </fill>
    </dxf>
    <dxf>
      <font>
        <color rgb="FFFF0000"/>
      </font>
      <fill>
        <patternFill>
          <fgColor rgb="FF007C92"/>
        </patternFill>
      </fill>
    </dxf>
    <dxf>
      <font>
        <color rgb="FF7AB800"/>
      </font>
      <fill>
        <patternFill>
          <fgColor rgb="FF007C92"/>
        </patternFill>
      </fill>
    </dxf>
    <dxf>
      <font>
        <color rgb="FFFF0000"/>
      </font>
      <fill>
        <patternFill>
          <fgColor rgb="FF007C92"/>
        </patternFill>
      </fill>
    </dxf>
    <dxf>
      <font>
        <color rgb="FF7AB800"/>
      </font>
      <fill>
        <patternFill>
          <fgColor rgb="FF007C92"/>
        </patternFill>
      </fill>
    </dxf>
    <dxf>
      <font>
        <b/>
        <i val="0"/>
        <color theme="0"/>
      </font>
      <fill>
        <patternFill>
          <bgColor rgb="FFFF0000"/>
        </patternFill>
      </fill>
    </dxf>
    <dxf>
      <font>
        <color rgb="FFFF0000"/>
      </font>
      <fill>
        <patternFill>
          <fgColor rgb="FF007C92"/>
        </patternFill>
      </fill>
    </dxf>
    <dxf>
      <font>
        <color rgb="FF7AB800"/>
      </font>
      <fill>
        <patternFill>
          <fgColor rgb="FF007C92"/>
        </patternFill>
      </fill>
    </dxf>
    <dxf>
      <font>
        <color rgb="FFFF0000"/>
      </font>
      <fill>
        <patternFill>
          <fgColor rgb="FF007C92"/>
        </patternFill>
      </fill>
    </dxf>
    <dxf>
      <font>
        <color rgb="FF7AB800"/>
      </font>
      <fill>
        <patternFill>
          <fgColor rgb="FF007C92"/>
        </patternFill>
      </fill>
    </dxf>
    <dxf>
      <font>
        <color rgb="FFFF0000"/>
      </font>
      <fill>
        <patternFill>
          <fgColor rgb="FF007C92"/>
        </patternFill>
      </fill>
    </dxf>
    <dxf>
      <font>
        <color rgb="FF7AB800"/>
      </font>
      <fill>
        <patternFill>
          <fgColor rgb="FF007C92"/>
        </patternFill>
      </fill>
    </dxf>
    <dxf>
      <font>
        <color rgb="FFFF0000"/>
      </font>
      <fill>
        <patternFill>
          <fgColor rgb="FF007C92"/>
        </patternFill>
      </fill>
    </dxf>
    <dxf>
      <font>
        <color rgb="FF7AB800"/>
      </font>
      <fill>
        <patternFill>
          <fgColor rgb="FF007C92"/>
        </patternFill>
      </fill>
    </dxf>
    <dxf>
      <font>
        <color rgb="FFFF0000"/>
      </font>
      <fill>
        <patternFill>
          <fgColor rgb="FF007C92"/>
        </patternFill>
      </fill>
    </dxf>
    <dxf>
      <font>
        <color rgb="FF7AB800"/>
      </font>
      <fill>
        <patternFill>
          <fgColor rgb="FF007C92"/>
        </patternFill>
      </fill>
    </dxf>
    <dxf>
      <font>
        <b/>
        <i val="0"/>
        <color theme="0"/>
      </font>
      <fill>
        <patternFill>
          <bgColor rgb="FFFF0000"/>
        </patternFill>
      </fill>
    </dxf>
    <dxf>
      <font>
        <color rgb="FFFF0000"/>
      </font>
      <fill>
        <patternFill>
          <fgColor rgb="FF007C92"/>
        </patternFill>
      </fill>
    </dxf>
    <dxf>
      <font>
        <color rgb="FF7AB800"/>
      </font>
      <fill>
        <patternFill>
          <fgColor rgb="FF007C92"/>
        </patternFill>
      </fill>
    </dxf>
    <dxf>
      <font>
        <color rgb="FFFF0000"/>
      </font>
      <fill>
        <patternFill>
          <fgColor rgb="FF007C92"/>
        </patternFill>
      </fill>
    </dxf>
    <dxf>
      <font>
        <color rgb="FF7AB800"/>
      </font>
      <fill>
        <patternFill>
          <fgColor rgb="FF007C92"/>
        </patternFill>
      </fill>
    </dxf>
    <dxf>
      <fill>
        <patternFill>
          <bgColor rgb="FF92D05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00338D"/>
      <rgbColor rgb="000091DA"/>
      <rgbColor rgb="006D2077"/>
      <rgbColor rgb="00005EB8"/>
      <rgbColor rgb="0000A3A1"/>
      <rgbColor rgb="00EAAA00"/>
      <rgbColor rgb="0043B02A"/>
      <rgbColor rgb="00C6007E"/>
      <rgbColor rgb="0000338D"/>
      <rgbColor rgb="000091DA"/>
      <rgbColor rgb="006D2077"/>
      <rgbColor rgb="00005EB8"/>
      <rgbColor rgb="0000A3A1"/>
      <rgbColor rgb="00EAAA00"/>
      <rgbColor rgb="0043B02A"/>
      <rgbColor rgb="00C6007E"/>
      <rgbColor rgb="00753F19"/>
      <rgbColor rgb="009B642E"/>
      <rgbColor rgb="009D9375"/>
      <rgbColor rgb="00E3BC9F"/>
      <rgbColor rgb="00E36877"/>
      <rgbColor rgb="00FF99CC"/>
      <rgbColor rgb="00CC99FF"/>
      <rgbColor rgb="00FFCC99"/>
      <rgbColor rgb="003366FF"/>
      <rgbColor rgb="0033CCCC"/>
      <rgbColor rgb="0099CC00"/>
      <rgbColor rgb="00F5B36A"/>
      <rgbColor rgb="00FF9900"/>
      <rgbColor rgb="00FF6600"/>
      <rgbColor rgb="00666699"/>
      <rgbColor rgb="00969696"/>
      <rgbColor rgb="00003366"/>
      <rgbColor rgb="00339966"/>
      <rgbColor rgb="00003300"/>
      <rgbColor rgb="00333300"/>
      <rgbColor rgb="00993300"/>
      <rgbColor rgb="00E6E9EE"/>
      <rgbColor rgb="00333399"/>
      <rgbColor rgb="00333333"/>
    </indexedColors>
    <mruColors>
      <color rgb="FF7AB800"/>
      <color rgb="FF0000FF"/>
      <color rgb="FF409DAD"/>
      <color rgb="FFD0D1D2"/>
      <color rgb="FFEBB700"/>
      <color rgb="FF007C9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6.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externalLink" Target="externalLinks/externalLink4.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3.1335575818522955E-2"/>
          <c:w val="1"/>
          <c:h val="0.84454642814967451"/>
        </c:manualLayout>
      </c:layout>
      <c:barChart>
        <c:barDir val="bar"/>
        <c:grouping val="stacked"/>
        <c:varyColors val="0"/>
        <c:ser>
          <c:idx val="0"/>
          <c:order val="0"/>
          <c:tx>
            <c:strRef>
              <c:f>'1.5 Assumptions book'!$U$11</c:f>
              <c:strCache>
                <c:ptCount val="1"/>
                <c:pt idx="0">
                  <c:v>Signed and in execution contracts</c:v>
                </c:pt>
              </c:strCache>
            </c:strRef>
          </c:tx>
          <c:spPr>
            <a:solidFill>
              <a:srgbClr val="00A3A1"/>
            </a:solidFill>
            <a:ln w="3175">
              <a:solidFill>
                <a:srgbClr val="FFFFFF"/>
              </a:solidFill>
              <a:prstDash val="solid"/>
            </a:ln>
          </c:spPr>
          <c:invertIfNegative val="0"/>
          <c:dLbls>
            <c:spPr>
              <a:noFill/>
              <a:ln>
                <a:noFill/>
              </a:ln>
              <a:effectLst/>
            </c:spPr>
            <c:txPr>
              <a:bodyPr wrap="square" lIns="38100" tIns="19050" rIns="38100" bIns="19050" anchor="ctr">
                <a:spAutoFit/>
              </a:bodyPr>
              <a:lstStyle/>
              <a:p>
                <a:pPr>
                  <a:defRPr sz="1000">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val>
            <c:numRef>
              <c:f>'1.5 Assumptions book'!$V$11</c:f>
              <c:numCache>
                <c:formatCode>#,##0.0_);\(#,##0.0\);"-  ";" "@</c:formatCode>
                <c:ptCount val="1"/>
                <c:pt idx="0">
                  <c:v>7840.9537999999993</c:v>
                </c:pt>
              </c:numCache>
            </c:numRef>
          </c:val>
        </c:ser>
        <c:ser>
          <c:idx val="1"/>
          <c:order val="1"/>
          <c:tx>
            <c:strRef>
              <c:f>'1.5 Assumptions book'!$U$12</c:f>
              <c:strCache>
                <c:ptCount val="1"/>
                <c:pt idx="0">
                  <c:v>Estimates</c:v>
                </c:pt>
              </c:strCache>
            </c:strRef>
          </c:tx>
          <c:spPr>
            <a:solidFill>
              <a:srgbClr val="E36877"/>
            </a:solidFill>
            <a:ln w="3175">
              <a:solidFill>
                <a:srgbClr val="FFFFFF"/>
              </a:solidFill>
              <a:prstDash val="solid"/>
            </a:ln>
          </c:spPr>
          <c:invertIfNegative val="0"/>
          <c:dLbls>
            <c:spPr>
              <a:noFill/>
              <a:ln>
                <a:noFill/>
              </a:ln>
              <a:effectLst/>
            </c:spPr>
            <c:txPr>
              <a:bodyPr wrap="square" lIns="38100" tIns="19050" rIns="38100" bIns="19050" anchor="ctr">
                <a:spAutoFit/>
              </a:bodyPr>
              <a:lstStyle/>
              <a:p>
                <a:pPr>
                  <a:defRPr sz="1000">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val>
            <c:numRef>
              <c:f>'1.5 Assumptions book'!$V$12</c:f>
              <c:numCache>
                <c:formatCode>#,##0.0_);\(#,##0.0\);"-  ";" "@</c:formatCode>
                <c:ptCount val="1"/>
                <c:pt idx="0">
                  <c:v>4041.8421962573557</c:v>
                </c:pt>
              </c:numCache>
            </c:numRef>
          </c:val>
        </c:ser>
        <c:dLbls>
          <c:showLegendKey val="0"/>
          <c:showVal val="0"/>
          <c:showCatName val="0"/>
          <c:showSerName val="0"/>
          <c:showPercent val="0"/>
          <c:showBubbleSize val="0"/>
        </c:dLbls>
        <c:gapWidth val="40"/>
        <c:overlap val="100"/>
        <c:axId val="647620976"/>
        <c:axId val="647624112"/>
      </c:barChart>
      <c:catAx>
        <c:axId val="647620976"/>
        <c:scaling>
          <c:orientation val="minMax"/>
        </c:scaling>
        <c:delete val="1"/>
        <c:axPos val="l"/>
        <c:numFmt formatCode="General" sourceLinked="1"/>
        <c:majorTickMark val="out"/>
        <c:minorTickMark val="none"/>
        <c:tickLblPos val="low"/>
        <c:crossAx val="647624112"/>
        <c:crosses val="autoZero"/>
        <c:auto val="1"/>
        <c:lblAlgn val="ctr"/>
        <c:lblOffset val="100"/>
        <c:noMultiLvlLbl val="0"/>
      </c:catAx>
      <c:valAx>
        <c:axId val="647624112"/>
        <c:scaling>
          <c:orientation val="minMax"/>
        </c:scaling>
        <c:delete val="1"/>
        <c:axPos val="b"/>
        <c:numFmt formatCode="#,##0.0_);\(#,##0.0\);&quot;-  &quot;;&quot; &quot;@" sourceLinked="1"/>
        <c:majorTickMark val="out"/>
        <c:minorTickMark val="none"/>
        <c:tickLblPos val="nextTo"/>
        <c:crossAx val="647620976"/>
        <c:crosses val="autoZero"/>
        <c:crossBetween val="between"/>
      </c:valAx>
      <c:spPr>
        <a:noFill/>
        <a:ln w="25400">
          <a:noFill/>
        </a:ln>
      </c:spPr>
    </c:plotArea>
    <c:legend>
      <c:legendPos val="b"/>
      <c:layout>
        <c:manualLayout>
          <c:xMode val="edge"/>
          <c:yMode val="edge"/>
          <c:x val="0.16294504303772031"/>
          <c:y val="0.92663770039865945"/>
          <c:w val="0.62625601433753486"/>
          <c:h val="7.3362299601340539E-2"/>
        </c:manualLayout>
      </c:layout>
      <c:overlay val="0"/>
      <c:spPr>
        <a:noFill/>
        <a:ln w="25400">
          <a:noFill/>
        </a:ln>
      </c:spPr>
    </c:legend>
    <c:plotVisOnly val="1"/>
    <c:dispBlanksAs val="gap"/>
    <c:showDLblsOverMax val="0"/>
  </c:chart>
  <c:spPr>
    <a:noFill/>
    <a:ln w="6350">
      <a:noFill/>
    </a:ln>
  </c:spPr>
  <c:txPr>
    <a:bodyPr/>
    <a:lstStyle/>
    <a:p>
      <a:pPr>
        <a:defRPr sz="800" b="0" i="0">
          <a:solidFill>
            <a:srgbClr val="000000"/>
          </a:solidFill>
          <a:latin typeface="Univers for KPMG" panose="020B0603020202020204" pitchFamily="34" charset="0"/>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958807649043871"/>
          <c:y val="3.3943092340730133E-2"/>
          <c:w val="0.64782384701912266"/>
          <c:h val="0.67357759715519427"/>
        </c:manualLayout>
      </c:layout>
      <c:barChart>
        <c:barDir val="col"/>
        <c:grouping val="clustered"/>
        <c:varyColors val="0"/>
        <c:ser>
          <c:idx val="1"/>
          <c:order val="1"/>
          <c:tx>
            <c:strRef>
              <c:f>'4.1.Summary'!$D$291:$I$291</c:f>
              <c:strCache>
                <c:ptCount val="6"/>
                <c:pt idx="0">
                  <c:v> EBITDA</c:v>
                </c:pt>
              </c:strCache>
            </c:strRef>
          </c:tx>
          <c:spPr>
            <a:solidFill>
              <a:srgbClr val="0091DA"/>
            </a:solidFill>
            <a:ln w="12700">
              <a:solidFill>
                <a:srgbClr val="FFFFFF"/>
              </a:solidFill>
              <a:prstDash val="solid"/>
            </a:ln>
          </c:spPr>
          <c:invertIfNegative val="0"/>
          <c:cat>
            <c:strRef>
              <c:f>'4.1.Summary'!$J$289:$P$289</c:f>
              <c:strCache>
                <c:ptCount val="7"/>
                <c:pt idx="0">
                  <c:v>2014a</c:v>
                </c:pt>
                <c:pt idx="1">
                  <c:v>2015a</c:v>
                </c:pt>
                <c:pt idx="2">
                  <c:v>2016a</c:v>
                </c:pt>
                <c:pt idx="3">
                  <c:v>2017e</c:v>
                </c:pt>
                <c:pt idx="4">
                  <c:v>2018f</c:v>
                </c:pt>
                <c:pt idx="5">
                  <c:v>2019f</c:v>
                </c:pt>
                <c:pt idx="6">
                  <c:v>2020f</c:v>
                </c:pt>
              </c:strCache>
            </c:strRef>
          </c:cat>
          <c:val>
            <c:numRef>
              <c:f>'4.1.Summary'!$J$291:$P$291</c:f>
              <c:numCache>
                <c:formatCode>#,##0.00_);\(#,##0.00\);"-  ";" "@</c:formatCode>
                <c:ptCount val="7"/>
                <c:pt idx="0">
                  <c:v>383.00553353522719</c:v>
                </c:pt>
                <c:pt idx="1">
                  <c:v>619.71054705457209</c:v>
                </c:pt>
                <c:pt idx="2">
                  <c:v>673.23358332438056</c:v>
                </c:pt>
                <c:pt idx="3">
                  <c:v>798.88783813948066</c:v>
                </c:pt>
                <c:pt idx="4">
                  <c:v>817.39978033496845</c:v>
                </c:pt>
                <c:pt idx="5">
                  <c:v>858.26976935171842</c:v>
                </c:pt>
                <c:pt idx="6">
                  <c:v>901.18325781930253</c:v>
                </c:pt>
              </c:numCache>
            </c:numRef>
          </c:val>
        </c:ser>
        <c:ser>
          <c:idx val="2"/>
          <c:order val="2"/>
          <c:tx>
            <c:strRef>
              <c:f>'4.1.Summary'!$D$292:$I$292</c:f>
              <c:strCache>
                <c:ptCount val="6"/>
                <c:pt idx="0">
                  <c:v> Sales</c:v>
                </c:pt>
              </c:strCache>
            </c:strRef>
          </c:tx>
          <c:spPr>
            <a:solidFill>
              <a:srgbClr val="00A3A1"/>
            </a:solidFill>
            <a:ln w="12700">
              <a:solidFill>
                <a:srgbClr val="FFFFFF"/>
              </a:solidFill>
              <a:prstDash val="solid"/>
            </a:ln>
          </c:spPr>
          <c:invertIfNegative val="0"/>
          <c:cat>
            <c:strRef>
              <c:f>'4.1.Summary'!$J$289:$P$289</c:f>
              <c:strCache>
                <c:ptCount val="7"/>
                <c:pt idx="0">
                  <c:v>2014a</c:v>
                </c:pt>
                <c:pt idx="1">
                  <c:v>2015a</c:v>
                </c:pt>
                <c:pt idx="2">
                  <c:v>2016a</c:v>
                </c:pt>
                <c:pt idx="3">
                  <c:v>2017e</c:v>
                </c:pt>
                <c:pt idx="4">
                  <c:v>2018f</c:v>
                </c:pt>
                <c:pt idx="5">
                  <c:v>2019f</c:v>
                </c:pt>
                <c:pt idx="6">
                  <c:v>2020f</c:v>
                </c:pt>
              </c:strCache>
            </c:strRef>
          </c:cat>
          <c:val>
            <c:numRef>
              <c:f>'4.1.Summary'!$J$292:$P$292</c:f>
              <c:numCache>
                <c:formatCode>#,##0.00_);\(#,##0.00\);"-  ";" "@</c:formatCode>
                <c:ptCount val="7"/>
                <c:pt idx="0">
                  <c:v>3581.311171728868</c:v>
                </c:pt>
                <c:pt idx="1">
                  <c:v>8365.4754405551539</c:v>
                </c:pt>
                <c:pt idx="2">
                  <c:v>6263.9606425271304</c:v>
                </c:pt>
                <c:pt idx="3">
                  <c:v>9801.1922500000001</c:v>
                </c:pt>
                <c:pt idx="4">
                  <c:v>10291.251862500001</c:v>
                </c:pt>
                <c:pt idx="5">
                  <c:v>10805.814455625001</c:v>
                </c:pt>
                <c:pt idx="6">
                  <c:v>11346.105178406251</c:v>
                </c:pt>
              </c:numCache>
            </c:numRef>
          </c:val>
        </c:ser>
        <c:dLbls>
          <c:showLegendKey val="0"/>
          <c:showVal val="0"/>
          <c:showCatName val="0"/>
          <c:showSerName val="0"/>
          <c:showPercent val="0"/>
          <c:showBubbleSize val="0"/>
        </c:dLbls>
        <c:gapWidth val="40"/>
        <c:axId val="671902888"/>
        <c:axId val="671904456"/>
      </c:barChart>
      <c:lineChart>
        <c:grouping val="standard"/>
        <c:varyColors val="0"/>
        <c:ser>
          <c:idx val="0"/>
          <c:order val="0"/>
          <c:tx>
            <c:strRef>
              <c:f>'4.1.Summary'!$D$290:$I$290</c:f>
              <c:strCache>
                <c:ptCount val="6"/>
                <c:pt idx="0">
                  <c:v> Maximum installed capacity (kg/ h)</c:v>
                </c:pt>
              </c:strCache>
            </c:strRef>
          </c:tx>
          <c:spPr>
            <a:ln w="3175">
              <a:solidFill>
                <a:srgbClr val="00338D"/>
              </a:solidFill>
              <a:prstDash val="solid"/>
            </a:ln>
          </c:spPr>
          <c:dLbls>
            <c:dLbl>
              <c:idx val="1"/>
              <c:delete val="1"/>
              <c:extLst>
                <c:ext xmlns:c15="http://schemas.microsoft.com/office/drawing/2012/chart" uri="{CE6537A1-D6FC-4f65-9D91-7224C49458BB}"/>
              </c:extLst>
            </c:dLbl>
            <c:dLbl>
              <c:idx val="2"/>
              <c:delete val="1"/>
              <c:extLst>
                <c:ext xmlns:c15="http://schemas.microsoft.com/office/drawing/2012/chart" uri="{CE6537A1-D6FC-4f65-9D91-7224C49458BB}"/>
              </c:extLst>
            </c:dLbl>
            <c:dLbl>
              <c:idx val="4"/>
              <c:delete val="1"/>
              <c:extLst>
                <c:ext xmlns:c15="http://schemas.microsoft.com/office/drawing/2012/chart" uri="{CE6537A1-D6FC-4f65-9D91-7224C49458BB}"/>
              </c:extLst>
            </c:dLbl>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'4.1.Summary'!$J$289:$P$289</c:f>
              <c:strCache>
                <c:ptCount val="7"/>
                <c:pt idx="0">
                  <c:v>2014a</c:v>
                </c:pt>
                <c:pt idx="1">
                  <c:v>2015a</c:v>
                </c:pt>
                <c:pt idx="2">
                  <c:v>2016a</c:v>
                </c:pt>
                <c:pt idx="3">
                  <c:v>2017e</c:v>
                </c:pt>
                <c:pt idx="4">
                  <c:v>2018f</c:v>
                </c:pt>
                <c:pt idx="5">
                  <c:v>2019f</c:v>
                </c:pt>
                <c:pt idx="6">
                  <c:v>2020f</c:v>
                </c:pt>
              </c:strCache>
            </c:strRef>
          </c:cat>
          <c:val>
            <c:numRef>
              <c:f>'4.1.Summary'!$J$290:$P$290</c:f>
              <c:numCache>
                <c:formatCode>#,##0.00_);\(#,##0.00\);"-  ";" "@</c:formatCode>
                <c:ptCount val="7"/>
                <c:pt idx="0">
                  <c:v>0</c:v>
                </c:pt>
                <c:pt idx="1">
                  <c:v>0</c:v>
                </c:pt>
                <c:pt idx="2">
                  <c:v>0</c:v>
                </c:pt>
                <c:pt idx="3">
                  <c:v>0</c:v>
                </c:pt>
                <c:pt idx="4">
                  <c:v>0</c:v>
                </c:pt>
                <c:pt idx="5">
                  <c:v>0</c:v>
                </c:pt>
                <c:pt idx="6">
                  <c:v>0</c:v>
                </c:pt>
              </c:numCache>
            </c:numRef>
          </c:val>
          <c:smooth val="0"/>
        </c:ser>
        <c:dLbls>
          <c:showLegendKey val="0"/>
          <c:showVal val="0"/>
          <c:showCatName val="0"/>
          <c:showSerName val="0"/>
          <c:showPercent val="0"/>
          <c:showBubbleSize val="0"/>
        </c:dLbls>
        <c:marker val="1"/>
        <c:smooth val="0"/>
        <c:axId val="673646496"/>
        <c:axId val="671903280"/>
      </c:lineChart>
      <c:catAx>
        <c:axId val="671902888"/>
        <c:scaling>
          <c:orientation val="minMax"/>
        </c:scaling>
        <c:delete val="0"/>
        <c:axPos val="b"/>
        <c:numFmt formatCode="General" sourceLinked="1"/>
        <c:majorTickMark val="out"/>
        <c:minorTickMark val="none"/>
        <c:tickLblPos val="low"/>
        <c:spPr>
          <a:ln w="3175">
            <a:solidFill>
              <a:srgbClr val="000000"/>
            </a:solidFill>
            <a:prstDash val="solid"/>
          </a:ln>
        </c:spPr>
        <c:txPr>
          <a:bodyPr/>
          <a:lstStyle/>
          <a:p>
            <a:pPr>
              <a:defRPr>
                <a:solidFill>
                  <a:srgbClr val="000000"/>
                </a:solidFill>
              </a:defRPr>
            </a:pPr>
            <a:endParaRPr lang="en-US"/>
          </a:p>
        </c:txPr>
        <c:crossAx val="671904456"/>
        <c:crosses val="autoZero"/>
        <c:auto val="1"/>
        <c:lblAlgn val="ctr"/>
        <c:lblOffset val="100"/>
        <c:noMultiLvlLbl val="0"/>
      </c:catAx>
      <c:valAx>
        <c:axId val="671904456"/>
        <c:scaling>
          <c:orientation val="minMax"/>
        </c:scaling>
        <c:delete val="0"/>
        <c:axPos val="l"/>
        <c:title>
          <c:tx>
            <c:rich>
              <a:bodyPr rot="-5400000" vert="horz"/>
              <a:lstStyle/>
              <a:p>
                <a:pPr>
                  <a:defRPr>
                    <a:solidFill>
                      <a:srgbClr val="000000"/>
                    </a:solidFill>
                  </a:defRPr>
                </a:pPr>
                <a:r>
                  <a:rPr lang="en-US"/>
                  <a:t>EUR</a:t>
                </a:r>
                <a:r>
                  <a:rPr lang="en-US" baseline="0"/>
                  <a:t> '000</a:t>
                </a:r>
                <a:endParaRPr lang="en-US"/>
              </a:p>
            </c:rich>
          </c:tx>
          <c:layout>
            <c:manualLayout>
              <c:xMode val="edge"/>
              <c:yMode val="edge"/>
              <c:x val="2.5714285714285714E-2"/>
              <c:y val="0.29060164638511093"/>
            </c:manualLayout>
          </c:layout>
          <c:overlay val="0"/>
        </c:title>
        <c:numFmt formatCode="#,##0" sourceLinked="0"/>
        <c:majorTickMark val="out"/>
        <c:minorTickMark val="none"/>
        <c:tickLblPos val="nextTo"/>
        <c:spPr>
          <a:ln w="3175">
            <a:solidFill>
              <a:srgbClr val="000000"/>
            </a:solidFill>
            <a:prstDash val="solid"/>
          </a:ln>
        </c:spPr>
        <c:txPr>
          <a:bodyPr/>
          <a:lstStyle/>
          <a:p>
            <a:pPr>
              <a:defRPr>
                <a:solidFill>
                  <a:srgbClr val="000000"/>
                </a:solidFill>
              </a:defRPr>
            </a:pPr>
            <a:endParaRPr lang="en-US"/>
          </a:p>
        </c:txPr>
        <c:crossAx val="671902888"/>
        <c:crosses val="autoZero"/>
        <c:crossBetween val="between"/>
      </c:valAx>
      <c:valAx>
        <c:axId val="671903280"/>
        <c:scaling>
          <c:orientation val="minMax"/>
        </c:scaling>
        <c:delete val="0"/>
        <c:axPos val="r"/>
        <c:title>
          <c:tx>
            <c:rich>
              <a:bodyPr/>
              <a:lstStyle/>
              <a:p>
                <a:pPr>
                  <a:defRPr/>
                </a:pPr>
                <a:r>
                  <a:rPr lang="en-US"/>
                  <a:t>kg/ h</a:t>
                </a:r>
              </a:p>
            </c:rich>
          </c:tx>
          <c:layout/>
          <c:overlay val="0"/>
        </c:title>
        <c:numFmt formatCode="#,##0" sourceLinked="0"/>
        <c:majorTickMark val="out"/>
        <c:minorTickMark val="none"/>
        <c:tickLblPos val="nextTo"/>
        <c:crossAx val="673646496"/>
        <c:crosses val="max"/>
        <c:crossBetween val="between"/>
      </c:valAx>
      <c:catAx>
        <c:axId val="673646496"/>
        <c:scaling>
          <c:orientation val="minMax"/>
        </c:scaling>
        <c:delete val="1"/>
        <c:axPos val="b"/>
        <c:numFmt formatCode="General" sourceLinked="1"/>
        <c:majorTickMark val="out"/>
        <c:minorTickMark val="none"/>
        <c:tickLblPos val="nextTo"/>
        <c:crossAx val="671903280"/>
        <c:crosses val="autoZero"/>
        <c:auto val="1"/>
        <c:lblAlgn val="ctr"/>
        <c:lblOffset val="100"/>
        <c:noMultiLvlLbl val="0"/>
      </c:catAx>
      <c:spPr>
        <a:noFill/>
        <a:ln w="25400">
          <a:noFill/>
        </a:ln>
      </c:spPr>
    </c:plotArea>
    <c:legend>
      <c:legendPos val="b"/>
      <c:layout>
        <c:manualLayout>
          <c:xMode val="edge"/>
          <c:yMode val="edge"/>
          <c:x val="9.4285714285714292E-2"/>
          <c:y val="0.83098721530776387"/>
          <c:w val="0.77278582677165342"/>
          <c:h val="0.1273719414105495"/>
        </c:manualLayout>
      </c:layout>
      <c:overlay val="0"/>
      <c:spPr>
        <a:noFill/>
        <a:ln w="25400">
          <a:noFill/>
        </a:ln>
      </c:spPr>
      <c:txPr>
        <a:bodyPr/>
        <a:lstStyle/>
        <a:p>
          <a:pPr>
            <a:defRPr>
              <a:solidFill>
                <a:srgbClr val="000000"/>
              </a:solidFill>
            </a:defRPr>
          </a:pPr>
          <a:endParaRPr lang="en-US"/>
        </a:p>
      </c:txPr>
    </c:legend>
    <c:plotVisOnly val="1"/>
    <c:dispBlanksAs val="gap"/>
    <c:showDLblsOverMax val="0"/>
  </c:chart>
  <c:spPr>
    <a:noFill/>
    <a:ln w="6350">
      <a:noFill/>
    </a:ln>
  </c:spPr>
  <c:txPr>
    <a:bodyPr/>
    <a:lstStyle/>
    <a:p>
      <a:pPr>
        <a:defRPr sz="800" b="0" i="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789368948065867"/>
          <c:y val="3.3943092340730133E-2"/>
          <c:w val="0.89210631051934131"/>
          <c:h val="0.75463146893872302"/>
        </c:manualLayout>
      </c:layout>
      <c:barChart>
        <c:barDir val="col"/>
        <c:grouping val="stacked"/>
        <c:varyColors val="0"/>
        <c:ser>
          <c:idx val="0"/>
          <c:order val="0"/>
          <c:tx>
            <c:strRef>
              <c:f>'4.1.Summary'!$D$311:$I$311</c:f>
              <c:strCache>
                <c:ptCount val="6"/>
                <c:pt idx="0">
                  <c:v> Salaries, wages and related costs</c:v>
                </c:pt>
              </c:strCache>
            </c:strRef>
          </c:tx>
          <c:spPr>
            <a:solidFill>
              <a:srgbClr val="00338D"/>
            </a:solidFill>
            <a:ln w="3175">
              <a:solidFill>
                <a:srgbClr val="FFFFFF"/>
              </a:solidFill>
              <a:prstDash val="solid"/>
            </a:ln>
          </c:spPr>
          <c:invertIfNegative val="0"/>
          <c:dLbls>
            <c:spPr>
              <a:noFill/>
              <a:ln>
                <a:noFill/>
              </a:ln>
              <a:effectLst/>
            </c:spPr>
            <c:txPr>
              <a:bodyPr/>
              <a:lstStyle/>
              <a:p>
                <a:pPr>
                  <a:defRPr>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'4.1.Summary'!$J$310:$M$310</c:f>
              <c:strCache>
                <c:ptCount val="4"/>
                <c:pt idx="0">
                  <c:v> 2017e</c:v>
                </c:pt>
                <c:pt idx="1">
                  <c:v> 2018f</c:v>
                </c:pt>
                <c:pt idx="2">
                  <c:v> 2019f</c:v>
                </c:pt>
                <c:pt idx="3">
                  <c:v> 2020f</c:v>
                </c:pt>
              </c:strCache>
            </c:strRef>
          </c:cat>
          <c:val>
            <c:numRef>
              <c:f>'4.1.Summary'!$J$311:$M$311</c:f>
              <c:numCache>
                <c:formatCode>#,##0.0_);\(#,##0.0\);"-  ";" "@</c:formatCode>
                <c:ptCount val="4"/>
                <c:pt idx="0">
                  <c:v>0.24953682413476119</c:v>
                </c:pt>
                <c:pt idx="1">
                  <c:v>0.28008357329608535</c:v>
                </c:pt>
                <c:pt idx="2">
                  <c:v>0.29408775196088971</c:v>
                </c:pt>
                <c:pt idx="3">
                  <c:v>0.3087921395589342</c:v>
                </c:pt>
              </c:numCache>
            </c:numRef>
          </c:val>
        </c:ser>
        <c:ser>
          <c:idx val="1"/>
          <c:order val="1"/>
          <c:tx>
            <c:strRef>
              <c:f>'4.1.Summary'!$D$312:$I$312</c:f>
              <c:strCache>
                <c:ptCount val="6"/>
                <c:pt idx="0">
                  <c:v> Raw materials</c:v>
                </c:pt>
              </c:strCache>
            </c:strRef>
          </c:tx>
          <c:spPr>
            <a:solidFill>
              <a:srgbClr val="005EB8"/>
            </a:solidFill>
            <a:ln w="12700">
              <a:solidFill>
                <a:srgbClr val="FFFFFF"/>
              </a:solidFill>
              <a:prstDash val="solid"/>
            </a:ln>
          </c:spPr>
          <c:invertIfNegative val="0"/>
          <c:dLbls>
            <c:spPr>
              <a:noFill/>
              <a:ln>
                <a:noFill/>
              </a:ln>
              <a:effectLst/>
            </c:spPr>
            <c:txPr>
              <a:bodyPr/>
              <a:lstStyle/>
              <a:p>
                <a:pPr>
                  <a:defRPr>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'4.1.Summary'!$J$310:$M$310</c:f>
              <c:strCache>
                <c:ptCount val="4"/>
                <c:pt idx="0">
                  <c:v> 2017e</c:v>
                </c:pt>
                <c:pt idx="1">
                  <c:v> 2018f</c:v>
                </c:pt>
                <c:pt idx="2">
                  <c:v> 2019f</c:v>
                </c:pt>
                <c:pt idx="3">
                  <c:v> 2020f</c:v>
                </c:pt>
              </c:strCache>
            </c:strRef>
          </c:cat>
          <c:val>
            <c:numRef>
              <c:f>'4.1.Summary'!$J$312:$M$312</c:f>
              <c:numCache>
                <c:formatCode>#,##0.0_);\(#,##0.0\);"-  ";" "@</c:formatCode>
                <c:ptCount val="4"/>
                <c:pt idx="0">
                  <c:v>6.9087134053006185</c:v>
                </c:pt>
                <c:pt idx="1">
                  <c:v>7.2541490755656497</c:v>
                </c:pt>
                <c:pt idx="2">
                  <c:v>7.6168565293439316</c:v>
                </c:pt>
                <c:pt idx="3">
                  <c:v>7.997699355811128</c:v>
                </c:pt>
              </c:numCache>
            </c:numRef>
          </c:val>
        </c:ser>
        <c:ser>
          <c:idx val="2"/>
          <c:order val="2"/>
          <c:tx>
            <c:strRef>
              <c:f>'4.1.Summary'!$D$313:$I$313</c:f>
              <c:strCache>
                <c:ptCount val="6"/>
                <c:pt idx="0">
                  <c:v> Consumables</c:v>
                </c:pt>
              </c:strCache>
            </c:strRef>
          </c:tx>
          <c:spPr>
            <a:solidFill>
              <a:srgbClr val="0091DA"/>
            </a:solidFill>
            <a:ln w="12700">
              <a:solidFill>
                <a:srgbClr val="FFFFFF"/>
              </a:solidFill>
              <a:prstDash val="solid"/>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'4.1.Summary'!$J$310:$M$310</c:f>
              <c:strCache>
                <c:ptCount val="4"/>
                <c:pt idx="0">
                  <c:v> 2017e</c:v>
                </c:pt>
                <c:pt idx="1">
                  <c:v> 2018f</c:v>
                </c:pt>
                <c:pt idx="2">
                  <c:v> 2019f</c:v>
                </c:pt>
                <c:pt idx="3">
                  <c:v> 2020f</c:v>
                </c:pt>
              </c:strCache>
            </c:strRef>
          </c:cat>
          <c:val>
            <c:numRef>
              <c:f>'4.1.Summary'!$J$313:$M$313</c:f>
              <c:numCache>
                <c:formatCode>#,##0.0_);\(#,##0.0\);"-  ";" "@</c:formatCode>
                <c:ptCount val="4"/>
                <c:pt idx="0">
                  <c:v>0.18632005414109615</c:v>
                </c:pt>
                <c:pt idx="1">
                  <c:v>0.19563605684815097</c:v>
                </c:pt>
                <c:pt idx="2">
                  <c:v>0.20541785969055848</c:v>
                </c:pt>
                <c:pt idx="3">
                  <c:v>0.21568875267508641</c:v>
                </c:pt>
              </c:numCache>
            </c:numRef>
          </c:val>
        </c:ser>
        <c:ser>
          <c:idx val="3"/>
          <c:order val="3"/>
          <c:tx>
            <c:strRef>
              <c:f>'4.1.Summary'!$D$314:$I$314</c:f>
              <c:strCache>
                <c:ptCount val="6"/>
                <c:pt idx="0">
                  <c:v>Other operating expenses</c:v>
                </c:pt>
              </c:strCache>
            </c:strRef>
          </c:tx>
          <c:spPr>
            <a:solidFill>
              <a:srgbClr val="00A3A1"/>
            </a:solidFill>
            <a:ln>
              <a:solidFill>
                <a:srgbClr val="FFFFFF"/>
              </a:solidFill>
              <a:prstDash val="solid"/>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'4.1.Summary'!$J$310:$M$310</c:f>
              <c:strCache>
                <c:ptCount val="4"/>
                <c:pt idx="0">
                  <c:v> 2017e</c:v>
                </c:pt>
                <c:pt idx="1">
                  <c:v> 2018f</c:v>
                </c:pt>
                <c:pt idx="2">
                  <c:v> 2019f</c:v>
                </c:pt>
                <c:pt idx="3">
                  <c:v> 2020f</c:v>
                </c:pt>
              </c:strCache>
            </c:strRef>
          </c:cat>
          <c:val>
            <c:numRef>
              <c:f>'4.1.Summary'!$J$314:$M$314</c:f>
              <c:numCache>
                <c:formatCode>#,##0.0_);\(#,##0.0\);"-  ";" "@</c:formatCode>
                <c:ptCount val="4"/>
                <c:pt idx="0">
                  <c:v>3.8284123528029412</c:v>
                </c:pt>
                <c:pt idx="1">
                  <c:v>4.0198329704430895</c:v>
                </c:pt>
                <c:pt idx="2">
                  <c:v>4.2208246189652421</c:v>
                </c:pt>
                <c:pt idx="3">
                  <c:v>4.431865849913506</c:v>
                </c:pt>
              </c:numCache>
            </c:numRef>
          </c:val>
        </c:ser>
        <c:dLbls>
          <c:showLegendKey val="0"/>
          <c:showVal val="0"/>
          <c:showCatName val="0"/>
          <c:showSerName val="0"/>
          <c:showPercent val="0"/>
          <c:showBubbleSize val="0"/>
        </c:dLbls>
        <c:gapWidth val="42"/>
        <c:overlap val="100"/>
        <c:axId val="673648064"/>
        <c:axId val="673646888"/>
      </c:barChart>
      <c:catAx>
        <c:axId val="673648064"/>
        <c:scaling>
          <c:orientation val="minMax"/>
        </c:scaling>
        <c:delete val="0"/>
        <c:axPos val="b"/>
        <c:numFmt formatCode="General" sourceLinked="1"/>
        <c:majorTickMark val="out"/>
        <c:minorTickMark val="none"/>
        <c:tickLblPos val="low"/>
        <c:spPr>
          <a:ln w="3175">
            <a:solidFill>
              <a:srgbClr val="000000"/>
            </a:solidFill>
            <a:prstDash val="solid"/>
          </a:ln>
        </c:spPr>
        <c:crossAx val="673646888"/>
        <c:crosses val="autoZero"/>
        <c:auto val="1"/>
        <c:lblAlgn val="ctr"/>
        <c:lblOffset val="100"/>
        <c:noMultiLvlLbl val="0"/>
      </c:catAx>
      <c:valAx>
        <c:axId val="673646888"/>
        <c:scaling>
          <c:orientation val="minMax"/>
        </c:scaling>
        <c:delete val="0"/>
        <c:axPos val="l"/>
        <c:title>
          <c:tx>
            <c:rich>
              <a:bodyPr rot="-5400000" vert="horz"/>
              <a:lstStyle/>
              <a:p>
                <a:pPr>
                  <a:defRPr/>
                </a:pPr>
                <a:r>
                  <a:rPr lang="en-US"/>
                  <a:t>EURm</a:t>
                </a:r>
              </a:p>
            </c:rich>
          </c:tx>
          <c:layout>
            <c:manualLayout>
              <c:xMode val="edge"/>
              <c:yMode val="edge"/>
              <c:x val="2.7389453974772386E-3"/>
              <c:y val="0.30579940805271688"/>
            </c:manualLayout>
          </c:layout>
          <c:overlay val="0"/>
        </c:title>
        <c:numFmt formatCode="#,##0" sourceLinked="0"/>
        <c:majorTickMark val="out"/>
        <c:minorTickMark val="none"/>
        <c:tickLblPos val="nextTo"/>
        <c:spPr>
          <a:ln w="3175">
            <a:solidFill>
              <a:srgbClr val="000000"/>
            </a:solidFill>
            <a:prstDash val="solid"/>
          </a:ln>
        </c:spPr>
        <c:crossAx val="673648064"/>
        <c:crosses val="autoZero"/>
        <c:crossBetween val="between"/>
      </c:valAx>
      <c:spPr>
        <a:noFill/>
        <a:ln w="25400">
          <a:noFill/>
        </a:ln>
      </c:spPr>
    </c:plotArea>
    <c:legend>
      <c:legendPos val="b"/>
      <c:layout>
        <c:manualLayout>
          <c:xMode val="edge"/>
          <c:yMode val="edge"/>
          <c:x val="9.7462817147856512E-2"/>
          <c:y val="0.89177735761753163"/>
          <c:w val="0.88698080557609871"/>
          <c:h val="0.10679861825782418"/>
        </c:manualLayout>
      </c:layout>
      <c:overlay val="0"/>
      <c:spPr>
        <a:noFill/>
        <a:ln w="25400">
          <a:noFill/>
        </a:ln>
      </c:spPr>
    </c:legend>
    <c:plotVisOnly val="1"/>
    <c:dispBlanksAs val="gap"/>
    <c:showDLblsOverMax val="0"/>
  </c:chart>
  <c:spPr>
    <a:noFill/>
    <a:ln w="6350">
      <a:noFill/>
    </a:ln>
  </c:spPr>
  <c:txPr>
    <a:bodyPr/>
    <a:lstStyle/>
    <a:p>
      <a:pPr>
        <a:defRPr sz="800" b="0" i="0">
          <a:solidFill>
            <a:srgbClr val="000000"/>
          </a:solidFill>
          <a:latin typeface="Univers for KPMG" panose="020B0603020202020204" pitchFamily="34" charset="0"/>
          <a:ea typeface="Arial"/>
          <a:cs typeface="Aria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7589668021175996E-2"/>
          <c:y val="3.3943092340730133E-2"/>
          <c:w val="0.82337768979255666"/>
          <c:h val="0.75463146893872302"/>
        </c:manualLayout>
      </c:layout>
      <c:barChart>
        <c:barDir val="col"/>
        <c:grouping val="clustered"/>
        <c:varyColors val="0"/>
        <c:ser>
          <c:idx val="0"/>
          <c:order val="0"/>
          <c:tx>
            <c:strRef>
              <c:f>'4.1.Summary'!$D$317:$I$317</c:f>
              <c:strCache>
                <c:ptCount val="6"/>
                <c:pt idx="0">
                  <c:v> EBITDA</c:v>
                </c:pt>
              </c:strCache>
            </c:strRef>
          </c:tx>
          <c:spPr>
            <a:solidFill>
              <a:srgbClr val="00338D"/>
            </a:solidFill>
            <a:ln w="3175">
              <a:solidFill>
                <a:srgbClr val="FFFFFF"/>
              </a:solidFill>
              <a:prstDash val="solid"/>
            </a:ln>
          </c:spPr>
          <c:invertIfNegative val="0"/>
          <c:dLbls>
            <c:spPr>
              <a:noFill/>
              <a:ln>
                <a:noFill/>
              </a:ln>
              <a:effectLst/>
            </c:spPr>
            <c:txPr>
              <a:bodyPr/>
              <a:lstStyle/>
              <a:p>
                <a:pPr>
                  <a:defRPr>
                    <a:solidFill>
                      <a:schemeClr val="bg1"/>
                    </a:solidFil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'4.1.Summary'!$J$310:$M$310</c:f>
              <c:strCache>
                <c:ptCount val="4"/>
                <c:pt idx="0">
                  <c:v> 2017e</c:v>
                </c:pt>
                <c:pt idx="1">
                  <c:v> 2018f</c:v>
                </c:pt>
                <c:pt idx="2">
                  <c:v> 2019f</c:v>
                </c:pt>
                <c:pt idx="3">
                  <c:v> 2020f</c:v>
                </c:pt>
              </c:strCache>
            </c:strRef>
          </c:cat>
          <c:val>
            <c:numRef>
              <c:f>'4.1.Summary'!$J$317:$M$317</c:f>
              <c:numCache>
                <c:formatCode>#,##0.0_);\(#,##0.0\);"-  ";" "@</c:formatCode>
                <c:ptCount val="4"/>
                <c:pt idx="0">
                  <c:v>0.79888783813948061</c:v>
                </c:pt>
                <c:pt idx="1">
                  <c:v>0.81739978033496841</c:v>
                </c:pt>
                <c:pt idx="2">
                  <c:v>0.85826976935171839</c:v>
                </c:pt>
                <c:pt idx="3">
                  <c:v>0.90118325781930253</c:v>
                </c:pt>
              </c:numCache>
            </c:numRef>
          </c:val>
        </c:ser>
        <c:ser>
          <c:idx val="1"/>
          <c:order val="1"/>
          <c:tx>
            <c:strRef>
              <c:f>'4.1.Summary'!$D$318:$I$318</c:f>
              <c:strCache>
                <c:ptCount val="6"/>
                <c:pt idx="0">
                  <c:v> EBIT</c:v>
                </c:pt>
              </c:strCache>
            </c:strRef>
          </c:tx>
          <c:spPr>
            <a:solidFill>
              <a:srgbClr val="005EB8"/>
            </a:solidFill>
            <a:ln w="12700">
              <a:solidFill>
                <a:srgbClr val="FFFFFF"/>
              </a:solidFill>
              <a:prstDash val="solid"/>
            </a:ln>
          </c:spPr>
          <c:invertIfNegative val="0"/>
          <c:dLbls>
            <c:dLbl>
              <c:idx val="3"/>
              <c:layout>
                <c:manualLayout>
                  <c:x val="0"/>
                  <c:y val="8.1053698074974673E-2"/>
                </c:manualLayout>
              </c:layout>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a:lstStyle/>
              <a:p>
                <a:pPr>
                  <a:defRPr>
                    <a:solidFill>
                      <a:schemeClr val="tx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'4.1.Summary'!$J$310:$M$310</c:f>
              <c:strCache>
                <c:ptCount val="4"/>
                <c:pt idx="0">
                  <c:v> 2017e</c:v>
                </c:pt>
                <c:pt idx="1">
                  <c:v> 2018f</c:v>
                </c:pt>
                <c:pt idx="2">
                  <c:v> 2019f</c:v>
                </c:pt>
                <c:pt idx="3">
                  <c:v> 2020f</c:v>
                </c:pt>
              </c:strCache>
            </c:strRef>
          </c:cat>
          <c:val>
            <c:numRef>
              <c:f>'4.1.Summary'!$J$318:$M$318</c:f>
              <c:numCache>
                <c:formatCode>#,##0.0_);\(#,##0.0\);"-  ";" "@</c:formatCode>
                <c:ptCount val="4"/>
                <c:pt idx="0">
                  <c:v>0.76413027901514263</c:v>
                </c:pt>
                <c:pt idx="1">
                  <c:v>0.80321810202831745</c:v>
                </c:pt>
                <c:pt idx="2">
                  <c:v>0.85578057627124138</c:v>
                </c:pt>
                <c:pt idx="3">
                  <c:v>0.90066803486883507</c:v>
                </c:pt>
              </c:numCache>
            </c:numRef>
          </c:val>
        </c:ser>
        <c:dLbls>
          <c:showLegendKey val="0"/>
          <c:showVal val="0"/>
          <c:showCatName val="0"/>
          <c:showSerName val="0"/>
          <c:showPercent val="0"/>
          <c:showBubbleSize val="0"/>
        </c:dLbls>
        <c:gapWidth val="42"/>
        <c:axId val="673645320"/>
        <c:axId val="673648848"/>
      </c:barChart>
      <c:lineChart>
        <c:grouping val="standard"/>
        <c:varyColors val="0"/>
        <c:ser>
          <c:idx val="2"/>
          <c:order val="2"/>
          <c:tx>
            <c:strRef>
              <c:f>'4.1.Summary'!$D$319:$I$319</c:f>
              <c:strCache>
                <c:ptCount val="6"/>
                <c:pt idx="0">
                  <c:v> EBITDA mg (%)</c:v>
                </c:pt>
              </c:strCache>
            </c:strRef>
          </c:tx>
          <c:spPr>
            <a:ln w="12700">
              <a:solidFill>
                <a:srgbClr val="6D2077"/>
              </a:solidFill>
              <a:prstDash val="solid"/>
            </a:ln>
          </c:spPr>
          <c:marker>
            <c:spPr>
              <a:solidFill>
                <a:srgbClr val="7030A0"/>
              </a:solidFill>
              <a:ln>
                <a:solidFill>
                  <a:srgbClr val="7030A0"/>
                </a:solidFill>
              </a:ln>
            </c:spPr>
          </c:marker>
          <c:dLbls>
            <c:numFmt formatCode="0.0%" sourceLinked="0"/>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'4.1.Summary'!$J$310:$M$310</c:f>
              <c:strCache>
                <c:ptCount val="4"/>
                <c:pt idx="0">
                  <c:v> 2017e</c:v>
                </c:pt>
                <c:pt idx="1">
                  <c:v> 2018f</c:v>
                </c:pt>
                <c:pt idx="2">
                  <c:v> 2019f</c:v>
                </c:pt>
                <c:pt idx="3">
                  <c:v> 2020f</c:v>
                </c:pt>
              </c:strCache>
            </c:strRef>
          </c:cat>
          <c:val>
            <c:numRef>
              <c:f>'4.1.Summary'!$J$319:$M$319</c:f>
              <c:numCache>
                <c:formatCode>0.0%_);\(0.0%\);"-  ";" "@</c:formatCode>
                <c:ptCount val="4"/>
                <c:pt idx="0">
                  <c:v>6.6730411078189084E-2</c:v>
                </c:pt>
                <c:pt idx="1">
                  <c:v>6.5042824963665286E-2</c:v>
                </c:pt>
                <c:pt idx="2">
                  <c:v>6.504282496366541E-2</c:v>
                </c:pt>
                <c:pt idx="3">
                  <c:v>6.5042824963665272E-2</c:v>
                </c:pt>
              </c:numCache>
            </c:numRef>
          </c:val>
          <c:smooth val="0"/>
        </c:ser>
        <c:ser>
          <c:idx val="3"/>
          <c:order val="3"/>
          <c:tx>
            <c:strRef>
              <c:f>'4.1.Summary'!$D$320:$I$320</c:f>
              <c:strCache>
                <c:ptCount val="6"/>
                <c:pt idx="0">
                  <c:v> EBIT mg (%)</c:v>
                </c:pt>
              </c:strCache>
            </c:strRef>
          </c:tx>
          <c:spPr>
            <a:ln w="12700">
              <a:solidFill>
                <a:srgbClr val="409DAD"/>
              </a:solidFill>
              <a:prstDash val="solid"/>
            </a:ln>
          </c:spPr>
          <c:marker>
            <c:symbol val="diamond"/>
            <c:size val="5"/>
            <c:spPr>
              <a:solidFill>
                <a:srgbClr val="409DAD">
                  <a:alpha val="97000"/>
                </a:srgbClr>
              </a:solidFill>
              <a:ln>
                <a:solidFill>
                  <a:srgbClr val="409DAD"/>
                </a:solidFill>
              </a:ln>
            </c:spPr>
          </c:marker>
          <c:dLbls>
            <c:dLbl>
              <c:idx val="3"/>
              <c:layout>
                <c:manualLayout>
                  <c:x val="0"/>
                  <c:y val="-5.0658561296859283E-3"/>
                </c:manualLayout>
              </c:layout>
              <c:showLegendKey val="0"/>
              <c:showVal val="1"/>
              <c:showCatName val="0"/>
              <c:showSerName val="0"/>
              <c:showPercent val="0"/>
              <c:showBubbleSize val="0"/>
              <c:extLst>
                <c:ext xmlns:c15="http://schemas.microsoft.com/office/drawing/2012/chart" uri="{CE6537A1-D6FC-4f65-9D91-7224C49458BB}">
                  <c15:layout/>
                </c:ext>
              </c:extLst>
            </c:dLbl>
            <c:numFmt formatCode="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'4.1.Summary'!$J$310:$M$310</c:f>
              <c:strCache>
                <c:ptCount val="4"/>
                <c:pt idx="0">
                  <c:v> 2017e</c:v>
                </c:pt>
                <c:pt idx="1">
                  <c:v> 2018f</c:v>
                </c:pt>
                <c:pt idx="2">
                  <c:v> 2019f</c:v>
                </c:pt>
                <c:pt idx="3">
                  <c:v> 2020f</c:v>
                </c:pt>
              </c:strCache>
            </c:strRef>
          </c:cat>
          <c:val>
            <c:numRef>
              <c:f>'4.1.Summary'!$J$320:$M$320</c:f>
              <c:numCache>
                <c:formatCode>0.0%_);\(0.0%\);"-  ";" "@</c:formatCode>
                <c:ptCount val="4"/>
                <c:pt idx="0">
                  <c:v>6.3827142186471911E-2</c:v>
                </c:pt>
                <c:pt idx="1">
                  <c:v>6.3914348492320375E-2</c:v>
                </c:pt>
                <c:pt idx="2">
                  <c:v>6.485418479991302E-2</c:v>
                </c:pt>
                <c:pt idx="3">
                  <c:v>6.500563879104862E-2</c:v>
                </c:pt>
              </c:numCache>
            </c:numRef>
          </c:val>
          <c:smooth val="0"/>
        </c:ser>
        <c:dLbls>
          <c:showLegendKey val="0"/>
          <c:showVal val="0"/>
          <c:showCatName val="0"/>
          <c:showSerName val="0"/>
          <c:showPercent val="0"/>
          <c:showBubbleSize val="0"/>
        </c:dLbls>
        <c:marker val="1"/>
        <c:smooth val="0"/>
        <c:axId val="673645712"/>
        <c:axId val="673648456"/>
      </c:lineChart>
      <c:catAx>
        <c:axId val="673645320"/>
        <c:scaling>
          <c:orientation val="minMax"/>
        </c:scaling>
        <c:delete val="0"/>
        <c:axPos val="b"/>
        <c:numFmt formatCode="General" sourceLinked="1"/>
        <c:majorTickMark val="out"/>
        <c:minorTickMark val="none"/>
        <c:tickLblPos val="low"/>
        <c:spPr>
          <a:ln w="3175">
            <a:solidFill>
              <a:srgbClr val="000000"/>
            </a:solidFill>
            <a:prstDash val="solid"/>
          </a:ln>
        </c:spPr>
        <c:crossAx val="673648848"/>
        <c:crosses val="autoZero"/>
        <c:auto val="1"/>
        <c:lblAlgn val="ctr"/>
        <c:lblOffset val="100"/>
        <c:noMultiLvlLbl val="0"/>
      </c:catAx>
      <c:valAx>
        <c:axId val="673648848"/>
        <c:scaling>
          <c:orientation val="minMax"/>
        </c:scaling>
        <c:delete val="0"/>
        <c:axPos val="l"/>
        <c:title>
          <c:tx>
            <c:rich>
              <a:bodyPr rot="-5400000" vert="horz"/>
              <a:lstStyle/>
              <a:p>
                <a:pPr>
                  <a:defRPr/>
                </a:pPr>
                <a:r>
                  <a:rPr lang="en-US"/>
                  <a:t>EURm</a:t>
                </a:r>
              </a:p>
            </c:rich>
          </c:tx>
          <c:layout>
            <c:manualLayout>
              <c:xMode val="edge"/>
              <c:yMode val="edge"/>
              <c:x val="2.7389453974772386E-3"/>
              <c:y val="0.30579940805271688"/>
            </c:manualLayout>
          </c:layout>
          <c:overlay val="0"/>
        </c:title>
        <c:numFmt formatCode="#,##0" sourceLinked="0"/>
        <c:majorTickMark val="out"/>
        <c:minorTickMark val="none"/>
        <c:tickLblPos val="nextTo"/>
        <c:spPr>
          <a:ln w="3175">
            <a:solidFill>
              <a:srgbClr val="000000"/>
            </a:solidFill>
            <a:prstDash val="solid"/>
          </a:ln>
        </c:spPr>
        <c:crossAx val="673645320"/>
        <c:crosses val="autoZero"/>
        <c:crossBetween val="between"/>
      </c:valAx>
      <c:valAx>
        <c:axId val="673648456"/>
        <c:scaling>
          <c:orientation val="minMax"/>
        </c:scaling>
        <c:delete val="0"/>
        <c:axPos val="r"/>
        <c:numFmt formatCode="0%" sourceLinked="0"/>
        <c:majorTickMark val="out"/>
        <c:minorTickMark val="none"/>
        <c:tickLblPos val="nextTo"/>
        <c:crossAx val="673645712"/>
        <c:crosses val="max"/>
        <c:crossBetween val="between"/>
      </c:valAx>
      <c:catAx>
        <c:axId val="673645712"/>
        <c:scaling>
          <c:orientation val="minMax"/>
        </c:scaling>
        <c:delete val="1"/>
        <c:axPos val="b"/>
        <c:numFmt formatCode="General" sourceLinked="1"/>
        <c:majorTickMark val="out"/>
        <c:minorTickMark val="none"/>
        <c:tickLblPos val="nextTo"/>
        <c:crossAx val="673648456"/>
        <c:crosses val="autoZero"/>
        <c:auto val="1"/>
        <c:lblAlgn val="ctr"/>
        <c:lblOffset val="100"/>
        <c:noMultiLvlLbl val="0"/>
      </c:catAx>
      <c:spPr>
        <a:noFill/>
        <a:ln w="25400">
          <a:noFill/>
        </a:ln>
      </c:spPr>
    </c:plotArea>
    <c:legend>
      <c:legendPos val="b"/>
      <c:layout>
        <c:manualLayout>
          <c:xMode val="edge"/>
          <c:yMode val="edge"/>
          <c:x val="9.7462817147856512E-2"/>
          <c:y val="0.89177735761753163"/>
          <c:w val="0.88698080557609871"/>
          <c:h val="0.10679861825782418"/>
        </c:manualLayout>
      </c:layout>
      <c:overlay val="0"/>
      <c:spPr>
        <a:noFill/>
        <a:ln w="25400">
          <a:noFill/>
        </a:ln>
      </c:spPr>
    </c:legend>
    <c:plotVisOnly val="1"/>
    <c:dispBlanksAs val="gap"/>
    <c:showDLblsOverMax val="0"/>
  </c:chart>
  <c:spPr>
    <a:noFill/>
    <a:ln w="6350">
      <a:noFill/>
    </a:ln>
  </c:spPr>
  <c:txPr>
    <a:bodyPr/>
    <a:lstStyle/>
    <a:p>
      <a:pPr>
        <a:defRPr sz="800" b="0" i="0">
          <a:solidFill>
            <a:srgbClr val="000000"/>
          </a:solidFill>
          <a:latin typeface="Univers for KPMG" panose="020B0603020202020204" pitchFamily="34" charset="0"/>
          <a:ea typeface="Arial"/>
          <a:cs typeface="Aria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169804861348853"/>
          <c:y val="3.3943092340730133E-2"/>
          <c:w val="0.73831152722166815"/>
          <c:h val="0.75463146893872302"/>
        </c:manualLayout>
      </c:layout>
      <c:barChart>
        <c:barDir val="col"/>
        <c:grouping val="clustered"/>
        <c:varyColors val="0"/>
        <c:ser>
          <c:idx val="0"/>
          <c:order val="0"/>
          <c:tx>
            <c:strRef>
              <c:f>'4.1.Summary'!$D$346:$I$346</c:f>
              <c:strCache>
                <c:ptCount val="6"/>
                <c:pt idx="0">
                  <c:v> Maximum installed capacity (kg/ h)</c:v>
                </c:pt>
              </c:strCache>
            </c:strRef>
          </c:tx>
          <c:spPr>
            <a:solidFill>
              <a:srgbClr val="00338D"/>
            </a:solidFill>
            <a:ln w="3175">
              <a:solidFill>
                <a:srgbClr val="FFFFFF"/>
              </a:solidFill>
              <a:prstDash val="solid"/>
            </a:ln>
          </c:spPr>
          <c:invertIfNegative val="0"/>
          <c:dPt>
            <c:idx val="4"/>
            <c:invertIfNegative val="0"/>
            <c:bubble3D val="0"/>
            <c:spPr>
              <a:solidFill>
                <a:srgbClr val="00A3A1"/>
              </a:solidFill>
              <a:ln w="3175">
                <a:solidFill>
                  <a:srgbClr val="FFFFFF"/>
                </a:solidFill>
                <a:prstDash val="solid"/>
              </a:ln>
            </c:spPr>
          </c:dPt>
          <c:dPt>
            <c:idx val="5"/>
            <c:invertIfNegative val="0"/>
            <c:bubble3D val="0"/>
            <c:spPr>
              <a:solidFill>
                <a:srgbClr val="00A3A1"/>
              </a:solidFill>
              <a:ln w="3175">
                <a:solidFill>
                  <a:srgbClr val="FFFFFF"/>
                </a:solidFill>
                <a:prstDash val="solid"/>
              </a:ln>
            </c:spPr>
          </c:dPt>
          <c:dPt>
            <c:idx val="6"/>
            <c:invertIfNegative val="0"/>
            <c:bubble3D val="0"/>
            <c:spPr>
              <a:solidFill>
                <a:srgbClr val="00A3A1"/>
              </a:solidFill>
              <a:ln w="3175">
                <a:solidFill>
                  <a:srgbClr val="FFFFFF"/>
                </a:solidFill>
                <a:prstDash val="solid"/>
              </a:ln>
            </c:spPr>
          </c:dPt>
          <c:dLbls>
            <c:spPr>
              <a:noFill/>
              <a:ln>
                <a:noFill/>
              </a:ln>
              <a:effectLst/>
            </c:spPr>
            <c:txPr>
              <a:bodyPr/>
              <a:lstStyle/>
              <a:p>
                <a:pPr>
                  <a:defRPr>
                    <a:solidFill>
                      <a:schemeClr val="bg1"/>
                    </a:solidFil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'4.1.Summary'!$J$345:$P$345</c:f>
              <c:strCache>
                <c:ptCount val="7"/>
                <c:pt idx="0">
                  <c:v> 2014a</c:v>
                </c:pt>
                <c:pt idx="1">
                  <c:v> 2015a</c:v>
                </c:pt>
                <c:pt idx="2">
                  <c:v> 2016a</c:v>
                </c:pt>
                <c:pt idx="3">
                  <c:v> 2017e</c:v>
                </c:pt>
                <c:pt idx="4">
                  <c:v> 2018f</c:v>
                </c:pt>
                <c:pt idx="5">
                  <c:v> 2019f</c:v>
                </c:pt>
                <c:pt idx="6">
                  <c:v> 2020f</c:v>
                </c:pt>
              </c:strCache>
            </c:strRef>
          </c:cat>
          <c:val>
            <c:numRef>
              <c:f>'4.1.Summary'!$J$346:$P$346</c:f>
              <c:numCache>
                <c:formatCode>#,##0_);\(#,##0\);"-  ";" "@</c:formatCode>
                <c:ptCount val="7"/>
                <c:pt idx="0">
                  <c:v>0</c:v>
                </c:pt>
                <c:pt idx="1">
                  <c:v>0</c:v>
                </c:pt>
                <c:pt idx="2">
                  <c:v>0</c:v>
                </c:pt>
                <c:pt idx="3">
                  <c:v>0</c:v>
                </c:pt>
                <c:pt idx="4">
                  <c:v>0</c:v>
                </c:pt>
                <c:pt idx="5">
                  <c:v>0</c:v>
                </c:pt>
                <c:pt idx="6">
                  <c:v>0</c:v>
                </c:pt>
              </c:numCache>
            </c:numRef>
          </c:val>
        </c:ser>
        <c:dLbls>
          <c:showLegendKey val="0"/>
          <c:showVal val="0"/>
          <c:showCatName val="0"/>
          <c:showSerName val="0"/>
          <c:showPercent val="0"/>
          <c:showBubbleSize val="0"/>
        </c:dLbls>
        <c:gapWidth val="42"/>
        <c:axId val="674798312"/>
        <c:axId val="674799880"/>
      </c:barChart>
      <c:lineChart>
        <c:grouping val="standard"/>
        <c:varyColors val="0"/>
        <c:ser>
          <c:idx val="1"/>
          <c:order val="1"/>
          <c:tx>
            <c:strRef>
              <c:f>'4.1.Summary'!$D$347:$I$347</c:f>
              <c:strCache>
                <c:ptCount val="6"/>
                <c:pt idx="0">
                  <c:v> Average price (EUR/ kg)</c:v>
                </c:pt>
              </c:strCache>
            </c:strRef>
          </c:tx>
          <c:spPr>
            <a:ln w="12700">
              <a:solidFill>
                <a:srgbClr val="7030A0"/>
              </a:solidFill>
              <a:prstDash val="solid"/>
            </a:ln>
          </c:spPr>
          <c:marker>
            <c:spPr>
              <a:solidFill>
                <a:srgbClr val="7030A0"/>
              </a:solidFill>
              <a:ln>
                <a:solidFill>
                  <a:srgbClr val="7030A0"/>
                </a:solidFill>
              </a:ln>
            </c:spPr>
          </c:marker>
          <c:dLbls>
            <c:dLbl>
              <c:idx val="5"/>
              <c:layout>
                <c:manualLayout>
                  <c:x val="-4.5457142580877109E-2"/>
                  <c:y val="4.3492023871655815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a:lstStyle/>
              <a:p>
                <a:pPr>
                  <a:defRPr>
                    <a:solidFill>
                      <a:schemeClr val="tx1"/>
                    </a:solidFil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'4.1.Summary'!$J$345:$P$345</c:f>
              <c:strCache>
                <c:ptCount val="7"/>
                <c:pt idx="0">
                  <c:v> 2014a</c:v>
                </c:pt>
                <c:pt idx="1">
                  <c:v> 2015a</c:v>
                </c:pt>
                <c:pt idx="2">
                  <c:v> 2016a</c:v>
                </c:pt>
                <c:pt idx="3">
                  <c:v> 2017e</c:v>
                </c:pt>
                <c:pt idx="4">
                  <c:v> 2018f</c:v>
                </c:pt>
                <c:pt idx="5">
                  <c:v> 2019f</c:v>
                </c:pt>
                <c:pt idx="6">
                  <c:v> 2020f</c:v>
                </c:pt>
              </c:strCache>
            </c:strRef>
          </c:cat>
          <c:val>
            <c:numRef>
              <c:f>'4.1.Summary'!$J$347:$P$347</c:f>
              <c:numCache>
                <c:formatCode>#,##0.00_);\(#,##0.00\);"-  ";" "@</c:formatCode>
                <c:ptCount val="7"/>
                <c:pt idx="0">
                  <c:v>0</c:v>
                </c:pt>
                <c:pt idx="1">
                  <c:v>0</c:v>
                </c:pt>
                <c:pt idx="2">
                  <c:v>0</c:v>
                </c:pt>
                <c:pt idx="3">
                  <c:v>0</c:v>
                </c:pt>
                <c:pt idx="4">
                  <c:v>0</c:v>
                </c:pt>
                <c:pt idx="5">
                  <c:v>0</c:v>
                </c:pt>
                <c:pt idx="6">
                  <c:v>0</c:v>
                </c:pt>
              </c:numCache>
            </c:numRef>
          </c:val>
          <c:smooth val="0"/>
        </c:ser>
        <c:dLbls>
          <c:showLegendKey val="0"/>
          <c:showVal val="0"/>
          <c:showCatName val="0"/>
          <c:showSerName val="0"/>
          <c:showPercent val="0"/>
          <c:showBubbleSize val="0"/>
        </c:dLbls>
        <c:marker val="1"/>
        <c:smooth val="0"/>
        <c:axId val="674799096"/>
        <c:axId val="674799488"/>
      </c:lineChart>
      <c:catAx>
        <c:axId val="674798312"/>
        <c:scaling>
          <c:orientation val="minMax"/>
        </c:scaling>
        <c:delete val="0"/>
        <c:axPos val="b"/>
        <c:numFmt formatCode="General" sourceLinked="1"/>
        <c:majorTickMark val="out"/>
        <c:minorTickMark val="none"/>
        <c:tickLblPos val="low"/>
        <c:spPr>
          <a:ln w="3175">
            <a:solidFill>
              <a:srgbClr val="000000"/>
            </a:solidFill>
            <a:prstDash val="solid"/>
          </a:ln>
        </c:spPr>
        <c:crossAx val="674799880"/>
        <c:crosses val="autoZero"/>
        <c:auto val="1"/>
        <c:lblAlgn val="ctr"/>
        <c:lblOffset val="100"/>
        <c:noMultiLvlLbl val="0"/>
      </c:catAx>
      <c:valAx>
        <c:axId val="674799880"/>
        <c:scaling>
          <c:orientation val="minMax"/>
        </c:scaling>
        <c:delete val="0"/>
        <c:axPos val="l"/>
        <c:title>
          <c:tx>
            <c:rich>
              <a:bodyPr rot="-5400000" vert="horz"/>
              <a:lstStyle/>
              <a:p>
                <a:pPr>
                  <a:defRPr/>
                </a:pPr>
                <a:r>
                  <a:rPr lang="en-US"/>
                  <a:t>kg/</a:t>
                </a:r>
                <a:r>
                  <a:rPr lang="en-US" baseline="0"/>
                  <a:t> h</a:t>
                </a:r>
                <a:endParaRPr lang="en-US"/>
              </a:p>
            </c:rich>
          </c:tx>
          <c:layout>
            <c:manualLayout>
              <c:xMode val="edge"/>
              <c:yMode val="edge"/>
              <c:x val="2.7390361649028278E-3"/>
              <c:y val="0.32606283257146046"/>
            </c:manualLayout>
          </c:layout>
          <c:overlay val="0"/>
        </c:title>
        <c:numFmt formatCode="#,##0" sourceLinked="0"/>
        <c:majorTickMark val="out"/>
        <c:minorTickMark val="none"/>
        <c:tickLblPos val="nextTo"/>
        <c:spPr>
          <a:ln w="3175">
            <a:solidFill>
              <a:srgbClr val="000000"/>
            </a:solidFill>
            <a:prstDash val="solid"/>
          </a:ln>
        </c:spPr>
        <c:crossAx val="674798312"/>
        <c:crosses val="autoZero"/>
        <c:crossBetween val="between"/>
      </c:valAx>
      <c:valAx>
        <c:axId val="674799488"/>
        <c:scaling>
          <c:orientation val="minMax"/>
        </c:scaling>
        <c:delete val="0"/>
        <c:axPos val="r"/>
        <c:title>
          <c:tx>
            <c:rich>
              <a:bodyPr/>
              <a:lstStyle/>
              <a:p>
                <a:pPr>
                  <a:defRPr/>
                </a:pPr>
                <a:r>
                  <a:rPr lang="en-US"/>
                  <a:t>EUR/ kg</a:t>
                </a:r>
              </a:p>
            </c:rich>
          </c:tx>
          <c:layout/>
          <c:overlay val="0"/>
        </c:title>
        <c:numFmt formatCode="#,##0.00_);\(#,##0.00\);&quot;-  &quot;;&quot; &quot;@" sourceLinked="1"/>
        <c:majorTickMark val="out"/>
        <c:minorTickMark val="none"/>
        <c:tickLblPos val="nextTo"/>
        <c:crossAx val="674799096"/>
        <c:crosses val="max"/>
        <c:crossBetween val="between"/>
      </c:valAx>
      <c:catAx>
        <c:axId val="674799096"/>
        <c:scaling>
          <c:orientation val="minMax"/>
        </c:scaling>
        <c:delete val="1"/>
        <c:axPos val="b"/>
        <c:numFmt formatCode="General" sourceLinked="1"/>
        <c:majorTickMark val="out"/>
        <c:minorTickMark val="none"/>
        <c:tickLblPos val="nextTo"/>
        <c:crossAx val="674799488"/>
        <c:crosses val="autoZero"/>
        <c:auto val="1"/>
        <c:lblAlgn val="ctr"/>
        <c:lblOffset val="100"/>
        <c:noMultiLvlLbl val="0"/>
      </c:catAx>
      <c:spPr>
        <a:noFill/>
        <a:ln w="25400">
          <a:noFill/>
        </a:ln>
      </c:spPr>
    </c:plotArea>
    <c:legend>
      <c:legendPos val="b"/>
      <c:layout>
        <c:manualLayout>
          <c:xMode val="edge"/>
          <c:yMode val="edge"/>
          <c:x val="9.7462817147856512E-2"/>
          <c:y val="0.89177735761753163"/>
          <c:w val="0.88698080557609871"/>
          <c:h val="0.10679861825782418"/>
        </c:manualLayout>
      </c:layout>
      <c:overlay val="0"/>
      <c:spPr>
        <a:noFill/>
        <a:ln w="25400">
          <a:noFill/>
        </a:ln>
      </c:spPr>
    </c:legend>
    <c:plotVisOnly val="1"/>
    <c:dispBlanksAs val="gap"/>
    <c:showDLblsOverMax val="0"/>
  </c:chart>
  <c:spPr>
    <a:noFill/>
    <a:ln w="6350">
      <a:noFill/>
    </a:ln>
  </c:spPr>
  <c:txPr>
    <a:bodyPr/>
    <a:lstStyle/>
    <a:p>
      <a:pPr>
        <a:defRPr sz="800" b="0" i="0">
          <a:solidFill>
            <a:srgbClr val="000000"/>
          </a:solidFill>
          <a:latin typeface="Univers for KPMG" panose="020B0603020202020204" pitchFamily="34" charset="0"/>
          <a:ea typeface="Arial"/>
          <a:cs typeface="Aria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9385197696209422E-2"/>
          <c:y val="3.3943122947327917E-2"/>
          <c:w val="0.6205051956475981"/>
          <c:h val="0.89870263486481661"/>
        </c:manualLayout>
      </c:layout>
      <c:barChart>
        <c:barDir val="col"/>
        <c:grouping val="stacked"/>
        <c:varyColors val="0"/>
        <c:ser>
          <c:idx val="0"/>
          <c:order val="0"/>
          <c:tx>
            <c:strRef>
              <c:f>'4.1.Summary'!$D$369:$I$369</c:f>
              <c:strCache>
                <c:ptCount val="6"/>
                <c:pt idx="0">
                  <c:v>Inventories</c:v>
                </c:pt>
              </c:strCache>
            </c:strRef>
          </c:tx>
          <c:spPr>
            <a:solidFill>
              <a:srgbClr val="00338D"/>
            </a:solidFill>
            <a:ln w="3175">
              <a:solidFill>
                <a:srgbClr val="FFFFFF"/>
              </a:solidFill>
              <a:prstDash val="solid"/>
            </a:ln>
          </c:spPr>
          <c:invertIfNegative val="0"/>
          <c:dPt>
            <c:idx val="4"/>
            <c:invertIfNegative val="0"/>
            <c:bubble3D val="0"/>
          </c:dPt>
          <c:dPt>
            <c:idx val="5"/>
            <c:invertIfNegative val="0"/>
            <c:bubble3D val="0"/>
          </c:dPt>
          <c:dPt>
            <c:idx val="6"/>
            <c:invertIfNegative val="0"/>
            <c:bubble3D val="0"/>
          </c:dPt>
          <c:cat>
            <c:strRef>
              <c:f>'4.1.Summary'!$J$368:$P$368</c:f>
              <c:strCache>
                <c:ptCount val="7"/>
                <c:pt idx="0">
                  <c:v> 2014a</c:v>
                </c:pt>
                <c:pt idx="1">
                  <c:v> 2015a</c:v>
                </c:pt>
                <c:pt idx="2">
                  <c:v> 2016a</c:v>
                </c:pt>
                <c:pt idx="3">
                  <c:v> 2017e</c:v>
                </c:pt>
                <c:pt idx="4">
                  <c:v> 2018f</c:v>
                </c:pt>
                <c:pt idx="5">
                  <c:v> 2019f</c:v>
                </c:pt>
                <c:pt idx="6">
                  <c:v> 2020f</c:v>
                </c:pt>
              </c:strCache>
            </c:strRef>
          </c:cat>
          <c:val>
            <c:numRef>
              <c:f>'4.1.Summary'!$J$369:$P$369</c:f>
              <c:numCache>
                <c:formatCode>#,##0.0_);\(#,##0.0\);"-  ";" "@</c:formatCode>
                <c:ptCount val="7"/>
                <c:pt idx="0">
                  <c:v>0.83017515800136532</c:v>
                </c:pt>
                <c:pt idx="1">
                  <c:v>0.88010040560551106</c:v>
                </c:pt>
                <c:pt idx="2">
                  <c:v>0.81826755076223767</c:v>
                </c:pt>
                <c:pt idx="3">
                  <c:v>1.4976596951428052</c:v>
                </c:pt>
                <c:pt idx="4">
                  <c:v>1.5682461152007656</c:v>
                </c:pt>
                <c:pt idx="5">
                  <c:v>1.6511698138949429</c:v>
                </c:pt>
                <c:pt idx="6">
                  <c:v>1.7337283045896903</c:v>
                </c:pt>
              </c:numCache>
            </c:numRef>
          </c:val>
        </c:ser>
        <c:ser>
          <c:idx val="2"/>
          <c:order val="2"/>
          <c:tx>
            <c:strRef>
              <c:f>'4.1.Summary'!$D$371:$I$371</c:f>
              <c:strCache>
                <c:ptCount val="6"/>
                <c:pt idx="0">
                  <c:v>Finished goods</c:v>
                </c:pt>
              </c:strCache>
            </c:strRef>
          </c:tx>
          <c:spPr>
            <a:solidFill>
              <a:srgbClr val="005EB8"/>
            </a:solidFill>
            <a:ln>
              <a:solidFill>
                <a:srgbClr val="FFFFFF"/>
              </a:solidFill>
              <a:prstDash val="solid"/>
            </a:ln>
          </c:spPr>
          <c:invertIfNegative val="0"/>
          <c:cat>
            <c:strRef>
              <c:f>'4.1.Summary'!$J$368:$P$368</c:f>
              <c:strCache>
                <c:ptCount val="7"/>
                <c:pt idx="0">
                  <c:v> 2014a</c:v>
                </c:pt>
                <c:pt idx="1">
                  <c:v> 2015a</c:v>
                </c:pt>
                <c:pt idx="2">
                  <c:v> 2016a</c:v>
                </c:pt>
                <c:pt idx="3">
                  <c:v> 2017e</c:v>
                </c:pt>
                <c:pt idx="4">
                  <c:v> 2018f</c:v>
                </c:pt>
                <c:pt idx="5">
                  <c:v> 2019f</c:v>
                </c:pt>
                <c:pt idx="6">
                  <c:v> 2020f</c:v>
                </c:pt>
              </c:strCache>
            </c:strRef>
          </c:cat>
          <c:val>
            <c:numRef>
              <c:f>'4.1.Summary'!$J$371:$P$371</c:f>
              <c:numCache>
                <c:formatCode>#,##0.0_);\(#,##0.0\);"-  ";" "@</c:formatCode>
                <c:ptCount val="7"/>
                <c:pt idx="0">
                  <c:v>0</c:v>
                </c:pt>
                <c:pt idx="1">
                  <c:v>0</c:v>
                </c:pt>
                <c:pt idx="2">
                  <c:v>0</c:v>
                </c:pt>
                <c:pt idx="3">
                  <c:v>0</c:v>
                </c:pt>
                <c:pt idx="4">
                  <c:v>0</c:v>
                </c:pt>
                <c:pt idx="5">
                  <c:v>0</c:v>
                </c:pt>
                <c:pt idx="6">
                  <c:v>0</c:v>
                </c:pt>
              </c:numCache>
            </c:numRef>
          </c:val>
        </c:ser>
        <c:ser>
          <c:idx val="3"/>
          <c:order val="3"/>
          <c:tx>
            <c:strRef>
              <c:f>'4.1.Summary'!$D$372:$I$372</c:f>
              <c:strCache>
                <c:ptCount val="6"/>
                <c:pt idx="0">
                  <c:v>Good purchased for resale</c:v>
                </c:pt>
              </c:strCache>
            </c:strRef>
          </c:tx>
          <c:spPr>
            <a:solidFill>
              <a:srgbClr val="0091DA"/>
            </a:solidFill>
            <a:ln>
              <a:solidFill>
                <a:srgbClr val="FFFFFF"/>
              </a:solidFill>
              <a:prstDash val="solid"/>
            </a:ln>
          </c:spPr>
          <c:invertIfNegative val="0"/>
          <c:cat>
            <c:strRef>
              <c:f>'4.1.Summary'!$J$368:$P$368</c:f>
              <c:strCache>
                <c:ptCount val="7"/>
                <c:pt idx="0">
                  <c:v> 2014a</c:v>
                </c:pt>
                <c:pt idx="1">
                  <c:v> 2015a</c:v>
                </c:pt>
                <c:pt idx="2">
                  <c:v> 2016a</c:v>
                </c:pt>
                <c:pt idx="3">
                  <c:v> 2017e</c:v>
                </c:pt>
                <c:pt idx="4">
                  <c:v> 2018f</c:v>
                </c:pt>
                <c:pt idx="5">
                  <c:v> 2019f</c:v>
                </c:pt>
                <c:pt idx="6">
                  <c:v> 2020f</c:v>
                </c:pt>
              </c:strCache>
            </c:strRef>
          </c:cat>
          <c:val>
            <c:numRef>
              <c:f>'4.1.Summary'!$J$372:$P$372</c:f>
              <c:numCache>
                <c:formatCode>#,##0.0_);\(#,##0.0\);"-  ";" "@</c:formatCode>
                <c:ptCount val="7"/>
                <c:pt idx="0">
                  <c:v>0.12638594393428901</c:v>
                </c:pt>
                <c:pt idx="1">
                  <c:v>0.17018887911238922</c:v>
                </c:pt>
                <c:pt idx="2">
                  <c:v>0.19335052852762713</c:v>
                </c:pt>
                <c:pt idx="3">
                  <c:v>0.27780385420002873</c:v>
                </c:pt>
                <c:pt idx="4">
                  <c:v>0.29089706863978426</c:v>
                </c:pt>
                <c:pt idx="5">
                  <c:v>0.30627874925553167</c:v>
                </c:pt>
                <c:pt idx="6">
                  <c:v>0.32159268671830837</c:v>
                </c:pt>
              </c:numCache>
            </c:numRef>
          </c:val>
        </c:ser>
        <c:ser>
          <c:idx val="4"/>
          <c:order val="4"/>
          <c:tx>
            <c:strRef>
              <c:f>'4.1.Summary'!$D$373:$I$373</c:f>
              <c:strCache>
                <c:ptCount val="6"/>
                <c:pt idx="0">
                  <c:v>Trade receivables</c:v>
                </c:pt>
              </c:strCache>
            </c:strRef>
          </c:tx>
          <c:spPr>
            <a:solidFill>
              <a:srgbClr val="00A3A1"/>
            </a:solidFill>
            <a:ln>
              <a:solidFill>
                <a:srgbClr val="FFFFFF"/>
              </a:solidFill>
              <a:prstDash val="solid"/>
            </a:ln>
          </c:spPr>
          <c:invertIfNegative val="0"/>
          <c:cat>
            <c:strRef>
              <c:f>'4.1.Summary'!$J$368:$P$368</c:f>
              <c:strCache>
                <c:ptCount val="7"/>
                <c:pt idx="0">
                  <c:v> 2014a</c:v>
                </c:pt>
                <c:pt idx="1">
                  <c:v> 2015a</c:v>
                </c:pt>
                <c:pt idx="2">
                  <c:v> 2016a</c:v>
                </c:pt>
                <c:pt idx="3">
                  <c:v> 2017e</c:v>
                </c:pt>
                <c:pt idx="4">
                  <c:v> 2018f</c:v>
                </c:pt>
                <c:pt idx="5">
                  <c:v> 2019f</c:v>
                </c:pt>
                <c:pt idx="6">
                  <c:v> 2020f</c:v>
                </c:pt>
              </c:strCache>
            </c:strRef>
          </c:cat>
          <c:val>
            <c:numRef>
              <c:f>'4.1.Summary'!$J$373:$P$373</c:f>
              <c:numCache>
                <c:formatCode>#,##0.0_);\(#,##0.0\);"-  ";" "@</c:formatCode>
                <c:ptCount val="7"/>
                <c:pt idx="0">
                  <c:v>1.3150645526414302</c:v>
                </c:pt>
                <c:pt idx="1">
                  <c:v>2.0941817048307829</c:v>
                </c:pt>
                <c:pt idx="2">
                  <c:v>1.1812725251399043</c:v>
                </c:pt>
                <c:pt idx="3">
                  <c:v>2.5192859041075875</c:v>
                </c:pt>
                <c:pt idx="4">
                  <c:v>2.6380227397520031</c:v>
                </c:pt>
                <c:pt idx="5">
                  <c:v>2.7775127092786152</c:v>
                </c:pt>
                <c:pt idx="6">
                  <c:v>2.916388344742546</c:v>
                </c:pt>
              </c:numCache>
            </c:numRef>
          </c:val>
        </c:ser>
        <c:ser>
          <c:idx val="5"/>
          <c:order val="5"/>
          <c:tx>
            <c:strRef>
              <c:f>'4.1.Summary'!$D$374:$I$374</c:f>
              <c:strCache>
                <c:ptCount val="6"/>
                <c:pt idx="0">
                  <c:v>Other receivables</c:v>
                </c:pt>
              </c:strCache>
            </c:strRef>
          </c:tx>
          <c:spPr>
            <a:solidFill>
              <a:srgbClr val="43B02A"/>
            </a:solidFill>
            <a:ln>
              <a:solidFill>
                <a:srgbClr val="FFFFFF"/>
              </a:solidFill>
              <a:prstDash val="solid"/>
            </a:ln>
          </c:spPr>
          <c:invertIfNegative val="0"/>
          <c:cat>
            <c:strRef>
              <c:f>'4.1.Summary'!$J$368:$P$368</c:f>
              <c:strCache>
                <c:ptCount val="7"/>
                <c:pt idx="0">
                  <c:v> 2014a</c:v>
                </c:pt>
                <c:pt idx="1">
                  <c:v> 2015a</c:v>
                </c:pt>
                <c:pt idx="2">
                  <c:v> 2016a</c:v>
                </c:pt>
                <c:pt idx="3">
                  <c:v> 2017e</c:v>
                </c:pt>
                <c:pt idx="4">
                  <c:v> 2018f</c:v>
                </c:pt>
                <c:pt idx="5">
                  <c:v> 2019f</c:v>
                </c:pt>
                <c:pt idx="6">
                  <c:v> 2020f</c:v>
                </c:pt>
              </c:strCache>
            </c:strRef>
          </c:cat>
          <c:val>
            <c:numRef>
              <c:f>'4.1.Summary'!$J$374:$P$374</c:f>
              <c:numCache>
                <c:formatCode>#,##0.0_);\(#,##0.0\);"-  ";" "@</c:formatCode>
                <c:ptCount val="7"/>
                <c:pt idx="0">
                  <c:v>7.334137543766929E-2</c:v>
                </c:pt>
                <c:pt idx="1">
                  <c:v>0.31786856449986051</c:v>
                </c:pt>
                <c:pt idx="2">
                  <c:v>-1.5974013164947787E-2</c:v>
                </c:pt>
                <c:pt idx="3">
                  <c:v>0.18014829337204424</c:v>
                </c:pt>
                <c:pt idx="4">
                  <c:v>0.18863888916621846</c:v>
                </c:pt>
                <c:pt idx="5">
                  <c:v>0.19861349344267876</c:v>
                </c:pt>
                <c:pt idx="6">
                  <c:v>0.20854416811481269</c:v>
                </c:pt>
              </c:numCache>
            </c:numRef>
          </c:val>
        </c:ser>
        <c:ser>
          <c:idx val="7"/>
          <c:order val="7"/>
          <c:tx>
            <c:strRef>
              <c:f>'4.1.Summary'!$D$376:$I$376</c:f>
              <c:strCache>
                <c:ptCount val="6"/>
                <c:pt idx="0">
                  <c:v>Prepayments</c:v>
                </c:pt>
              </c:strCache>
            </c:strRef>
          </c:tx>
          <c:spPr>
            <a:solidFill>
              <a:srgbClr val="753F19"/>
            </a:solidFill>
            <a:ln>
              <a:solidFill>
                <a:srgbClr val="FFFFFF"/>
              </a:solidFill>
              <a:prstDash val="solid"/>
            </a:ln>
          </c:spPr>
          <c:invertIfNegative val="0"/>
          <c:cat>
            <c:strRef>
              <c:f>'4.1.Summary'!$J$368:$P$368</c:f>
              <c:strCache>
                <c:ptCount val="7"/>
                <c:pt idx="0">
                  <c:v> 2014a</c:v>
                </c:pt>
                <c:pt idx="1">
                  <c:v> 2015a</c:v>
                </c:pt>
                <c:pt idx="2">
                  <c:v> 2016a</c:v>
                </c:pt>
                <c:pt idx="3">
                  <c:v> 2017e</c:v>
                </c:pt>
                <c:pt idx="4">
                  <c:v> 2018f</c:v>
                </c:pt>
                <c:pt idx="5">
                  <c:v> 2019f</c:v>
                </c:pt>
                <c:pt idx="6">
                  <c:v> 2020f</c:v>
                </c:pt>
              </c:strCache>
            </c:strRef>
          </c:cat>
          <c:val>
            <c:numRef>
              <c:f>'4.1.Summary'!$J$376:$P$376</c:f>
              <c:numCache>
                <c:formatCode>#,##0.0_);\(#,##0.0\);"-  ";" "@</c:formatCode>
                <c:ptCount val="7"/>
                <c:pt idx="0">
                  <c:v>0.2242534628173791</c:v>
                </c:pt>
                <c:pt idx="1">
                  <c:v>0.71312222675279546</c:v>
                </c:pt>
                <c:pt idx="2">
                  <c:v>0.38649156285512121</c:v>
                </c:pt>
                <c:pt idx="3">
                  <c:v>0.67226699645175503</c:v>
                </c:pt>
                <c:pt idx="4">
                  <c:v>0.7039517114484567</c:v>
                </c:pt>
                <c:pt idx="5">
                  <c:v>0.74117436358805988</c:v>
                </c:pt>
                <c:pt idx="6">
                  <c:v>0.77823308176746298</c:v>
                </c:pt>
              </c:numCache>
            </c:numRef>
          </c:val>
        </c:ser>
        <c:ser>
          <c:idx val="10"/>
          <c:order val="10"/>
          <c:tx>
            <c:strRef>
              <c:f>'4.1.Summary'!$D$379:$I$379</c:f>
              <c:strCache>
                <c:ptCount val="6"/>
                <c:pt idx="0">
                  <c:v>Advances from clients</c:v>
                </c:pt>
              </c:strCache>
            </c:strRef>
          </c:tx>
          <c:spPr>
            <a:solidFill>
              <a:srgbClr val="FF6877"/>
            </a:solidFill>
            <a:ln>
              <a:solidFill>
                <a:srgbClr val="FFFFFF"/>
              </a:solidFill>
              <a:prstDash val="solid"/>
            </a:ln>
          </c:spPr>
          <c:invertIfNegative val="0"/>
          <c:cat>
            <c:strRef>
              <c:f>'4.1.Summary'!$J$368:$P$368</c:f>
              <c:strCache>
                <c:ptCount val="7"/>
                <c:pt idx="0">
                  <c:v> 2014a</c:v>
                </c:pt>
                <c:pt idx="1">
                  <c:v> 2015a</c:v>
                </c:pt>
                <c:pt idx="2">
                  <c:v> 2016a</c:v>
                </c:pt>
                <c:pt idx="3">
                  <c:v> 2017e</c:v>
                </c:pt>
                <c:pt idx="4">
                  <c:v> 2018f</c:v>
                </c:pt>
                <c:pt idx="5">
                  <c:v> 2019f</c:v>
                </c:pt>
                <c:pt idx="6">
                  <c:v> 2020f</c:v>
                </c:pt>
              </c:strCache>
            </c:strRef>
          </c:cat>
          <c:val>
            <c:numRef>
              <c:f>'4.1.Summary'!$J$379:$P$379</c:f>
              <c:numCache>
                <c:formatCode>#,##0.0_);\(#,##0.0\);"-  ";" "@</c:formatCode>
                <c:ptCount val="7"/>
                <c:pt idx="0">
                  <c:v>-0.97191871572966893</c:v>
                </c:pt>
                <c:pt idx="1">
                  <c:v>-2.1544197888276071</c:v>
                </c:pt>
                <c:pt idx="2">
                  <c:v>-1.9365341345226099</c:v>
                </c:pt>
                <c:pt idx="3">
                  <c:v>-2.9187616906968419</c:v>
                </c:pt>
                <c:pt idx="4">
                  <c:v>-3.0563262785780458</c:v>
                </c:pt>
                <c:pt idx="5">
                  <c:v>-3.2179347639932674</c:v>
                </c:pt>
                <c:pt idx="6">
                  <c:v>-3.3788315021929316</c:v>
                </c:pt>
              </c:numCache>
            </c:numRef>
          </c:val>
        </c:ser>
        <c:ser>
          <c:idx val="11"/>
          <c:order val="11"/>
          <c:tx>
            <c:strRef>
              <c:f>'4.1.Summary'!$D$380:$I$380</c:f>
              <c:strCache>
                <c:ptCount val="6"/>
                <c:pt idx="0">
                  <c:v>Trade payables</c:v>
                </c:pt>
              </c:strCache>
            </c:strRef>
          </c:tx>
          <c:spPr>
            <a:solidFill>
              <a:srgbClr val="C6007E"/>
            </a:solidFill>
            <a:ln>
              <a:solidFill>
                <a:srgbClr val="FFFFFF"/>
              </a:solidFill>
              <a:prstDash val="solid"/>
            </a:ln>
          </c:spPr>
          <c:invertIfNegative val="0"/>
          <c:cat>
            <c:strRef>
              <c:f>'4.1.Summary'!$J$368:$P$368</c:f>
              <c:strCache>
                <c:ptCount val="7"/>
                <c:pt idx="0">
                  <c:v> 2014a</c:v>
                </c:pt>
                <c:pt idx="1">
                  <c:v> 2015a</c:v>
                </c:pt>
                <c:pt idx="2">
                  <c:v> 2016a</c:v>
                </c:pt>
                <c:pt idx="3">
                  <c:v> 2017e</c:v>
                </c:pt>
                <c:pt idx="4">
                  <c:v> 2018f</c:v>
                </c:pt>
                <c:pt idx="5">
                  <c:v> 2019f</c:v>
                </c:pt>
                <c:pt idx="6">
                  <c:v> 2020f</c:v>
                </c:pt>
              </c:strCache>
            </c:strRef>
          </c:cat>
          <c:val>
            <c:numRef>
              <c:f>'4.1.Summary'!$J$380:$P$380</c:f>
              <c:numCache>
                <c:formatCode>#,##0.0_);\(#,##0.0\);"-  ";" "@</c:formatCode>
                <c:ptCount val="7"/>
                <c:pt idx="0">
                  <c:v>-1.3421991499856865</c:v>
                </c:pt>
                <c:pt idx="1">
                  <c:v>-1.6861100907783761</c:v>
                </c:pt>
                <c:pt idx="2">
                  <c:v>-1.10231445571303</c:v>
                </c:pt>
                <c:pt idx="3">
                  <c:v>-2.2630677615906754</c:v>
                </c:pt>
                <c:pt idx="4">
                  <c:v>-2.3697287421574487</c:v>
                </c:pt>
                <c:pt idx="5">
                  <c:v>-2.4950322071537188</c:v>
                </c:pt>
                <c:pt idx="6">
                  <c:v>-2.6197838175114052</c:v>
                </c:pt>
              </c:numCache>
            </c:numRef>
          </c:val>
        </c:ser>
        <c:ser>
          <c:idx val="12"/>
          <c:order val="12"/>
          <c:tx>
            <c:strRef>
              <c:f>'4.1.Summary'!$D$381:$I$381</c:f>
              <c:strCache>
                <c:ptCount val="6"/>
                <c:pt idx="0">
                  <c:v>Suppliers of non-current assets</c:v>
                </c:pt>
              </c:strCache>
            </c:strRef>
          </c:tx>
          <c:spPr>
            <a:solidFill>
              <a:srgbClr val="6D2077"/>
            </a:solidFill>
            <a:ln>
              <a:solidFill>
                <a:srgbClr val="FFFFFF"/>
              </a:solidFill>
              <a:prstDash val="solid"/>
            </a:ln>
          </c:spPr>
          <c:invertIfNegative val="0"/>
          <c:cat>
            <c:strRef>
              <c:f>'4.1.Summary'!$J$368:$P$368</c:f>
              <c:strCache>
                <c:ptCount val="7"/>
                <c:pt idx="0">
                  <c:v> 2014a</c:v>
                </c:pt>
                <c:pt idx="1">
                  <c:v> 2015a</c:v>
                </c:pt>
                <c:pt idx="2">
                  <c:v> 2016a</c:v>
                </c:pt>
                <c:pt idx="3">
                  <c:v> 2017e</c:v>
                </c:pt>
                <c:pt idx="4">
                  <c:v> 2018f</c:v>
                </c:pt>
                <c:pt idx="5">
                  <c:v> 2019f</c:v>
                </c:pt>
                <c:pt idx="6">
                  <c:v> 2020f</c:v>
                </c:pt>
              </c:strCache>
            </c:strRef>
          </c:cat>
          <c:val>
            <c:numRef>
              <c:f>'4.1.Summary'!$J$381:$P$381</c:f>
              <c:numCache>
                <c:formatCode>#,##0.0_);\(#,##0.0\);"-  ";" "@</c:formatCode>
                <c:ptCount val="7"/>
                <c:pt idx="0">
                  <c:v>0</c:v>
                </c:pt>
                <c:pt idx="1">
                  <c:v>0</c:v>
                </c:pt>
                <c:pt idx="2">
                  <c:v>0</c:v>
                </c:pt>
                <c:pt idx="3">
                  <c:v>0</c:v>
                </c:pt>
                <c:pt idx="4">
                  <c:v>0</c:v>
                </c:pt>
                <c:pt idx="5">
                  <c:v>0</c:v>
                </c:pt>
                <c:pt idx="6">
                  <c:v>0</c:v>
                </c:pt>
              </c:numCache>
            </c:numRef>
          </c:val>
        </c:ser>
        <c:ser>
          <c:idx val="13"/>
          <c:order val="13"/>
          <c:tx>
            <c:strRef>
              <c:f>'4.1.Summary'!$D$382:$I$382</c:f>
              <c:strCache>
                <c:ptCount val="6"/>
                <c:pt idx="0">
                  <c:v>Salaries and related payables</c:v>
                </c:pt>
              </c:strCache>
            </c:strRef>
          </c:tx>
          <c:spPr>
            <a:solidFill>
              <a:srgbClr val="E3BC9F"/>
            </a:solidFill>
            <a:ln>
              <a:solidFill>
                <a:srgbClr val="FFFFFF"/>
              </a:solidFill>
              <a:prstDash val="solid"/>
            </a:ln>
          </c:spPr>
          <c:invertIfNegative val="0"/>
          <c:cat>
            <c:strRef>
              <c:f>'4.1.Summary'!$J$368:$P$368</c:f>
              <c:strCache>
                <c:ptCount val="7"/>
                <c:pt idx="0">
                  <c:v> 2014a</c:v>
                </c:pt>
                <c:pt idx="1">
                  <c:v> 2015a</c:v>
                </c:pt>
                <c:pt idx="2">
                  <c:v> 2016a</c:v>
                </c:pt>
                <c:pt idx="3">
                  <c:v> 2017e</c:v>
                </c:pt>
                <c:pt idx="4">
                  <c:v> 2018f</c:v>
                </c:pt>
                <c:pt idx="5">
                  <c:v> 2019f</c:v>
                </c:pt>
                <c:pt idx="6">
                  <c:v> 2020f</c:v>
                </c:pt>
              </c:strCache>
            </c:strRef>
          </c:cat>
          <c:val>
            <c:numRef>
              <c:f>'4.1.Summary'!$J$382:$P$382</c:f>
              <c:numCache>
                <c:formatCode>#,##0.0_);\(#,##0.0\);"-  ";" "@</c:formatCode>
                <c:ptCount val="7"/>
                <c:pt idx="0">
                  <c:v>0</c:v>
                </c:pt>
                <c:pt idx="1">
                  <c:v>0</c:v>
                </c:pt>
                <c:pt idx="2">
                  <c:v>0</c:v>
                </c:pt>
                <c:pt idx="3">
                  <c:v>0</c:v>
                </c:pt>
                <c:pt idx="4">
                  <c:v>0</c:v>
                </c:pt>
                <c:pt idx="5">
                  <c:v>0</c:v>
                </c:pt>
                <c:pt idx="6">
                  <c:v>0</c:v>
                </c:pt>
              </c:numCache>
            </c:numRef>
          </c:val>
        </c:ser>
        <c:ser>
          <c:idx val="14"/>
          <c:order val="14"/>
          <c:tx>
            <c:strRef>
              <c:f>'4.1.Summary'!$D$383:$I$383</c:f>
              <c:strCache>
                <c:ptCount val="6"/>
                <c:pt idx="0">
                  <c:v>VAT payable/ receivable</c:v>
                </c:pt>
              </c:strCache>
            </c:strRef>
          </c:tx>
          <c:spPr>
            <a:solidFill>
              <a:srgbClr val="9B642E"/>
            </a:solidFill>
            <a:ln>
              <a:solidFill>
                <a:srgbClr val="FFFFFF"/>
              </a:solidFill>
              <a:prstDash val="solid"/>
            </a:ln>
          </c:spPr>
          <c:invertIfNegative val="0"/>
          <c:cat>
            <c:strRef>
              <c:f>'4.1.Summary'!$J$368:$P$368</c:f>
              <c:strCache>
                <c:ptCount val="7"/>
                <c:pt idx="0">
                  <c:v> 2014a</c:v>
                </c:pt>
                <c:pt idx="1">
                  <c:v> 2015a</c:v>
                </c:pt>
                <c:pt idx="2">
                  <c:v> 2016a</c:v>
                </c:pt>
                <c:pt idx="3">
                  <c:v> 2017e</c:v>
                </c:pt>
                <c:pt idx="4">
                  <c:v> 2018f</c:v>
                </c:pt>
                <c:pt idx="5">
                  <c:v> 2019f</c:v>
                </c:pt>
                <c:pt idx="6">
                  <c:v> 2020f</c:v>
                </c:pt>
              </c:strCache>
            </c:strRef>
          </c:cat>
          <c:val>
            <c:numRef>
              <c:f>'4.1.Summary'!$J$383:$P$383</c:f>
              <c:numCache>
                <c:formatCode>#,##0.0_);\(#,##0.0\);"-  ";" "@</c:formatCode>
                <c:ptCount val="7"/>
                <c:pt idx="0">
                  <c:v>0</c:v>
                </c:pt>
                <c:pt idx="1">
                  <c:v>0</c:v>
                </c:pt>
                <c:pt idx="2">
                  <c:v>0</c:v>
                </c:pt>
                <c:pt idx="3">
                  <c:v>0</c:v>
                </c:pt>
                <c:pt idx="4">
                  <c:v>0</c:v>
                </c:pt>
                <c:pt idx="5">
                  <c:v>0</c:v>
                </c:pt>
                <c:pt idx="6">
                  <c:v>0</c:v>
                </c:pt>
              </c:numCache>
            </c:numRef>
          </c:val>
        </c:ser>
        <c:ser>
          <c:idx val="16"/>
          <c:order val="16"/>
          <c:tx>
            <c:strRef>
              <c:f>'4.1.Summary'!$D$385:$I$385</c:f>
              <c:strCache>
                <c:ptCount val="6"/>
                <c:pt idx="0">
                  <c:v>Shareholders/ associates - current accounts</c:v>
                </c:pt>
              </c:strCache>
            </c:strRef>
          </c:tx>
          <c:spPr>
            <a:solidFill>
              <a:srgbClr val="9D9375"/>
            </a:solidFill>
          </c:spPr>
          <c:invertIfNegative val="0"/>
          <c:cat>
            <c:strRef>
              <c:f>'4.1.Summary'!$J$368:$P$368</c:f>
              <c:strCache>
                <c:ptCount val="7"/>
                <c:pt idx="0">
                  <c:v> 2014a</c:v>
                </c:pt>
                <c:pt idx="1">
                  <c:v> 2015a</c:v>
                </c:pt>
                <c:pt idx="2">
                  <c:v> 2016a</c:v>
                </c:pt>
                <c:pt idx="3">
                  <c:v> 2017e</c:v>
                </c:pt>
                <c:pt idx="4">
                  <c:v> 2018f</c:v>
                </c:pt>
                <c:pt idx="5">
                  <c:v> 2019f</c:v>
                </c:pt>
                <c:pt idx="6">
                  <c:v> 2020f</c:v>
                </c:pt>
              </c:strCache>
            </c:strRef>
          </c:cat>
          <c:val>
            <c:numRef>
              <c:f>'4.1.Summary'!$J$385:$P$385</c:f>
              <c:numCache>
                <c:formatCode>#,##0.0_);\(#,##0.0\);"-  ";" "@</c:formatCode>
                <c:ptCount val="7"/>
                <c:pt idx="0">
                  <c:v>-3.0829534694237073E-2</c:v>
                </c:pt>
                <c:pt idx="1">
                  <c:v>-5.6474021932742438E-2</c:v>
                </c:pt>
                <c:pt idx="2">
                  <c:v>-3.3379397071120739E-2</c:v>
                </c:pt>
                <c:pt idx="3">
                  <c:v>-6.3362077643747544E-2</c:v>
                </c:pt>
                <c:pt idx="4">
                  <c:v>-6.3362077643747544E-2</c:v>
                </c:pt>
                <c:pt idx="5">
                  <c:v>-6.3362077643747544E-2</c:v>
                </c:pt>
                <c:pt idx="6">
                  <c:v>-6.3362077643747544E-2</c:v>
                </c:pt>
              </c:numCache>
            </c:numRef>
          </c:val>
        </c:ser>
        <c:ser>
          <c:idx val="17"/>
          <c:order val="17"/>
          <c:tx>
            <c:strRef>
              <c:f>'4.1.Summary'!$D$386:$I$386</c:f>
              <c:strCache>
                <c:ptCount val="6"/>
                <c:pt idx="0">
                  <c:v>Other payables and accrued expenses</c:v>
                </c:pt>
              </c:strCache>
            </c:strRef>
          </c:tx>
          <c:spPr>
            <a:solidFill>
              <a:srgbClr val="EAAA00"/>
            </a:solidFill>
          </c:spPr>
          <c:invertIfNegative val="0"/>
          <c:cat>
            <c:strRef>
              <c:f>'4.1.Summary'!$J$368:$P$368</c:f>
              <c:strCache>
                <c:ptCount val="7"/>
                <c:pt idx="0">
                  <c:v> 2014a</c:v>
                </c:pt>
                <c:pt idx="1">
                  <c:v> 2015a</c:v>
                </c:pt>
                <c:pt idx="2">
                  <c:v> 2016a</c:v>
                </c:pt>
                <c:pt idx="3">
                  <c:v> 2017e</c:v>
                </c:pt>
                <c:pt idx="4">
                  <c:v> 2018f</c:v>
                </c:pt>
                <c:pt idx="5">
                  <c:v> 2019f</c:v>
                </c:pt>
                <c:pt idx="6">
                  <c:v> 2020f</c:v>
                </c:pt>
              </c:strCache>
            </c:strRef>
          </c:cat>
          <c:val>
            <c:numRef>
              <c:f>'4.1.Summary'!$J$386:$P$386</c:f>
              <c:numCache>
                <c:formatCode>#,##0.0_);\(#,##0.0\);"-  ";" "@</c:formatCode>
                <c:ptCount val="7"/>
                <c:pt idx="0">
                  <c:v>-2.6747937724339914E-2</c:v>
                </c:pt>
                <c:pt idx="1">
                  <c:v>-4.4544511449234922E-2</c:v>
                </c:pt>
                <c:pt idx="2">
                  <c:v>-3.1618649627993732E-2</c:v>
                </c:pt>
                <c:pt idx="3">
                  <c:v>-5.4469344350527374E-2</c:v>
                </c:pt>
                <c:pt idx="4">
                  <c:v>-5.7036547055572727E-2</c:v>
                </c:pt>
                <c:pt idx="5">
                  <c:v>-6.0052452146456416E-2</c:v>
                </c:pt>
                <c:pt idx="6">
                  <c:v>-5.0000000000000001E-3</c:v>
                </c:pt>
              </c:numCache>
            </c:numRef>
          </c:val>
        </c:ser>
        <c:dLbls>
          <c:showLegendKey val="0"/>
          <c:showVal val="0"/>
          <c:showCatName val="0"/>
          <c:showSerName val="0"/>
          <c:showPercent val="0"/>
          <c:showBubbleSize val="0"/>
        </c:dLbls>
        <c:gapWidth val="150"/>
        <c:overlap val="100"/>
        <c:axId val="674797920"/>
        <c:axId val="674798704"/>
      </c:barChart>
      <c:lineChart>
        <c:grouping val="standard"/>
        <c:varyColors val="0"/>
        <c:ser>
          <c:idx val="1"/>
          <c:order val="1"/>
          <c:tx>
            <c:strRef>
              <c:f>'4.1.Summary'!$D$370:$I$370</c:f>
              <c:strCache>
                <c:ptCount val="6"/>
                <c:pt idx="0">
                  <c:v>Production in progress</c:v>
                </c:pt>
              </c:strCache>
            </c:strRef>
          </c:tx>
          <c:spPr>
            <a:ln w="12700">
              <a:solidFill>
                <a:srgbClr val="7030A0"/>
              </a:solidFill>
              <a:prstDash val="solid"/>
            </a:ln>
          </c:spPr>
          <c:marker>
            <c:spPr>
              <a:solidFill>
                <a:srgbClr val="7030A0"/>
              </a:solidFill>
              <a:ln>
                <a:solidFill>
                  <a:srgbClr val="7030A0"/>
                </a:solidFill>
              </a:ln>
            </c:spPr>
          </c:marker>
          <c:dLbls>
            <c:spPr>
              <a:noFill/>
              <a:ln>
                <a:noFill/>
              </a:ln>
              <a:effectLst/>
            </c:spPr>
            <c:txPr>
              <a:bodyPr/>
              <a:lstStyle/>
              <a:p>
                <a:pPr>
                  <a:defRPr>
                    <a:solidFill>
                      <a:schemeClr val="tx1"/>
                    </a:solidFil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'4.1.Summary'!$J$368:$P$368</c:f>
              <c:strCache>
                <c:ptCount val="7"/>
                <c:pt idx="0">
                  <c:v> 2014a</c:v>
                </c:pt>
                <c:pt idx="1">
                  <c:v> 2015a</c:v>
                </c:pt>
                <c:pt idx="2">
                  <c:v> 2016a</c:v>
                </c:pt>
                <c:pt idx="3">
                  <c:v> 2017e</c:v>
                </c:pt>
                <c:pt idx="4">
                  <c:v> 2018f</c:v>
                </c:pt>
                <c:pt idx="5">
                  <c:v> 2019f</c:v>
                </c:pt>
                <c:pt idx="6">
                  <c:v> 2020f</c:v>
                </c:pt>
              </c:strCache>
            </c:strRef>
          </c:cat>
          <c:val>
            <c:numRef>
              <c:f>'4.1.Summary'!$J$370:$P$370</c:f>
            </c:numRef>
          </c:val>
          <c:smooth val="0"/>
        </c:ser>
        <c:ser>
          <c:idx val="6"/>
          <c:order val="6"/>
          <c:tx>
            <c:strRef>
              <c:f>'4.1.Summary'!$D$375:$I$375</c:f>
              <c:strCache>
                <c:ptCount val="6"/>
                <c:pt idx="0">
                  <c:v>Short term investments</c:v>
                </c:pt>
              </c:strCache>
            </c:strRef>
          </c:tx>
          <c:cat>
            <c:strRef>
              <c:f>'4.1.Summary'!$J$368:$P$368</c:f>
              <c:strCache>
                <c:ptCount val="7"/>
                <c:pt idx="0">
                  <c:v> 2014a</c:v>
                </c:pt>
                <c:pt idx="1">
                  <c:v> 2015a</c:v>
                </c:pt>
                <c:pt idx="2">
                  <c:v> 2016a</c:v>
                </c:pt>
                <c:pt idx="3">
                  <c:v> 2017e</c:v>
                </c:pt>
                <c:pt idx="4">
                  <c:v> 2018f</c:v>
                </c:pt>
                <c:pt idx="5">
                  <c:v> 2019f</c:v>
                </c:pt>
                <c:pt idx="6">
                  <c:v> 2020f</c:v>
                </c:pt>
              </c:strCache>
            </c:strRef>
          </c:cat>
          <c:val>
            <c:numRef>
              <c:f>'4.1.Summary'!$J$375:$P$375</c:f>
            </c:numRef>
          </c:val>
          <c:smooth val="0"/>
        </c:ser>
        <c:ser>
          <c:idx val="8"/>
          <c:order val="8"/>
          <c:tx>
            <c:strRef>
              <c:f>'4.1.Summary'!$D$377:$I$377</c:f>
              <c:strCache>
                <c:ptCount val="6"/>
                <c:pt idx="0">
                  <c:v>Subsidies</c:v>
                </c:pt>
              </c:strCache>
            </c:strRef>
          </c:tx>
          <c:cat>
            <c:strRef>
              <c:f>'4.1.Summary'!$J$368:$P$368</c:f>
              <c:strCache>
                <c:ptCount val="7"/>
                <c:pt idx="0">
                  <c:v> 2014a</c:v>
                </c:pt>
                <c:pt idx="1">
                  <c:v> 2015a</c:v>
                </c:pt>
                <c:pt idx="2">
                  <c:v> 2016a</c:v>
                </c:pt>
                <c:pt idx="3">
                  <c:v> 2017e</c:v>
                </c:pt>
                <c:pt idx="4">
                  <c:v> 2018f</c:v>
                </c:pt>
                <c:pt idx="5">
                  <c:v> 2019f</c:v>
                </c:pt>
                <c:pt idx="6">
                  <c:v> 2020f</c:v>
                </c:pt>
              </c:strCache>
            </c:strRef>
          </c:cat>
          <c:val>
            <c:numRef>
              <c:f>'4.1.Summary'!$J$377:$P$377</c:f>
            </c:numRef>
          </c:val>
          <c:smooth val="0"/>
        </c:ser>
        <c:ser>
          <c:idx val="9"/>
          <c:order val="9"/>
          <c:tx>
            <c:strRef>
              <c:f>'4.1.Summary'!$D$378:$I$378</c:f>
              <c:strCache>
                <c:ptCount val="6"/>
                <c:pt idx="0">
                  <c:v>Subsidies</c:v>
                </c:pt>
              </c:strCache>
            </c:strRef>
          </c:tx>
          <c:cat>
            <c:strRef>
              <c:f>'4.1.Summary'!$J$368:$P$368</c:f>
              <c:strCache>
                <c:ptCount val="7"/>
                <c:pt idx="0">
                  <c:v> 2014a</c:v>
                </c:pt>
                <c:pt idx="1">
                  <c:v> 2015a</c:v>
                </c:pt>
                <c:pt idx="2">
                  <c:v> 2016a</c:v>
                </c:pt>
                <c:pt idx="3">
                  <c:v> 2017e</c:v>
                </c:pt>
                <c:pt idx="4">
                  <c:v> 2018f</c:v>
                </c:pt>
                <c:pt idx="5">
                  <c:v> 2019f</c:v>
                </c:pt>
                <c:pt idx="6">
                  <c:v> 2020f</c:v>
                </c:pt>
              </c:strCache>
            </c:strRef>
          </c:cat>
          <c:val>
            <c:numRef>
              <c:f>'4.1.Summary'!$J$378:$P$378</c:f>
            </c:numRef>
          </c:val>
          <c:smooth val="0"/>
        </c:ser>
        <c:ser>
          <c:idx val="15"/>
          <c:order val="15"/>
          <c:tx>
            <c:strRef>
              <c:f>'4.1.Summary'!$D$384:$I$384</c:f>
              <c:strCache>
                <c:ptCount val="6"/>
                <c:pt idx="0">
                  <c:v>Other debts payables to the Treasury</c:v>
                </c:pt>
              </c:strCache>
            </c:strRef>
          </c:tx>
          <c:cat>
            <c:strRef>
              <c:f>'4.1.Summary'!$J$368:$P$368</c:f>
              <c:strCache>
                <c:ptCount val="7"/>
                <c:pt idx="0">
                  <c:v> 2014a</c:v>
                </c:pt>
                <c:pt idx="1">
                  <c:v> 2015a</c:v>
                </c:pt>
                <c:pt idx="2">
                  <c:v> 2016a</c:v>
                </c:pt>
                <c:pt idx="3">
                  <c:v> 2017e</c:v>
                </c:pt>
                <c:pt idx="4">
                  <c:v> 2018f</c:v>
                </c:pt>
                <c:pt idx="5">
                  <c:v> 2019f</c:v>
                </c:pt>
                <c:pt idx="6">
                  <c:v> 2020f</c:v>
                </c:pt>
              </c:strCache>
            </c:strRef>
          </c:cat>
          <c:val>
            <c:numRef>
              <c:f>'4.1.Summary'!$J$384:$P$384</c:f>
            </c:numRef>
          </c:val>
          <c:smooth val="0"/>
        </c:ser>
        <c:ser>
          <c:idx val="18"/>
          <c:order val="18"/>
          <c:tx>
            <c:strRef>
              <c:f>'4.1.Summary'!$D$387:$I$387</c:f>
              <c:strCache>
                <c:ptCount val="6"/>
                <c:pt idx="0">
                  <c:v>Working capital</c:v>
                </c:pt>
              </c:strCache>
            </c:strRef>
          </c:tx>
          <c:spPr>
            <a:ln w="12700">
              <a:solidFill>
                <a:srgbClr val="7030A0"/>
              </a:solidFill>
            </a:ln>
          </c:spPr>
          <c:marker>
            <c:spPr>
              <a:solidFill>
                <a:srgbClr val="7030A0"/>
              </a:solidFill>
              <a:ln>
                <a:solidFill>
                  <a:srgbClr val="7030A0"/>
                </a:solidFill>
              </a:ln>
            </c:spPr>
          </c:marker>
          <c:dLbls>
            <c:spPr>
              <a:noFill/>
              <a:ln>
                <a:noFill/>
              </a:ln>
              <a:effectLst/>
            </c:spPr>
            <c:dLblPos val="b"/>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'4.1.Summary'!$J$368:$P$368</c:f>
              <c:strCache>
                <c:ptCount val="7"/>
                <c:pt idx="0">
                  <c:v> 2014a</c:v>
                </c:pt>
                <c:pt idx="1">
                  <c:v> 2015a</c:v>
                </c:pt>
                <c:pt idx="2">
                  <c:v> 2016a</c:v>
                </c:pt>
                <c:pt idx="3">
                  <c:v> 2017e</c:v>
                </c:pt>
                <c:pt idx="4">
                  <c:v> 2018f</c:v>
                </c:pt>
                <c:pt idx="5">
                  <c:v> 2019f</c:v>
                </c:pt>
                <c:pt idx="6">
                  <c:v> 2020f</c:v>
                </c:pt>
              </c:strCache>
            </c:strRef>
          </c:cat>
          <c:val>
            <c:numRef>
              <c:f>'4.1.Summary'!$J$387:$P$387</c:f>
              <c:numCache>
                <c:formatCode>#,##0.0_);\(#,##0.0\);"-  ";" "@</c:formatCode>
                <c:ptCount val="7"/>
                <c:pt idx="0">
                  <c:v>0</c:v>
                </c:pt>
                <c:pt idx="1">
                  <c:v>0</c:v>
                </c:pt>
                <c:pt idx="2">
                  <c:v>0</c:v>
                </c:pt>
                <c:pt idx="3">
                  <c:v>0</c:v>
                </c:pt>
                <c:pt idx="4">
                  <c:v>0</c:v>
                </c:pt>
                <c:pt idx="5">
                  <c:v>0</c:v>
                </c:pt>
                <c:pt idx="6">
                  <c:v>0</c:v>
                </c:pt>
              </c:numCache>
            </c:numRef>
          </c:val>
          <c:smooth val="0"/>
        </c:ser>
        <c:dLbls>
          <c:showLegendKey val="0"/>
          <c:showVal val="0"/>
          <c:showCatName val="0"/>
          <c:showSerName val="0"/>
          <c:showPercent val="0"/>
          <c:showBubbleSize val="0"/>
        </c:dLbls>
        <c:marker val="1"/>
        <c:smooth val="0"/>
        <c:axId val="674801056"/>
        <c:axId val="674800664"/>
      </c:lineChart>
      <c:catAx>
        <c:axId val="674797920"/>
        <c:scaling>
          <c:orientation val="minMax"/>
        </c:scaling>
        <c:delete val="0"/>
        <c:axPos val="b"/>
        <c:numFmt formatCode="General" sourceLinked="1"/>
        <c:majorTickMark val="out"/>
        <c:minorTickMark val="none"/>
        <c:tickLblPos val="low"/>
        <c:spPr>
          <a:ln w="3175">
            <a:solidFill>
              <a:srgbClr val="000000"/>
            </a:solidFill>
            <a:prstDash val="solid"/>
          </a:ln>
        </c:spPr>
        <c:crossAx val="674798704"/>
        <c:crosses val="autoZero"/>
        <c:auto val="1"/>
        <c:lblAlgn val="ctr"/>
        <c:lblOffset val="100"/>
        <c:noMultiLvlLbl val="0"/>
      </c:catAx>
      <c:valAx>
        <c:axId val="674798704"/>
        <c:scaling>
          <c:orientation val="minMax"/>
        </c:scaling>
        <c:delete val="0"/>
        <c:axPos val="l"/>
        <c:title>
          <c:tx>
            <c:rich>
              <a:bodyPr rot="-5400000" vert="horz"/>
              <a:lstStyle/>
              <a:p>
                <a:pPr>
                  <a:defRPr/>
                </a:pPr>
                <a:r>
                  <a:rPr lang="en-US"/>
                  <a:t>EURm</a:t>
                </a:r>
              </a:p>
            </c:rich>
          </c:tx>
          <c:layout>
            <c:manualLayout>
              <c:xMode val="edge"/>
              <c:yMode val="edge"/>
              <c:x val="2.7390361649028278E-3"/>
              <c:y val="0.32606283257146046"/>
            </c:manualLayout>
          </c:layout>
          <c:overlay val="0"/>
        </c:title>
        <c:numFmt formatCode="#,##0" sourceLinked="0"/>
        <c:majorTickMark val="out"/>
        <c:minorTickMark val="none"/>
        <c:tickLblPos val="nextTo"/>
        <c:spPr>
          <a:ln w="3175">
            <a:solidFill>
              <a:srgbClr val="000000"/>
            </a:solidFill>
            <a:prstDash val="solid"/>
          </a:ln>
        </c:spPr>
        <c:crossAx val="674797920"/>
        <c:crosses val="autoZero"/>
        <c:crossBetween val="between"/>
      </c:valAx>
      <c:valAx>
        <c:axId val="674800664"/>
        <c:scaling>
          <c:orientation val="minMax"/>
        </c:scaling>
        <c:delete val="0"/>
        <c:axPos val="r"/>
        <c:title>
          <c:tx>
            <c:rich>
              <a:bodyPr/>
              <a:lstStyle/>
              <a:p>
                <a:pPr>
                  <a:defRPr/>
                </a:pPr>
                <a:r>
                  <a:rPr lang="en-US"/>
                  <a:t>EURm</a:t>
                </a:r>
              </a:p>
            </c:rich>
          </c:tx>
          <c:layout>
            <c:manualLayout>
              <c:xMode val="edge"/>
              <c:yMode val="edge"/>
              <c:x val="0.7014492613546055"/>
              <c:y val="0.37165394586412892"/>
            </c:manualLayout>
          </c:layout>
          <c:overlay val="0"/>
        </c:title>
        <c:numFmt formatCode="#,##0.0_);\(#,##0.0\);&quot;-  &quot;;&quot; &quot;@" sourceLinked="1"/>
        <c:majorTickMark val="out"/>
        <c:minorTickMark val="none"/>
        <c:tickLblPos val="nextTo"/>
        <c:crossAx val="674801056"/>
        <c:crosses val="max"/>
        <c:crossBetween val="between"/>
      </c:valAx>
      <c:catAx>
        <c:axId val="674801056"/>
        <c:scaling>
          <c:orientation val="minMax"/>
        </c:scaling>
        <c:delete val="1"/>
        <c:axPos val="b"/>
        <c:numFmt formatCode="General" sourceLinked="1"/>
        <c:majorTickMark val="out"/>
        <c:minorTickMark val="none"/>
        <c:tickLblPos val="nextTo"/>
        <c:crossAx val="674800664"/>
        <c:crosses val="autoZero"/>
        <c:auto val="1"/>
        <c:lblAlgn val="ctr"/>
        <c:lblOffset val="100"/>
        <c:noMultiLvlLbl val="0"/>
      </c:catAx>
      <c:spPr>
        <a:noFill/>
        <a:ln w="25400">
          <a:noFill/>
        </a:ln>
      </c:spPr>
    </c:plotArea>
    <c:legend>
      <c:legendPos val="r"/>
      <c:layout>
        <c:manualLayout>
          <c:xMode val="edge"/>
          <c:yMode val="edge"/>
          <c:x val="0.72448354962176387"/>
          <c:y val="1.7270272498660172E-2"/>
          <c:w val="0.26712448075741757"/>
          <c:h val="0.96961368906556589"/>
        </c:manualLayout>
      </c:layout>
      <c:overlay val="0"/>
      <c:spPr>
        <a:noFill/>
        <a:ln w="25400">
          <a:noFill/>
        </a:ln>
      </c:spPr>
      <c:txPr>
        <a:bodyPr/>
        <a:lstStyle/>
        <a:p>
          <a:pPr>
            <a:defRPr sz="700"/>
          </a:pPr>
          <a:endParaRPr lang="en-US"/>
        </a:p>
      </c:txPr>
    </c:legend>
    <c:plotVisOnly val="1"/>
    <c:dispBlanksAs val="gap"/>
    <c:showDLblsOverMax val="0"/>
  </c:chart>
  <c:spPr>
    <a:noFill/>
    <a:ln w="6350">
      <a:noFill/>
    </a:ln>
  </c:spPr>
  <c:txPr>
    <a:bodyPr/>
    <a:lstStyle/>
    <a:p>
      <a:pPr>
        <a:defRPr sz="800" b="0" i="0">
          <a:solidFill>
            <a:srgbClr val="000000"/>
          </a:solidFill>
          <a:latin typeface="Univers for KPMG" panose="020B0603020202020204" pitchFamily="34" charset="0"/>
          <a:ea typeface="Arial"/>
          <a:cs typeface="Aria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9188951836105937E-2"/>
          <c:y val="3.3943122947327917E-2"/>
          <c:w val="0.53373267178753736"/>
          <c:h val="0.89870263486481661"/>
        </c:manualLayout>
      </c:layout>
      <c:barChart>
        <c:barDir val="col"/>
        <c:grouping val="stacked"/>
        <c:varyColors val="0"/>
        <c:ser>
          <c:idx val="0"/>
          <c:order val="0"/>
          <c:tx>
            <c:strRef>
              <c:f>'4.1.Summary'!$D$369:$I$369</c:f>
              <c:strCache>
                <c:ptCount val="6"/>
                <c:pt idx="0">
                  <c:v>Inventories</c:v>
                </c:pt>
              </c:strCache>
            </c:strRef>
          </c:tx>
          <c:spPr>
            <a:solidFill>
              <a:srgbClr val="00338D"/>
            </a:solidFill>
            <a:ln w="3175">
              <a:solidFill>
                <a:srgbClr val="FFFFFF"/>
              </a:solidFill>
              <a:prstDash val="solid"/>
            </a:ln>
          </c:spPr>
          <c:invertIfNegative val="0"/>
          <c:dPt>
            <c:idx val="4"/>
            <c:invertIfNegative val="0"/>
            <c:bubble3D val="0"/>
          </c:dPt>
          <c:dPt>
            <c:idx val="5"/>
            <c:invertIfNegative val="0"/>
            <c:bubble3D val="0"/>
          </c:dPt>
          <c:dPt>
            <c:idx val="6"/>
            <c:invertIfNegative val="0"/>
            <c:bubble3D val="0"/>
          </c:dPt>
          <c:cat>
            <c:strRef>
              <c:f>'4.1.Summary'!$J$368:$L$368</c:f>
              <c:strCache>
                <c:ptCount val="3"/>
                <c:pt idx="0">
                  <c:v> 2014a</c:v>
                </c:pt>
                <c:pt idx="1">
                  <c:v> 2015a</c:v>
                </c:pt>
                <c:pt idx="2">
                  <c:v> 2016a</c:v>
                </c:pt>
              </c:strCache>
            </c:strRef>
          </c:cat>
          <c:val>
            <c:numRef>
              <c:f>'4.1.Summary'!$J$369:$L$369</c:f>
              <c:numCache>
                <c:formatCode>#,##0.0_);\(#,##0.0\);"-  ";" "@</c:formatCode>
                <c:ptCount val="3"/>
                <c:pt idx="0">
                  <c:v>0.83017515800136532</c:v>
                </c:pt>
                <c:pt idx="1">
                  <c:v>0.88010040560551106</c:v>
                </c:pt>
                <c:pt idx="2">
                  <c:v>0.81826755076223767</c:v>
                </c:pt>
              </c:numCache>
            </c:numRef>
          </c:val>
        </c:ser>
        <c:ser>
          <c:idx val="2"/>
          <c:order val="2"/>
          <c:tx>
            <c:strRef>
              <c:f>'4.1.Summary'!$D$371:$I$371</c:f>
              <c:strCache>
                <c:ptCount val="6"/>
                <c:pt idx="0">
                  <c:v>Finished goods</c:v>
                </c:pt>
              </c:strCache>
            </c:strRef>
          </c:tx>
          <c:spPr>
            <a:solidFill>
              <a:srgbClr val="005EB8"/>
            </a:solidFill>
            <a:ln>
              <a:solidFill>
                <a:srgbClr val="FFFFFF"/>
              </a:solidFill>
              <a:prstDash val="solid"/>
            </a:ln>
          </c:spPr>
          <c:invertIfNegative val="0"/>
          <c:cat>
            <c:strRef>
              <c:f>'4.1.Summary'!$J$368:$L$368</c:f>
              <c:strCache>
                <c:ptCount val="3"/>
                <c:pt idx="0">
                  <c:v> 2014a</c:v>
                </c:pt>
                <c:pt idx="1">
                  <c:v> 2015a</c:v>
                </c:pt>
                <c:pt idx="2">
                  <c:v> 2016a</c:v>
                </c:pt>
              </c:strCache>
            </c:strRef>
          </c:cat>
          <c:val>
            <c:numRef>
              <c:f>'4.1.Summary'!$J$371:$L$371</c:f>
              <c:numCache>
                <c:formatCode>#,##0.0_);\(#,##0.0\);"-  ";" "@</c:formatCode>
                <c:ptCount val="3"/>
                <c:pt idx="0">
                  <c:v>0</c:v>
                </c:pt>
                <c:pt idx="1">
                  <c:v>0</c:v>
                </c:pt>
                <c:pt idx="2">
                  <c:v>0</c:v>
                </c:pt>
              </c:numCache>
            </c:numRef>
          </c:val>
        </c:ser>
        <c:ser>
          <c:idx val="3"/>
          <c:order val="3"/>
          <c:tx>
            <c:strRef>
              <c:f>'4.1.Summary'!$D$372:$I$372</c:f>
              <c:strCache>
                <c:ptCount val="6"/>
                <c:pt idx="0">
                  <c:v>Good purchased for resale</c:v>
                </c:pt>
              </c:strCache>
            </c:strRef>
          </c:tx>
          <c:spPr>
            <a:solidFill>
              <a:srgbClr val="0091DA"/>
            </a:solidFill>
            <a:ln>
              <a:solidFill>
                <a:srgbClr val="FFFFFF"/>
              </a:solidFill>
              <a:prstDash val="solid"/>
            </a:ln>
          </c:spPr>
          <c:invertIfNegative val="0"/>
          <c:cat>
            <c:strRef>
              <c:f>'4.1.Summary'!$J$368:$L$368</c:f>
              <c:strCache>
                <c:ptCount val="3"/>
                <c:pt idx="0">
                  <c:v> 2014a</c:v>
                </c:pt>
                <c:pt idx="1">
                  <c:v> 2015a</c:v>
                </c:pt>
                <c:pt idx="2">
                  <c:v> 2016a</c:v>
                </c:pt>
              </c:strCache>
            </c:strRef>
          </c:cat>
          <c:val>
            <c:numRef>
              <c:f>'4.1.Summary'!$J$372:$L$372</c:f>
              <c:numCache>
                <c:formatCode>#,##0.0_);\(#,##0.0\);"-  ";" "@</c:formatCode>
                <c:ptCount val="3"/>
                <c:pt idx="0">
                  <c:v>0.12638594393428901</c:v>
                </c:pt>
                <c:pt idx="1">
                  <c:v>0.17018887911238922</c:v>
                </c:pt>
                <c:pt idx="2">
                  <c:v>0.19335052852762713</c:v>
                </c:pt>
              </c:numCache>
            </c:numRef>
          </c:val>
        </c:ser>
        <c:ser>
          <c:idx val="4"/>
          <c:order val="4"/>
          <c:tx>
            <c:strRef>
              <c:f>'4.1.Summary'!$D$373:$I$373</c:f>
              <c:strCache>
                <c:ptCount val="6"/>
                <c:pt idx="0">
                  <c:v>Trade receivables</c:v>
                </c:pt>
              </c:strCache>
            </c:strRef>
          </c:tx>
          <c:spPr>
            <a:solidFill>
              <a:srgbClr val="00A3A1"/>
            </a:solidFill>
            <a:ln>
              <a:solidFill>
                <a:srgbClr val="FFFFFF"/>
              </a:solidFill>
              <a:prstDash val="solid"/>
            </a:ln>
          </c:spPr>
          <c:invertIfNegative val="0"/>
          <c:cat>
            <c:strRef>
              <c:f>'4.1.Summary'!$J$368:$L$368</c:f>
              <c:strCache>
                <c:ptCount val="3"/>
                <c:pt idx="0">
                  <c:v> 2014a</c:v>
                </c:pt>
                <c:pt idx="1">
                  <c:v> 2015a</c:v>
                </c:pt>
                <c:pt idx="2">
                  <c:v> 2016a</c:v>
                </c:pt>
              </c:strCache>
            </c:strRef>
          </c:cat>
          <c:val>
            <c:numRef>
              <c:f>'4.1.Summary'!$J$373:$L$373</c:f>
              <c:numCache>
                <c:formatCode>#,##0.0_);\(#,##0.0\);"-  ";" "@</c:formatCode>
                <c:ptCount val="3"/>
                <c:pt idx="0">
                  <c:v>1.3150645526414302</c:v>
                </c:pt>
                <c:pt idx="1">
                  <c:v>2.0941817048307829</c:v>
                </c:pt>
                <c:pt idx="2">
                  <c:v>1.1812725251399043</c:v>
                </c:pt>
              </c:numCache>
            </c:numRef>
          </c:val>
        </c:ser>
        <c:ser>
          <c:idx val="5"/>
          <c:order val="5"/>
          <c:tx>
            <c:strRef>
              <c:f>'4.1.Summary'!$D$374:$I$374</c:f>
              <c:strCache>
                <c:ptCount val="6"/>
                <c:pt idx="0">
                  <c:v>Other receivables</c:v>
                </c:pt>
              </c:strCache>
            </c:strRef>
          </c:tx>
          <c:spPr>
            <a:solidFill>
              <a:srgbClr val="43B02A"/>
            </a:solidFill>
            <a:ln>
              <a:solidFill>
                <a:srgbClr val="FFFFFF"/>
              </a:solidFill>
              <a:prstDash val="solid"/>
            </a:ln>
          </c:spPr>
          <c:invertIfNegative val="0"/>
          <c:cat>
            <c:strRef>
              <c:f>'4.1.Summary'!$J$368:$L$368</c:f>
              <c:strCache>
                <c:ptCount val="3"/>
                <c:pt idx="0">
                  <c:v> 2014a</c:v>
                </c:pt>
                <c:pt idx="1">
                  <c:v> 2015a</c:v>
                </c:pt>
                <c:pt idx="2">
                  <c:v> 2016a</c:v>
                </c:pt>
              </c:strCache>
            </c:strRef>
          </c:cat>
          <c:val>
            <c:numRef>
              <c:f>'4.1.Summary'!$J$374:$L$374</c:f>
              <c:numCache>
                <c:formatCode>#,##0.0_);\(#,##0.0\);"-  ";" "@</c:formatCode>
                <c:ptCount val="3"/>
                <c:pt idx="0">
                  <c:v>7.334137543766929E-2</c:v>
                </c:pt>
                <c:pt idx="1">
                  <c:v>0.31786856449986051</c:v>
                </c:pt>
                <c:pt idx="2">
                  <c:v>-1.5974013164947787E-2</c:v>
                </c:pt>
              </c:numCache>
            </c:numRef>
          </c:val>
        </c:ser>
        <c:ser>
          <c:idx val="7"/>
          <c:order val="7"/>
          <c:tx>
            <c:strRef>
              <c:f>'4.1.Summary'!$D$376:$I$376</c:f>
              <c:strCache>
                <c:ptCount val="6"/>
                <c:pt idx="0">
                  <c:v>Prepayments</c:v>
                </c:pt>
              </c:strCache>
            </c:strRef>
          </c:tx>
          <c:spPr>
            <a:solidFill>
              <a:srgbClr val="753F19"/>
            </a:solidFill>
            <a:ln>
              <a:solidFill>
                <a:srgbClr val="FFFFFF"/>
              </a:solidFill>
              <a:prstDash val="solid"/>
            </a:ln>
          </c:spPr>
          <c:invertIfNegative val="0"/>
          <c:cat>
            <c:strRef>
              <c:f>'4.1.Summary'!$J$368:$L$368</c:f>
              <c:strCache>
                <c:ptCount val="3"/>
                <c:pt idx="0">
                  <c:v> 2014a</c:v>
                </c:pt>
                <c:pt idx="1">
                  <c:v> 2015a</c:v>
                </c:pt>
                <c:pt idx="2">
                  <c:v> 2016a</c:v>
                </c:pt>
              </c:strCache>
            </c:strRef>
          </c:cat>
          <c:val>
            <c:numRef>
              <c:f>'4.1.Summary'!$J$376:$L$376</c:f>
              <c:numCache>
                <c:formatCode>#,##0.0_);\(#,##0.0\);"-  ";" "@</c:formatCode>
                <c:ptCount val="3"/>
                <c:pt idx="0">
                  <c:v>0.2242534628173791</c:v>
                </c:pt>
                <c:pt idx="1">
                  <c:v>0.71312222675279546</c:v>
                </c:pt>
                <c:pt idx="2">
                  <c:v>0.38649156285512121</c:v>
                </c:pt>
              </c:numCache>
            </c:numRef>
          </c:val>
        </c:ser>
        <c:ser>
          <c:idx val="10"/>
          <c:order val="10"/>
          <c:tx>
            <c:strRef>
              <c:f>'4.1.Summary'!$D$379:$I$379</c:f>
              <c:strCache>
                <c:ptCount val="6"/>
                <c:pt idx="0">
                  <c:v>Advances from clients</c:v>
                </c:pt>
              </c:strCache>
            </c:strRef>
          </c:tx>
          <c:spPr>
            <a:solidFill>
              <a:srgbClr val="FF6877"/>
            </a:solidFill>
            <a:ln>
              <a:solidFill>
                <a:srgbClr val="FFFFFF"/>
              </a:solidFill>
              <a:prstDash val="solid"/>
            </a:ln>
          </c:spPr>
          <c:invertIfNegative val="0"/>
          <c:cat>
            <c:strRef>
              <c:f>'4.1.Summary'!$J$368:$L$368</c:f>
              <c:strCache>
                <c:ptCount val="3"/>
                <c:pt idx="0">
                  <c:v> 2014a</c:v>
                </c:pt>
                <c:pt idx="1">
                  <c:v> 2015a</c:v>
                </c:pt>
                <c:pt idx="2">
                  <c:v> 2016a</c:v>
                </c:pt>
              </c:strCache>
            </c:strRef>
          </c:cat>
          <c:val>
            <c:numRef>
              <c:f>'4.1.Summary'!$J$379:$L$379</c:f>
              <c:numCache>
                <c:formatCode>#,##0.0_);\(#,##0.0\);"-  ";" "@</c:formatCode>
                <c:ptCount val="3"/>
                <c:pt idx="0">
                  <c:v>-0.97191871572966893</c:v>
                </c:pt>
                <c:pt idx="1">
                  <c:v>-2.1544197888276071</c:v>
                </c:pt>
                <c:pt idx="2">
                  <c:v>-1.9365341345226099</c:v>
                </c:pt>
              </c:numCache>
            </c:numRef>
          </c:val>
        </c:ser>
        <c:ser>
          <c:idx val="11"/>
          <c:order val="11"/>
          <c:tx>
            <c:strRef>
              <c:f>'4.1.Summary'!$D$380:$I$380</c:f>
              <c:strCache>
                <c:ptCount val="6"/>
                <c:pt idx="0">
                  <c:v>Trade payables</c:v>
                </c:pt>
              </c:strCache>
            </c:strRef>
          </c:tx>
          <c:spPr>
            <a:solidFill>
              <a:srgbClr val="C6007E"/>
            </a:solidFill>
            <a:ln>
              <a:solidFill>
                <a:srgbClr val="FFFFFF"/>
              </a:solidFill>
              <a:prstDash val="solid"/>
            </a:ln>
          </c:spPr>
          <c:invertIfNegative val="0"/>
          <c:cat>
            <c:strRef>
              <c:f>'4.1.Summary'!$J$368:$L$368</c:f>
              <c:strCache>
                <c:ptCount val="3"/>
                <c:pt idx="0">
                  <c:v> 2014a</c:v>
                </c:pt>
                <c:pt idx="1">
                  <c:v> 2015a</c:v>
                </c:pt>
                <c:pt idx="2">
                  <c:v> 2016a</c:v>
                </c:pt>
              </c:strCache>
            </c:strRef>
          </c:cat>
          <c:val>
            <c:numRef>
              <c:f>'4.1.Summary'!$J$380:$L$380</c:f>
              <c:numCache>
                <c:formatCode>#,##0.0_);\(#,##0.0\);"-  ";" "@</c:formatCode>
                <c:ptCount val="3"/>
                <c:pt idx="0">
                  <c:v>-1.3421991499856865</c:v>
                </c:pt>
                <c:pt idx="1">
                  <c:v>-1.6861100907783761</c:v>
                </c:pt>
                <c:pt idx="2">
                  <c:v>-1.10231445571303</c:v>
                </c:pt>
              </c:numCache>
            </c:numRef>
          </c:val>
        </c:ser>
        <c:ser>
          <c:idx val="12"/>
          <c:order val="12"/>
          <c:tx>
            <c:strRef>
              <c:f>'4.1.Summary'!$D$381:$I$381</c:f>
              <c:strCache>
                <c:ptCount val="6"/>
                <c:pt idx="0">
                  <c:v>Suppliers of non-current assets</c:v>
                </c:pt>
              </c:strCache>
            </c:strRef>
          </c:tx>
          <c:spPr>
            <a:solidFill>
              <a:srgbClr val="6D2077"/>
            </a:solidFill>
            <a:ln>
              <a:solidFill>
                <a:srgbClr val="FFFFFF"/>
              </a:solidFill>
              <a:prstDash val="solid"/>
            </a:ln>
          </c:spPr>
          <c:invertIfNegative val="0"/>
          <c:cat>
            <c:strRef>
              <c:f>'4.1.Summary'!$J$368:$L$368</c:f>
              <c:strCache>
                <c:ptCount val="3"/>
                <c:pt idx="0">
                  <c:v> 2014a</c:v>
                </c:pt>
                <c:pt idx="1">
                  <c:v> 2015a</c:v>
                </c:pt>
                <c:pt idx="2">
                  <c:v> 2016a</c:v>
                </c:pt>
              </c:strCache>
            </c:strRef>
          </c:cat>
          <c:val>
            <c:numRef>
              <c:f>'4.1.Summary'!$J$381:$L$381</c:f>
              <c:numCache>
                <c:formatCode>#,##0.0_);\(#,##0.0\);"-  ";" "@</c:formatCode>
                <c:ptCount val="3"/>
                <c:pt idx="0">
                  <c:v>0</c:v>
                </c:pt>
                <c:pt idx="1">
                  <c:v>0</c:v>
                </c:pt>
                <c:pt idx="2">
                  <c:v>0</c:v>
                </c:pt>
              </c:numCache>
            </c:numRef>
          </c:val>
        </c:ser>
        <c:ser>
          <c:idx val="13"/>
          <c:order val="13"/>
          <c:tx>
            <c:strRef>
              <c:f>'4.1.Summary'!$D$382:$I$382</c:f>
              <c:strCache>
                <c:ptCount val="6"/>
                <c:pt idx="0">
                  <c:v>Salaries and related payables</c:v>
                </c:pt>
              </c:strCache>
            </c:strRef>
          </c:tx>
          <c:spPr>
            <a:solidFill>
              <a:srgbClr val="E3BC9F"/>
            </a:solidFill>
            <a:ln>
              <a:solidFill>
                <a:srgbClr val="FFFFFF"/>
              </a:solidFill>
              <a:prstDash val="solid"/>
            </a:ln>
          </c:spPr>
          <c:invertIfNegative val="0"/>
          <c:cat>
            <c:strRef>
              <c:f>'4.1.Summary'!$J$368:$L$368</c:f>
              <c:strCache>
                <c:ptCount val="3"/>
                <c:pt idx="0">
                  <c:v> 2014a</c:v>
                </c:pt>
                <c:pt idx="1">
                  <c:v> 2015a</c:v>
                </c:pt>
                <c:pt idx="2">
                  <c:v> 2016a</c:v>
                </c:pt>
              </c:strCache>
            </c:strRef>
          </c:cat>
          <c:val>
            <c:numRef>
              <c:f>'4.1.Summary'!$J$382:$L$382</c:f>
              <c:numCache>
                <c:formatCode>#,##0.0_);\(#,##0.0\);"-  ";" "@</c:formatCode>
                <c:ptCount val="3"/>
                <c:pt idx="0">
                  <c:v>0</c:v>
                </c:pt>
                <c:pt idx="1">
                  <c:v>0</c:v>
                </c:pt>
                <c:pt idx="2">
                  <c:v>0</c:v>
                </c:pt>
              </c:numCache>
            </c:numRef>
          </c:val>
        </c:ser>
        <c:ser>
          <c:idx val="14"/>
          <c:order val="14"/>
          <c:tx>
            <c:strRef>
              <c:f>'4.1.Summary'!$D$383:$I$383</c:f>
              <c:strCache>
                <c:ptCount val="6"/>
                <c:pt idx="0">
                  <c:v>VAT payable/ receivable</c:v>
                </c:pt>
              </c:strCache>
            </c:strRef>
          </c:tx>
          <c:spPr>
            <a:solidFill>
              <a:srgbClr val="9B642E"/>
            </a:solidFill>
            <a:ln>
              <a:solidFill>
                <a:srgbClr val="FFFFFF"/>
              </a:solidFill>
              <a:prstDash val="solid"/>
            </a:ln>
          </c:spPr>
          <c:invertIfNegative val="0"/>
          <c:cat>
            <c:strRef>
              <c:f>'4.1.Summary'!$J$368:$L$368</c:f>
              <c:strCache>
                <c:ptCount val="3"/>
                <c:pt idx="0">
                  <c:v> 2014a</c:v>
                </c:pt>
                <c:pt idx="1">
                  <c:v> 2015a</c:v>
                </c:pt>
                <c:pt idx="2">
                  <c:v> 2016a</c:v>
                </c:pt>
              </c:strCache>
            </c:strRef>
          </c:cat>
          <c:val>
            <c:numRef>
              <c:f>'4.1.Summary'!$J$383:$L$383</c:f>
              <c:numCache>
                <c:formatCode>#,##0.0_);\(#,##0.0\);"-  ";" "@</c:formatCode>
                <c:ptCount val="3"/>
                <c:pt idx="0">
                  <c:v>0</c:v>
                </c:pt>
                <c:pt idx="1">
                  <c:v>0</c:v>
                </c:pt>
                <c:pt idx="2">
                  <c:v>0</c:v>
                </c:pt>
              </c:numCache>
            </c:numRef>
          </c:val>
        </c:ser>
        <c:ser>
          <c:idx val="16"/>
          <c:order val="16"/>
          <c:tx>
            <c:strRef>
              <c:f>'4.1.Summary'!$D$385:$I$385</c:f>
              <c:strCache>
                <c:ptCount val="6"/>
                <c:pt idx="0">
                  <c:v>Shareholders/ associates - current accounts</c:v>
                </c:pt>
              </c:strCache>
            </c:strRef>
          </c:tx>
          <c:spPr>
            <a:solidFill>
              <a:srgbClr val="9D9375"/>
            </a:solidFill>
          </c:spPr>
          <c:invertIfNegative val="0"/>
          <c:cat>
            <c:strRef>
              <c:f>'4.1.Summary'!$J$368:$L$368</c:f>
              <c:strCache>
                <c:ptCount val="3"/>
                <c:pt idx="0">
                  <c:v> 2014a</c:v>
                </c:pt>
                <c:pt idx="1">
                  <c:v> 2015a</c:v>
                </c:pt>
                <c:pt idx="2">
                  <c:v> 2016a</c:v>
                </c:pt>
              </c:strCache>
            </c:strRef>
          </c:cat>
          <c:val>
            <c:numRef>
              <c:f>'4.1.Summary'!$J$385:$L$385</c:f>
              <c:numCache>
                <c:formatCode>#,##0.0_);\(#,##0.0\);"-  ";" "@</c:formatCode>
                <c:ptCount val="3"/>
                <c:pt idx="0">
                  <c:v>-3.0829534694237073E-2</c:v>
                </c:pt>
                <c:pt idx="1">
                  <c:v>-5.6474021932742438E-2</c:v>
                </c:pt>
                <c:pt idx="2">
                  <c:v>-3.3379397071120739E-2</c:v>
                </c:pt>
              </c:numCache>
            </c:numRef>
          </c:val>
        </c:ser>
        <c:ser>
          <c:idx val="17"/>
          <c:order val="17"/>
          <c:tx>
            <c:strRef>
              <c:f>'4.1.Summary'!$D$386:$I$386</c:f>
              <c:strCache>
                <c:ptCount val="6"/>
                <c:pt idx="0">
                  <c:v>Other payables and accrued expenses</c:v>
                </c:pt>
              </c:strCache>
            </c:strRef>
          </c:tx>
          <c:spPr>
            <a:solidFill>
              <a:srgbClr val="EAAA00"/>
            </a:solidFill>
          </c:spPr>
          <c:invertIfNegative val="0"/>
          <c:cat>
            <c:strRef>
              <c:f>'4.1.Summary'!$J$368:$L$368</c:f>
              <c:strCache>
                <c:ptCount val="3"/>
                <c:pt idx="0">
                  <c:v> 2014a</c:v>
                </c:pt>
                <c:pt idx="1">
                  <c:v> 2015a</c:v>
                </c:pt>
                <c:pt idx="2">
                  <c:v> 2016a</c:v>
                </c:pt>
              </c:strCache>
            </c:strRef>
          </c:cat>
          <c:val>
            <c:numRef>
              <c:f>'4.1.Summary'!$J$386:$L$386</c:f>
              <c:numCache>
                <c:formatCode>#,##0.0_);\(#,##0.0\);"-  ";" "@</c:formatCode>
                <c:ptCount val="3"/>
                <c:pt idx="0">
                  <c:v>-2.6747937724339914E-2</c:v>
                </c:pt>
                <c:pt idx="1">
                  <c:v>-4.4544511449234922E-2</c:v>
                </c:pt>
                <c:pt idx="2">
                  <c:v>-3.1618649627993732E-2</c:v>
                </c:pt>
              </c:numCache>
            </c:numRef>
          </c:val>
        </c:ser>
        <c:dLbls>
          <c:showLegendKey val="0"/>
          <c:showVal val="0"/>
          <c:showCatName val="0"/>
          <c:showSerName val="0"/>
          <c:showPercent val="0"/>
          <c:showBubbleSize val="0"/>
        </c:dLbls>
        <c:gapWidth val="42"/>
        <c:overlap val="100"/>
        <c:axId val="672860080"/>
        <c:axId val="672860472"/>
      </c:barChart>
      <c:lineChart>
        <c:grouping val="standard"/>
        <c:varyColors val="0"/>
        <c:ser>
          <c:idx val="1"/>
          <c:order val="1"/>
          <c:tx>
            <c:strRef>
              <c:f>'4.1.Summary'!$D$370:$I$370</c:f>
              <c:strCache>
                <c:ptCount val="6"/>
                <c:pt idx="0">
                  <c:v>Production in progress</c:v>
                </c:pt>
              </c:strCache>
            </c:strRef>
          </c:tx>
          <c:spPr>
            <a:ln w="12700">
              <a:solidFill>
                <a:srgbClr val="7030A0"/>
              </a:solidFill>
              <a:prstDash val="solid"/>
            </a:ln>
          </c:spPr>
          <c:marker>
            <c:spPr>
              <a:solidFill>
                <a:srgbClr val="7030A0"/>
              </a:solidFill>
              <a:ln>
                <a:solidFill>
                  <a:srgbClr val="7030A0"/>
                </a:solidFill>
              </a:ln>
            </c:spPr>
          </c:marker>
          <c:dLbls>
            <c:spPr>
              <a:noFill/>
              <a:ln>
                <a:noFill/>
              </a:ln>
              <a:effectLst/>
            </c:spPr>
            <c:txPr>
              <a:bodyPr/>
              <a:lstStyle/>
              <a:p>
                <a:pPr>
                  <a:defRPr>
                    <a:solidFill>
                      <a:schemeClr val="tx1"/>
                    </a:solidFil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'4.1.Summary'!$J$368:$L$368</c:f>
              <c:strCache>
                <c:ptCount val="3"/>
                <c:pt idx="0">
                  <c:v> 2014a</c:v>
                </c:pt>
                <c:pt idx="1">
                  <c:v> 2015a</c:v>
                </c:pt>
                <c:pt idx="2">
                  <c:v> 2016a</c:v>
                </c:pt>
              </c:strCache>
            </c:strRef>
          </c:cat>
          <c:val>
            <c:numRef>
              <c:f>'4.1.Summary'!$J$370:$L$370</c:f>
            </c:numRef>
          </c:val>
          <c:smooth val="0"/>
        </c:ser>
        <c:ser>
          <c:idx val="6"/>
          <c:order val="6"/>
          <c:tx>
            <c:strRef>
              <c:f>'4.1.Summary'!$D$375:$I$375</c:f>
              <c:strCache>
                <c:ptCount val="6"/>
                <c:pt idx="0">
                  <c:v>Short term investments</c:v>
                </c:pt>
              </c:strCache>
            </c:strRef>
          </c:tx>
          <c:cat>
            <c:strRef>
              <c:f>'4.1.Summary'!$J$368:$L$368</c:f>
              <c:strCache>
                <c:ptCount val="3"/>
                <c:pt idx="0">
                  <c:v> 2014a</c:v>
                </c:pt>
                <c:pt idx="1">
                  <c:v> 2015a</c:v>
                </c:pt>
                <c:pt idx="2">
                  <c:v> 2016a</c:v>
                </c:pt>
              </c:strCache>
            </c:strRef>
          </c:cat>
          <c:val>
            <c:numRef>
              <c:f>'4.1.Summary'!$J$375:$L$375</c:f>
            </c:numRef>
          </c:val>
          <c:smooth val="0"/>
        </c:ser>
        <c:ser>
          <c:idx val="8"/>
          <c:order val="8"/>
          <c:tx>
            <c:strRef>
              <c:f>'4.1.Summary'!$D$377:$I$377</c:f>
              <c:strCache>
                <c:ptCount val="6"/>
                <c:pt idx="0">
                  <c:v>Subsidies</c:v>
                </c:pt>
              </c:strCache>
            </c:strRef>
          </c:tx>
          <c:cat>
            <c:strRef>
              <c:f>'4.1.Summary'!$J$368:$L$368</c:f>
              <c:strCache>
                <c:ptCount val="3"/>
                <c:pt idx="0">
                  <c:v> 2014a</c:v>
                </c:pt>
                <c:pt idx="1">
                  <c:v> 2015a</c:v>
                </c:pt>
                <c:pt idx="2">
                  <c:v> 2016a</c:v>
                </c:pt>
              </c:strCache>
            </c:strRef>
          </c:cat>
          <c:val>
            <c:numRef>
              <c:f>'4.1.Summary'!$J$377:$L$377</c:f>
            </c:numRef>
          </c:val>
          <c:smooth val="0"/>
        </c:ser>
        <c:ser>
          <c:idx val="9"/>
          <c:order val="9"/>
          <c:tx>
            <c:strRef>
              <c:f>'4.1.Summary'!$D$378:$I$378</c:f>
              <c:strCache>
                <c:ptCount val="6"/>
                <c:pt idx="0">
                  <c:v>Subsidies</c:v>
                </c:pt>
              </c:strCache>
            </c:strRef>
          </c:tx>
          <c:cat>
            <c:strRef>
              <c:f>'4.1.Summary'!$J$368:$L$368</c:f>
              <c:strCache>
                <c:ptCount val="3"/>
                <c:pt idx="0">
                  <c:v> 2014a</c:v>
                </c:pt>
                <c:pt idx="1">
                  <c:v> 2015a</c:v>
                </c:pt>
                <c:pt idx="2">
                  <c:v> 2016a</c:v>
                </c:pt>
              </c:strCache>
            </c:strRef>
          </c:cat>
          <c:val>
            <c:numRef>
              <c:f>'4.1.Summary'!$J$378:$L$378</c:f>
            </c:numRef>
          </c:val>
          <c:smooth val="0"/>
        </c:ser>
        <c:ser>
          <c:idx val="15"/>
          <c:order val="15"/>
          <c:tx>
            <c:strRef>
              <c:f>'4.1.Summary'!$D$384:$I$384</c:f>
              <c:strCache>
                <c:ptCount val="6"/>
                <c:pt idx="0">
                  <c:v>Other debts payables to the Treasury</c:v>
                </c:pt>
              </c:strCache>
            </c:strRef>
          </c:tx>
          <c:cat>
            <c:strRef>
              <c:f>'4.1.Summary'!$J$368:$L$368</c:f>
              <c:strCache>
                <c:ptCount val="3"/>
                <c:pt idx="0">
                  <c:v> 2014a</c:v>
                </c:pt>
                <c:pt idx="1">
                  <c:v> 2015a</c:v>
                </c:pt>
                <c:pt idx="2">
                  <c:v> 2016a</c:v>
                </c:pt>
              </c:strCache>
            </c:strRef>
          </c:cat>
          <c:val>
            <c:numRef>
              <c:f>'4.1.Summary'!$J$384:$L$384</c:f>
            </c:numRef>
          </c:val>
          <c:smooth val="0"/>
        </c:ser>
        <c:ser>
          <c:idx val="18"/>
          <c:order val="18"/>
          <c:tx>
            <c:strRef>
              <c:f>'4.1.Summary'!$D$387:$I$387</c:f>
              <c:strCache>
                <c:ptCount val="6"/>
                <c:pt idx="0">
                  <c:v>Working capital</c:v>
                </c:pt>
              </c:strCache>
            </c:strRef>
          </c:tx>
          <c:spPr>
            <a:ln w="12700">
              <a:solidFill>
                <a:srgbClr val="FFFF00"/>
              </a:solidFill>
            </a:ln>
          </c:spPr>
          <c:marker>
            <c:spPr>
              <a:solidFill>
                <a:srgbClr val="FFFF00"/>
              </a:solidFill>
              <a:ln>
                <a:solidFill>
                  <a:srgbClr val="FFFF00"/>
                </a:solidFill>
              </a:ln>
            </c:spPr>
          </c:marker>
          <c:dLbls>
            <c:spPr>
              <a:noFill/>
              <a:ln>
                <a:noFill/>
              </a:ln>
              <a:effectLst/>
            </c:spPr>
            <c:txPr>
              <a:bodyPr wrap="square" lIns="38100" tIns="19050" rIns="38100" bIns="19050" anchor="ctr">
                <a:spAutoFit/>
              </a:bodyPr>
              <a:lstStyle/>
              <a:p>
                <a:pPr>
                  <a:defRPr>
                    <a:solidFill>
                      <a:schemeClr val="bg1"/>
                    </a:solidFill>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'4.1.Summary'!$J$368:$L$368</c:f>
              <c:strCache>
                <c:ptCount val="3"/>
                <c:pt idx="0">
                  <c:v> 2014a</c:v>
                </c:pt>
                <c:pt idx="1">
                  <c:v> 2015a</c:v>
                </c:pt>
                <c:pt idx="2">
                  <c:v> 2016a</c:v>
                </c:pt>
              </c:strCache>
            </c:strRef>
          </c:cat>
          <c:val>
            <c:numRef>
              <c:f>'4.1.Summary'!$J$387:$L$387</c:f>
              <c:numCache>
                <c:formatCode>#,##0.0_);\(#,##0.0\);"-  ";" "@</c:formatCode>
                <c:ptCount val="3"/>
                <c:pt idx="0">
                  <c:v>0</c:v>
                </c:pt>
                <c:pt idx="1">
                  <c:v>0</c:v>
                </c:pt>
                <c:pt idx="2">
                  <c:v>0</c:v>
                </c:pt>
              </c:numCache>
            </c:numRef>
          </c:val>
          <c:smooth val="0"/>
        </c:ser>
        <c:dLbls>
          <c:showLegendKey val="0"/>
          <c:showVal val="0"/>
          <c:showCatName val="0"/>
          <c:showSerName val="0"/>
          <c:showPercent val="0"/>
          <c:showBubbleSize val="0"/>
        </c:dLbls>
        <c:marker val="1"/>
        <c:smooth val="0"/>
        <c:axId val="672860080"/>
        <c:axId val="672860472"/>
      </c:lineChart>
      <c:catAx>
        <c:axId val="672860080"/>
        <c:scaling>
          <c:orientation val="minMax"/>
        </c:scaling>
        <c:delete val="0"/>
        <c:axPos val="b"/>
        <c:numFmt formatCode="General" sourceLinked="1"/>
        <c:majorTickMark val="out"/>
        <c:minorTickMark val="none"/>
        <c:tickLblPos val="low"/>
        <c:spPr>
          <a:ln w="3175">
            <a:solidFill>
              <a:srgbClr val="000000"/>
            </a:solidFill>
            <a:prstDash val="solid"/>
          </a:ln>
        </c:spPr>
        <c:crossAx val="672860472"/>
        <c:crosses val="autoZero"/>
        <c:auto val="1"/>
        <c:lblAlgn val="ctr"/>
        <c:lblOffset val="100"/>
        <c:noMultiLvlLbl val="0"/>
      </c:catAx>
      <c:valAx>
        <c:axId val="672860472"/>
        <c:scaling>
          <c:orientation val="minMax"/>
        </c:scaling>
        <c:delete val="0"/>
        <c:axPos val="l"/>
        <c:title>
          <c:tx>
            <c:rich>
              <a:bodyPr rot="-5400000" vert="horz"/>
              <a:lstStyle/>
              <a:p>
                <a:pPr>
                  <a:defRPr/>
                </a:pPr>
                <a:r>
                  <a:rPr lang="en-US"/>
                  <a:t>EURm</a:t>
                </a:r>
              </a:p>
            </c:rich>
          </c:tx>
          <c:layout>
            <c:manualLayout>
              <c:xMode val="edge"/>
              <c:yMode val="edge"/>
              <c:x val="2.7390766941474362E-3"/>
              <c:y val="0.41429806017371473"/>
            </c:manualLayout>
          </c:layout>
          <c:overlay val="0"/>
        </c:title>
        <c:numFmt formatCode="#,##0" sourceLinked="0"/>
        <c:majorTickMark val="out"/>
        <c:minorTickMark val="none"/>
        <c:tickLblPos val="nextTo"/>
        <c:spPr>
          <a:ln w="3175">
            <a:solidFill>
              <a:srgbClr val="000000"/>
            </a:solidFill>
            <a:prstDash val="solid"/>
          </a:ln>
        </c:spPr>
        <c:crossAx val="672860080"/>
        <c:crosses val="autoZero"/>
        <c:crossBetween val="between"/>
      </c:valAx>
      <c:spPr>
        <a:noFill/>
        <a:ln w="25400">
          <a:noFill/>
        </a:ln>
      </c:spPr>
    </c:plotArea>
    <c:legend>
      <c:legendPos val="r"/>
      <c:layout>
        <c:manualLayout>
          <c:xMode val="edge"/>
          <c:yMode val="edge"/>
          <c:x val="0.62599370964205181"/>
          <c:y val="7.4660365393069902E-3"/>
          <c:w val="0.36561423719864156"/>
          <c:h val="0.992533963460693"/>
        </c:manualLayout>
      </c:layout>
      <c:overlay val="0"/>
      <c:spPr>
        <a:noFill/>
        <a:ln w="25400">
          <a:noFill/>
        </a:ln>
      </c:spPr>
      <c:txPr>
        <a:bodyPr/>
        <a:lstStyle/>
        <a:p>
          <a:pPr>
            <a:defRPr sz="600"/>
          </a:pPr>
          <a:endParaRPr lang="en-US"/>
        </a:p>
      </c:txPr>
    </c:legend>
    <c:plotVisOnly val="1"/>
    <c:dispBlanksAs val="gap"/>
    <c:showDLblsOverMax val="0"/>
  </c:chart>
  <c:spPr>
    <a:noFill/>
    <a:ln w="6350">
      <a:noFill/>
    </a:ln>
  </c:spPr>
  <c:txPr>
    <a:bodyPr/>
    <a:lstStyle/>
    <a:p>
      <a:pPr>
        <a:defRPr sz="800" b="0" i="0">
          <a:solidFill>
            <a:srgbClr val="000000"/>
          </a:solidFill>
          <a:latin typeface="Univers for KPMG" panose="020B0603020202020204" pitchFamily="34" charset="0"/>
          <a:ea typeface="Arial"/>
          <a:cs typeface="Aria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997135192512664"/>
          <c:y val="3.3943122947327917E-2"/>
          <c:w val="0.88010600660454852"/>
          <c:h val="0.79076604475682766"/>
        </c:manualLayout>
      </c:layout>
      <c:barChart>
        <c:barDir val="col"/>
        <c:grouping val="clustered"/>
        <c:varyColors val="0"/>
        <c:ser>
          <c:idx val="0"/>
          <c:order val="0"/>
          <c:tx>
            <c:strRef>
              <c:f>'4.1.Summary'!$D$442:$I$442</c:f>
              <c:strCache>
                <c:ptCount val="6"/>
                <c:pt idx="0">
                  <c:v> Turnover</c:v>
                </c:pt>
              </c:strCache>
            </c:strRef>
          </c:tx>
          <c:spPr>
            <a:solidFill>
              <a:srgbClr val="00338D"/>
            </a:solidFill>
            <a:ln w="3175">
              <a:solidFill>
                <a:srgbClr val="FFFFFF"/>
              </a:solidFill>
              <a:prstDash val="solid"/>
            </a:ln>
          </c:spPr>
          <c:invertIfNegative val="0"/>
          <c:dPt>
            <c:idx val="4"/>
            <c:invertIfNegative val="0"/>
            <c:bubble3D val="0"/>
          </c:dPt>
          <c:dPt>
            <c:idx val="5"/>
            <c:invertIfNegative val="0"/>
            <c:bubble3D val="0"/>
          </c:dPt>
          <c:dPt>
            <c:idx val="6"/>
            <c:invertIfNegative val="0"/>
            <c:bubble3D val="0"/>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'4.1.Summary'!$J$441:$M$441</c:f>
              <c:strCache>
                <c:ptCount val="4"/>
                <c:pt idx="0">
                  <c:v> 2014a</c:v>
                </c:pt>
                <c:pt idx="1">
                  <c:v> 2015a</c:v>
                </c:pt>
                <c:pt idx="2">
                  <c:v> 2016a</c:v>
                </c:pt>
                <c:pt idx="3">
                  <c:v> H1 2017a</c:v>
                </c:pt>
              </c:strCache>
            </c:strRef>
          </c:cat>
          <c:val>
            <c:numRef>
              <c:f>'4.1.Summary'!$J$442:$M$442</c:f>
              <c:numCache>
                <c:formatCode>#,##0.0_);\(#,##0.0\);"-  ";" "@</c:formatCode>
                <c:ptCount val="4"/>
                <c:pt idx="0">
                  <c:v>4.9790619087913068</c:v>
                </c:pt>
                <c:pt idx="1">
                  <c:v>9.6831007377246543</c:v>
                </c:pt>
                <c:pt idx="2">
                  <c:v>7.5570960395401325</c:v>
                </c:pt>
                <c:pt idx="3">
                  <c:v>0</c:v>
                </c:pt>
              </c:numCache>
            </c:numRef>
          </c:val>
        </c:ser>
        <c:ser>
          <c:idx val="1"/>
          <c:order val="1"/>
          <c:tx>
            <c:strRef>
              <c:f>'4.1.Summary'!$D$443:$I$443</c:f>
              <c:strCache>
                <c:ptCount val="6"/>
                <c:pt idx="0">
                  <c:v> EBITDA</c:v>
                </c:pt>
              </c:strCache>
            </c:strRef>
          </c:tx>
          <c:spPr>
            <a:solidFill>
              <a:srgbClr val="00A3A1"/>
            </a:solidFill>
            <a:ln w="12700">
              <a:solidFill>
                <a:srgbClr val="FFFFFF"/>
              </a:solidFill>
              <a:prstDash val="solid"/>
            </a:ln>
          </c:spPr>
          <c:invertIfNegative val="0"/>
          <c:dLbls>
            <c:spPr>
              <a:noFill/>
              <a:ln>
                <a:noFill/>
              </a:ln>
              <a:effectLst/>
            </c:spPr>
            <c:txPr>
              <a:bodyPr/>
              <a:lstStyle/>
              <a:p>
                <a:pPr>
                  <a:defRPr>
                    <a:solidFill>
                      <a:schemeClr val="tx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'4.1.Summary'!$J$441:$M$441</c:f>
              <c:strCache>
                <c:ptCount val="4"/>
                <c:pt idx="0">
                  <c:v> 2014a</c:v>
                </c:pt>
                <c:pt idx="1">
                  <c:v> 2015a</c:v>
                </c:pt>
                <c:pt idx="2">
                  <c:v> 2016a</c:v>
                </c:pt>
                <c:pt idx="3">
                  <c:v> H1 2017a</c:v>
                </c:pt>
              </c:strCache>
            </c:strRef>
          </c:cat>
          <c:val>
            <c:numRef>
              <c:f>'4.1.Summary'!$J$443:$M$443</c:f>
              <c:numCache>
                <c:formatCode>#,##0.0_);\(#,##0.0\);"-  ";" "@</c:formatCode>
                <c:ptCount val="4"/>
                <c:pt idx="0">
                  <c:v>0.37529179878863395</c:v>
                </c:pt>
                <c:pt idx="1">
                  <c:v>0.60949873470370408</c:v>
                </c:pt>
                <c:pt idx="2">
                  <c:v>0.63601205973998276</c:v>
                </c:pt>
                <c:pt idx="3">
                  <c:v>0</c:v>
                </c:pt>
              </c:numCache>
            </c:numRef>
          </c:val>
        </c:ser>
        <c:ser>
          <c:idx val="2"/>
          <c:order val="2"/>
          <c:tx>
            <c:strRef>
              <c:f>'4.1.Summary'!$D$444:$I$444</c:f>
              <c:strCache>
                <c:ptCount val="6"/>
                <c:pt idx="0">
                  <c:v>Net income</c:v>
                </c:pt>
              </c:strCache>
            </c:strRef>
          </c:tx>
          <c:spPr>
            <a:solidFill>
              <a:srgbClr val="005EB8"/>
            </a:solidFill>
            <a:ln>
              <a:solidFill>
                <a:srgbClr val="FFFFFF"/>
              </a:solidFill>
              <a:prstDash val="solid"/>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'4.1.Summary'!$J$441:$M$441</c:f>
              <c:strCache>
                <c:ptCount val="4"/>
                <c:pt idx="0">
                  <c:v> 2014a</c:v>
                </c:pt>
                <c:pt idx="1">
                  <c:v> 2015a</c:v>
                </c:pt>
                <c:pt idx="2">
                  <c:v> 2016a</c:v>
                </c:pt>
                <c:pt idx="3">
                  <c:v> H1 2017a</c:v>
                </c:pt>
              </c:strCache>
            </c:strRef>
          </c:cat>
          <c:val>
            <c:numRef>
              <c:f>'4.1.Summary'!$J$444:$M$444</c:f>
              <c:numCache>
                <c:formatCode>#,##0.0_);\(#,##0.0\);"-  ";" "@</c:formatCode>
                <c:ptCount val="4"/>
                <c:pt idx="0">
                  <c:v>0.25092998797541582</c:v>
                </c:pt>
                <c:pt idx="1">
                  <c:v>0.43760727217004664</c:v>
                </c:pt>
                <c:pt idx="2">
                  <c:v>0.44406838293757595</c:v>
                </c:pt>
                <c:pt idx="3">
                  <c:v>0</c:v>
                </c:pt>
              </c:numCache>
            </c:numRef>
          </c:val>
        </c:ser>
        <c:dLbls>
          <c:showLegendKey val="0"/>
          <c:showVal val="0"/>
          <c:showCatName val="0"/>
          <c:showSerName val="0"/>
          <c:showPercent val="0"/>
          <c:showBubbleSize val="0"/>
        </c:dLbls>
        <c:gapWidth val="150"/>
        <c:axId val="672854984"/>
        <c:axId val="672854592"/>
      </c:barChart>
      <c:catAx>
        <c:axId val="672854984"/>
        <c:scaling>
          <c:orientation val="minMax"/>
        </c:scaling>
        <c:delete val="0"/>
        <c:axPos val="b"/>
        <c:numFmt formatCode="General" sourceLinked="1"/>
        <c:majorTickMark val="out"/>
        <c:minorTickMark val="none"/>
        <c:tickLblPos val="low"/>
        <c:spPr>
          <a:ln w="3175">
            <a:solidFill>
              <a:srgbClr val="000000"/>
            </a:solidFill>
            <a:prstDash val="solid"/>
          </a:ln>
        </c:spPr>
        <c:crossAx val="672854592"/>
        <c:crosses val="autoZero"/>
        <c:auto val="1"/>
        <c:lblAlgn val="ctr"/>
        <c:lblOffset val="100"/>
        <c:noMultiLvlLbl val="0"/>
      </c:catAx>
      <c:valAx>
        <c:axId val="672854592"/>
        <c:scaling>
          <c:orientation val="minMax"/>
        </c:scaling>
        <c:delete val="0"/>
        <c:axPos val="l"/>
        <c:title>
          <c:tx>
            <c:rich>
              <a:bodyPr rot="-5400000" vert="horz"/>
              <a:lstStyle/>
              <a:p>
                <a:pPr>
                  <a:defRPr/>
                </a:pPr>
                <a:r>
                  <a:rPr lang="en-US"/>
                  <a:t>EURm</a:t>
                </a:r>
              </a:p>
            </c:rich>
          </c:tx>
          <c:layout>
            <c:manualLayout>
              <c:xMode val="edge"/>
              <c:yMode val="edge"/>
              <c:x val="2.7390766941474362E-3"/>
              <c:y val="0.41429806017371473"/>
            </c:manualLayout>
          </c:layout>
          <c:overlay val="0"/>
        </c:title>
        <c:numFmt formatCode="#,##0" sourceLinked="0"/>
        <c:majorTickMark val="out"/>
        <c:minorTickMark val="none"/>
        <c:tickLblPos val="nextTo"/>
        <c:spPr>
          <a:ln w="3175">
            <a:solidFill>
              <a:srgbClr val="000000"/>
            </a:solidFill>
            <a:prstDash val="solid"/>
          </a:ln>
        </c:spPr>
        <c:crossAx val="672854984"/>
        <c:crosses val="autoZero"/>
        <c:crossBetween val="between"/>
      </c:valAx>
      <c:spPr>
        <a:noFill/>
        <a:ln w="25400">
          <a:noFill/>
        </a:ln>
      </c:spPr>
    </c:plotArea>
    <c:legend>
      <c:legendPos val="b"/>
      <c:layout>
        <c:manualLayout>
          <c:xMode val="edge"/>
          <c:yMode val="edge"/>
          <c:x val="6.7438342819053476E-2"/>
          <c:y val="0.93130201616073194"/>
          <c:w val="0.88936944779908378"/>
          <c:h val="6.8697983839268076E-2"/>
        </c:manualLayout>
      </c:layout>
      <c:overlay val="0"/>
      <c:spPr>
        <a:noFill/>
        <a:ln w="25400">
          <a:noFill/>
        </a:ln>
      </c:spPr>
      <c:txPr>
        <a:bodyPr/>
        <a:lstStyle/>
        <a:p>
          <a:pPr>
            <a:defRPr sz="670"/>
          </a:pPr>
          <a:endParaRPr lang="en-US"/>
        </a:p>
      </c:txPr>
    </c:legend>
    <c:plotVisOnly val="1"/>
    <c:dispBlanksAs val="gap"/>
    <c:showDLblsOverMax val="0"/>
  </c:chart>
  <c:spPr>
    <a:noFill/>
    <a:ln w="6350">
      <a:noFill/>
    </a:ln>
  </c:spPr>
  <c:txPr>
    <a:bodyPr/>
    <a:lstStyle/>
    <a:p>
      <a:pPr>
        <a:defRPr sz="800" b="0" i="0">
          <a:solidFill>
            <a:srgbClr val="000000"/>
          </a:solidFill>
          <a:latin typeface="Univers for KPMG" panose="020B0603020202020204" pitchFamily="34" charset="0"/>
          <a:ea typeface="Arial"/>
          <a:cs typeface="Aria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997135192512664"/>
          <c:y val="3.3943122947327917E-2"/>
          <c:w val="0.88010600660454852"/>
          <c:h val="0.79076604475682766"/>
        </c:manualLayout>
      </c:layout>
      <c:barChart>
        <c:barDir val="col"/>
        <c:grouping val="stacked"/>
        <c:varyColors val="0"/>
        <c:ser>
          <c:idx val="0"/>
          <c:order val="0"/>
          <c:tx>
            <c:strRef>
              <c:f>'4.1.Summary'!$D$457:$I$457</c:f>
              <c:strCache>
                <c:ptCount val="6"/>
                <c:pt idx="0">
                  <c:v>Non-current assets</c:v>
                </c:pt>
              </c:strCache>
            </c:strRef>
          </c:tx>
          <c:spPr>
            <a:solidFill>
              <a:srgbClr val="00338D"/>
            </a:solidFill>
            <a:ln w="3175">
              <a:solidFill>
                <a:srgbClr val="FFFFFF"/>
              </a:solidFill>
              <a:prstDash val="solid"/>
            </a:ln>
          </c:spPr>
          <c:invertIfNegative val="0"/>
          <c:dPt>
            <c:idx val="4"/>
            <c:invertIfNegative val="0"/>
            <c:bubble3D val="0"/>
          </c:dPt>
          <c:dPt>
            <c:idx val="5"/>
            <c:invertIfNegative val="0"/>
            <c:bubble3D val="0"/>
          </c:dPt>
          <c:dPt>
            <c:idx val="6"/>
            <c:invertIfNegative val="0"/>
            <c:bubble3D val="0"/>
          </c:dPt>
          <c:dLbls>
            <c:spPr>
              <a:noFill/>
              <a:ln>
                <a:noFill/>
              </a:ln>
              <a:effectLst/>
            </c:spPr>
            <c:txPr>
              <a:bodyPr wrap="square" lIns="38100" tIns="19050" rIns="38100" bIns="19050" anchor="ctr">
                <a:spAutoFit/>
              </a:bodyPr>
              <a:lstStyle/>
              <a:p>
                <a:pPr>
                  <a:defRPr>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'4.1.Summary'!$J$456:$M$456</c:f>
              <c:strCache>
                <c:ptCount val="4"/>
                <c:pt idx="0">
                  <c:v> 2014a</c:v>
                </c:pt>
                <c:pt idx="1">
                  <c:v> 2015a</c:v>
                </c:pt>
                <c:pt idx="2">
                  <c:v> 2016a</c:v>
                </c:pt>
                <c:pt idx="3">
                  <c:v> H1 2017a</c:v>
                </c:pt>
              </c:strCache>
            </c:strRef>
          </c:cat>
          <c:val>
            <c:numRef>
              <c:f>'4.1.Summary'!$J$457:$M$457</c:f>
              <c:numCache>
                <c:formatCode>#,##0.0_);\(#,##0.0\);"-  ";" "@</c:formatCode>
                <c:ptCount val="4"/>
                <c:pt idx="0">
                  <c:v>0.18026861112946205</c:v>
                </c:pt>
                <c:pt idx="1">
                  <c:v>0.11977430092066017</c:v>
                </c:pt>
                <c:pt idx="2">
                  <c:v>8.3594946289585914E-2</c:v>
                </c:pt>
                <c:pt idx="3">
                  <c:v>0</c:v>
                </c:pt>
              </c:numCache>
            </c:numRef>
          </c:val>
        </c:ser>
        <c:ser>
          <c:idx val="1"/>
          <c:order val="1"/>
          <c:tx>
            <c:strRef>
              <c:f>'4.1.Summary'!$D$458:$I$458</c:f>
              <c:strCache>
                <c:ptCount val="6"/>
                <c:pt idx="0">
                  <c:v>Current assets</c:v>
                </c:pt>
              </c:strCache>
            </c:strRef>
          </c:tx>
          <c:spPr>
            <a:solidFill>
              <a:srgbClr val="00A3A1"/>
            </a:solidFill>
            <a:ln w="12700">
              <a:solidFill>
                <a:srgbClr val="FFFFFF"/>
              </a:solidFill>
              <a:prstDash val="solid"/>
            </a:ln>
          </c:spPr>
          <c:invertIfNegative val="0"/>
          <c:dLbls>
            <c:spPr>
              <a:noFill/>
              <a:ln>
                <a:noFill/>
              </a:ln>
              <a:effectLst/>
            </c:spPr>
            <c:txPr>
              <a:bodyPr/>
              <a:lstStyle/>
              <a:p>
                <a:pPr>
                  <a:defRPr>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'4.1.Summary'!$J$456:$M$456</c:f>
              <c:strCache>
                <c:ptCount val="4"/>
                <c:pt idx="0">
                  <c:v> 2014a</c:v>
                </c:pt>
                <c:pt idx="1">
                  <c:v> 2015a</c:v>
                </c:pt>
                <c:pt idx="2">
                  <c:v> 2016a</c:v>
                </c:pt>
                <c:pt idx="3">
                  <c:v> H1 2017a</c:v>
                </c:pt>
              </c:strCache>
            </c:strRef>
          </c:cat>
          <c:val>
            <c:numRef>
              <c:f>'4.1.Summary'!$J$458:$M$458</c:f>
              <c:numCache>
                <c:formatCode>#,##0.0_);\(#,##0.0\);"-  ";" "@</c:formatCode>
                <c:ptCount val="4"/>
                <c:pt idx="0">
                  <c:v>3.4262788245138842</c:v>
                </c:pt>
                <c:pt idx="1">
                  <c:v>5.5645869519496962</c:v>
                </c:pt>
                <c:pt idx="2">
                  <c:v>4.7626171594588218</c:v>
                </c:pt>
                <c:pt idx="3">
                  <c:v>0</c:v>
                </c:pt>
              </c:numCache>
            </c:numRef>
          </c:val>
        </c:ser>
        <c:dLbls>
          <c:showLegendKey val="0"/>
          <c:showVal val="0"/>
          <c:showCatName val="0"/>
          <c:showSerName val="0"/>
          <c:showPercent val="0"/>
          <c:showBubbleSize val="0"/>
        </c:dLbls>
        <c:gapWidth val="48"/>
        <c:overlap val="100"/>
        <c:axId val="672858120"/>
        <c:axId val="672856552"/>
      </c:barChart>
      <c:catAx>
        <c:axId val="672858120"/>
        <c:scaling>
          <c:orientation val="minMax"/>
        </c:scaling>
        <c:delete val="0"/>
        <c:axPos val="b"/>
        <c:numFmt formatCode="General" sourceLinked="1"/>
        <c:majorTickMark val="out"/>
        <c:minorTickMark val="none"/>
        <c:tickLblPos val="low"/>
        <c:spPr>
          <a:ln w="3175">
            <a:solidFill>
              <a:srgbClr val="000000"/>
            </a:solidFill>
            <a:prstDash val="solid"/>
          </a:ln>
        </c:spPr>
        <c:crossAx val="672856552"/>
        <c:crosses val="autoZero"/>
        <c:auto val="1"/>
        <c:lblAlgn val="ctr"/>
        <c:lblOffset val="100"/>
        <c:noMultiLvlLbl val="0"/>
      </c:catAx>
      <c:valAx>
        <c:axId val="672856552"/>
        <c:scaling>
          <c:orientation val="minMax"/>
        </c:scaling>
        <c:delete val="0"/>
        <c:axPos val="l"/>
        <c:title>
          <c:tx>
            <c:rich>
              <a:bodyPr rot="-5400000" vert="horz"/>
              <a:lstStyle/>
              <a:p>
                <a:pPr>
                  <a:defRPr/>
                </a:pPr>
                <a:r>
                  <a:rPr lang="en-US"/>
                  <a:t>EURm</a:t>
                </a:r>
              </a:p>
            </c:rich>
          </c:tx>
          <c:layout>
            <c:manualLayout>
              <c:xMode val="edge"/>
              <c:yMode val="edge"/>
              <c:x val="2.7390766941474362E-3"/>
              <c:y val="0.41429806017371473"/>
            </c:manualLayout>
          </c:layout>
          <c:overlay val="0"/>
        </c:title>
        <c:numFmt formatCode="#,##0" sourceLinked="0"/>
        <c:majorTickMark val="out"/>
        <c:minorTickMark val="none"/>
        <c:tickLblPos val="nextTo"/>
        <c:spPr>
          <a:ln w="3175">
            <a:solidFill>
              <a:srgbClr val="000000"/>
            </a:solidFill>
            <a:prstDash val="solid"/>
          </a:ln>
        </c:spPr>
        <c:crossAx val="672858120"/>
        <c:crosses val="autoZero"/>
        <c:crossBetween val="between"/>
      </c:valAx>
      <c:spPr>
        <a:noFill/>
        <a:ln w="25400">
          <a:noFill/>
        </a:ln>
      </c:spPr>
    </c:plotArea>
    <c:legend>
      <c:legendPos val="b"/>
      <c:layout>
        <c:manualLayout>
          <c:xMode val="edge"/>
          <c:yMode val="edge"/>
          <c:x val="0.22677007683487868"/>
          <c:y val="0.93579937122018553"/>
          <c:w val="0.59648870168364698"/>
          <c:h val="6.3850047558644443E-2"/>
        </c:manualLayout>
      </c:layout>
      <c:overlay val="0"/>
      <c:spPr>
        <a:noFill/>
        <a:ln w="25400">
          <a:noFill/>
        </a:ln>
      </c:spPr>
      <c:txPr>
        <a:bodyPr/>
        <a:lstStyle/>
        <a:p>
          <a:pPr>
            <a:defRPr sz="670"/>
          </a:pPr>
          <a:endParaRPr lang="en-US"/>
        </a:p>
      </c:txPr>
    </c:legend>
    <c:plotVisOnly val="1"/>
    <c:dispBlanksAs val="gap"/>
    <c:showDLblsOverMax val="0"/>
  </c:chart>
  <c:spPr>
    <a:noFill/>
    <a:ln w="6350">
      <a:noFill/>
    </a:ln>
  </c:spPr>
  <c:txPr>
    <a:bodyPr/>
    <a:lstStyle/>
    <a:p>
      <a:pPr>
        <a:defRPr sz="800" b="0" i="0">
          <a:solidFill>
            <a:srgbClr val="000000"/>
          </a:solidFill>
          <a:latin typeface="Univers for KPMG" panose="020B0603020202020204" pitchFamily="34" charset="0"/>
          <a:ea typeface="Arial"/>
          <a:cs typeface="Aria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997135192512664"/>
          <c:y val="3.3943122947327917E-2"/>
          <c:w val="0.88010600660454852"/>
          <c:h val="0.79076604475682766"/>
        </c:manualLayout>
      </c:layout>
      <c:barChart>
        <c:barDir val="col"/>
        <c:grouping val="stacked"/>
        <c:varyColors val="0"/>
        <c:ser>
          <c:idx val="0"/>
          <c:order val="0"/>
          <c:tx>
            <c:strRef>
              <c:f>'4.1.Summary'!$D$461:$I$461</c:f>
              <c:strCache>
                <c:ptCount val="6"/>
                <c:pt idx="0">
                  <c:v>Equity</c:v>
                </c:pt>
              </c:strCache>
            </c:strRef>
          </c:tx>
          <c:spPr>
            <a:solidFill>
              <a:srgbClr val="00338D"/>
            </a:solidFill>
            <a:ln w="3175">
              <a:solidFill>
                <a:srgbClr val="FFFFFF"/>
              </a:solidFill>
              <a:prstDash val="solid"/>
            </a:ln>
          </c:spPr>
          <c:invertIfNegative val="0"/>
          <c:dPt>
            <c:idx val="4"/>
            <c:invertIfNegative val="0"/>
            <c:bubble3D val="0"/>
          </c:dPt>
          <c:dPt>
            <c:idx val="5"/>
            <c:invertIfNegative val="0"/>
            <c:bubble3D val="0"/>
          </c:dPt>
          <c:dPt>
            <c:idx val="6"/>
            <c:invertIfNegative val="0"/>
            <c:bubble3D val="0"/>
          </c:dPt>
          <c:dLbls>
            <c:spPr>
              <a:noFill/>
              <a:ln>
                <a:noFill/>
              </a:ln>
              <a:effectLst/>
            </c:spPr>
            <c:txPr>
              <a:bodyPr wrap="square" lIns="38100" tIns="19050" rIns="38100" bIns="19050" anchor="ctr">
                <a:spAutoFit/>
              </a:bodyPr>
              <a:lstStyle/>
              <a:p>
                <a:pPr>
                  <a:defRPr>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'4.1.Summary'!$J$460:$M$460</c:f>
              <c:strCache>
                <c:ptCount val="4"/>
                <c:pt idx="0">
                  <c:v> 2014a</c:v>
                </c:pt>
                <c:pt idx="1">
                  <c:v> 2015a</c:v>
                </c:pt>
                <c:pt idx="2">
                  <c:v> 2016a</c:v>
                </c:pt>
                <c:pt idx="3">
                  <c:v> H1 2017a</c:v>
                </c:pt>
              </c:strCache>
            </c:strRef>
          </c:cat>
          <c:val>
            <c:numRef>
              <c:f>'4.1.Summary'!$J$461:$M$461</c:f>
              <c:numCache>
                <c:formatCode>#,##0.0_);\(#,##0.0\);"-  ";" "@</c:formatCode>
                <c:ptCount val="4"/>
                <c:pt idx="0">
                  <c:v>1.1555737046090153</c:v>
                </c:pt>
                <c:pt idx="1">
                  <c:v>0.83983950898126503</c:v>
                </c:pt>
                <c:pt idx="2">
                  <c:v>1.1666052102317803</c:v>
                </c:pt>
                <c:pt idx="3">
                  <c:v>0</c:v>
                </c:pt>
              </c:numCache>
            </c:numRef>
          </c:val>
        </c:ser>
        <c:ser>
          <c:idx val="1"/>
          <c:order val="1"/>
          <c:tx>
            <c:strRef>
              <c:f>'4.1.Summary'!$D$462:$I$462</c:f>
              <c:strCache>
                <c:ptCount val="6"/>
                <c:pt idx="0">
                  <c:v>Short term liabilities</c:v>
                </c:pt>
              </c:strCache>
            </c:strRef>
          </c:tx>
          <c:spPr>
            <a:solidFill>
              <a:srgbClr val="00A3A1"/>
            </a:solidFill>
            <a:ln w="12700">
              <a:solidFill>
                <a:srgbClr val="FFFFFF"/>
              </a:solidFill>
              <a:prstDash val="solid"/>
            </a:ln>
          </c:spPr>
          <c:invertIfNegative val="0"/>
          <c:dLbls>
            <c:spPr>
              <a:noFill/>
              <a:ln>
                <a:noFill/>
              </a:ln>
              <a:effectLst/>
            </c:spPr>
            <c:txPr>
              <a:bodyPr/>
              <a:lstStyle/>
              <a:p>
                <a:pPr>
                  <a:defRPr>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'4.1.Summary'!$J$460:$M$460</c:f>
              <c:strCache>
                <c:ptCount val="4"/>
                <c:pt idx="0">
                  <c:v> 2014a</c:v>
                </c:pt>
                <c:pt idx="1">
                  <c:v> 2015a</c:v>
                </c:pt>
                <c:pt idx="2">
                  <c:v> 2016a</c:v>
                </c:pt>
                <c:pt idx="3">
                  <c:v> H1 2017a</c:v>
                </c:pt>
              </c:strCache>
            </c:strRef>
          </c:cat>
          <c:val>
            <c:numRef>
              <c:f>'4.1.Summary'!$J$462:$M$462</c:f>
              <c:numCache>
                <c:formatCode>#,##0.0_);\(#,##0.0\);"-  ";" "@</c:formatCode>
                <c:ptCount val="4"/>
                <c:pt idx="0">
                  <c:v>2.3923846314769555</c:v>
                </c:pt>
                <c:pt idx="1">
                  <c:v>4.8235979097366783</c:v>
                </c:pt>
                <c:pt idx="2">
                  <c:v>3.6613908810223208</c:v>
                </c:pt>
                <c:pt idx="3">
                  <c:v>0</c:v>
                </c:pt>
              </c:numCache>
            </c:numRef>
          </c:val>
        </c:ser>
        <c:ser>
          <c:idx val="2"/>
          <c:order val="2"/>
          <c:tx>
            <c:strRef>
              <c:f>'4.1.Summary'!$D$463:$I$463</c:f>
              <c:strCache>
                <c:ptCount val="6"/>
                <c:pt idx="0">
                  <c:v>Long term liabilities</c:v>
                </c:pt>
              </c:strCache>
            </c:strRef>
          </c:tx>
          <c:spPr>
            <a:solidFill>
              <a:srgbClr val="6D2077"/>
            </a:solidFill>
          </c:spPr>
          <c:invertIfNegative val="0"/>
          <c:cat>
            <c:strRef>
              <c:f>'4.1.Summary'!$J$460:$M$460</c:f>
              <c:strCache>
                <c:ptCount val="4"/>
                <c:pt idx="0">
                  <c:v> 2014a</c:v>
                </c:pt>
                <c:pt idx="1">
                  <c:v> 2015a</c:v>
                </c:pt>
                <c:pt idx="2">
                  <c:v> 2016a</c:v>
                </c:pt>
                <c:pt idx="3">
                  <c:v> H1 2017a</c:v>
                </c:pt>
              </c:strCache>
            </c:strRef>
          </c:cat>
          <c:val>
            <c:numRef>
              <c:f>'4.1.Summary'!$J$463:$M$463</c:f>
              <c:numCache>
                <c:formatCode>#,##0.0_);\(#,##0.0\);"-  ";" "@</c:formatCode>
                <c:ptCount val="4"/>
                <c:pt idx="0">
                  <c:v>0</c:v>
                </c:pt>
                <c:pt idx="1">
                  <c:v>0</c:v>
                </c:pt>
                <c:pt idx="2">
                  <c:v>0</c:v>
                </c:pt>
                <c:pt idx="3">
                  <c:v>0</c:v>
                </c:pt>
              </c:numCache>
            </c:numRef>
          </c:val>
        </c:ser>
        <c:dLbls>
          <c:showLegendKey val="0"/>
          <c:showVal val="0"/>
          <c:showCatName val="0"/>
          <c:showSerName val="0"/>
          <c:showPercent val="0"/>
          <c:showBubbleSize val="0"/>
        </c:dLbls>
        <c:gapWidth val="48"/>
        <c:overlap val="100"/>
        <c:axId val="672860864"/>
        <c:axId val="672861648"/>
      </c:barChart>
      <c:catAx>
        <c:axId val="672860864"/>
        <c:scaling>
          <c:orientation val="minMax"/>
        </c:scaling>
        <c:delete val="0"/>
        <c:axPos val="b"/>
        <c:numFmt formatCode="General" sourceLinked="1"/>
        <c:majorTickMark val="out"/>
        <c:minorTickMark val="none"/>
        <c:tickLblPos val="low"/>
        <c:spPr>
          <a:ln w="3175">
            <a:solidFill>
              <a:srgbClr val="000000"/>
            </a:solidFill>
            <a:prstDash val="solid"/>
          </a:ln>
        </c:spPr>
        <c:crossAx val="672861648"/>
        <c:crosses val="autoZero"/>
        <c:auto val="1"/>
        <c:lblAlgn val="ctr"/>
        <c:lblOffset val="100"/>
        <c:noMultiLvlLbl val="0"/>
      </c:catAx>
      <c:valAx>
        <c:axId val="672861648"/>
        <c:scaling>
          <c:orientation val="minMax"/>
        </c:scaling>
        <c:delete val="0"/>
        <c:axPos val="l"/>
        <c:title>
          <c:tx>
            <c:rich>
              <a:bodyPr rot="-5400000" vert="horz"/>
              <a:lstStyle/>
              <a:p>
                <a:pPr>
                  <a:defRPr/>
                </a:pPr>
                <a:r>
                  <a:rPr lang="en-US"/>
                  <a:t>EURm</a:t>
                </a:r>
              </a:p>
            </c:rich>
          </c:tx>
          <c:layout>
            <c:manualLayout>
              <c:xMode val="edge"/>
              <c:yMode val="edge"/>
              <c:x val="2.7390766941474362E-3"/>
              <c:y val="0.41429806017371473"/>
            </c:manualLayout>
          </c:layout>
          <c:overlay val="0"/>
        </c:title>
        <c:numFmt formatCode="#,##0" sourceLinked="0"/>
        <c:majorTickMark val="out"/>
        <c:minorTickMark val="none"/>
        <c:tickLblPos val="nextTo"/>
        <c:spPr>
          <a:ln w="3175">
            <a:solidFill>
              <a:srgbClr val="000000"/>
            </a:solidFill>
            <a:prstDash val="solid"/>
          </a:ln>
        </c:spPr>
        <c:crossAx val="672860864"/>
        <c:crosses val="autoZero"/>
        <c:crossBetween val="between"/>
      </c:valAx>
      <c:spPr>
        <a:noFill/>
        <a:ln w="25400">
          <a:noFill/>
        </a:ln>
      </c:spPr>
    </c:plotArea>
    <c:legend>
      <c:legendPos val="b"/>
      <c:layout>
        <c:manualLayout>
          <c:xMode val="edge"/>
          <c:yMode val="edge"/>
          <c:x val="0.18520527665683731"/>
          <c:y val="0.93579937122018553"/>
          <c:w val="0.70605176944954462"/>
          <c:h val="6.3850047558644443E-2"/>
        </c:manualLayout>
      </c:layout>
      <c:overlay val="0"/>
      <c:spPr>
        <a:noFill/>
        <a:ln w="25400">
          <a:noFill/>
        </a:ln>
      </c:spPr>
      <c:txPr>
        <a:bodyPr/>
        <a:lstStyle/>
        <a:p>
          <a:pPr>
            <a:defRPr sz="670"/>
          </a:pPr>
          <a:endParaRPr lang="en-US"/>
        </a:p>
      </c:txPr>
    </c:legend>
    <c:plotVisOnly val="1"/>
    <c:dispBlanksAs val="gap"/>
    <c:showDLblsOverMax val="0"/>
  </c:chart>
  <c:spPr>
    <a:noFill/>
    <a:ln w="6350">
      <a:noFill/>
    </a:ln>
  </c:spPr>
  <c:txPr>
    <a:bodyPr/>
    <a:lstStyle/>
    <a:p>
      <a:pPr>
        <a:defRPr sz="800" b="0" i="0">
          <a:solidFill>
            <a:srgbClr val="000000"/>
          </a:solidFill>
          <a:latin typeface="Univers for KPMG" panose="020B0603020202020204" pitchFamily="34" charset="0"/>
          <a:ea typeface="Arial"/>
          <a:cs typeface="Aria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0285714285714288"/>
          <c:y val="0.2"/>
          <c:w val="0.33142857142857141"/>
          <c:h val="0.52727272727272723"/>
        </c:manualLayout>
      </c:layout>
      <c:pieChart>
        <c:varyColors val="1"/>
        <c:ser>
          <c:idx val="0"/>
          <c:order val="0"/>
          <c:dPt>
            <c:idx val="0"/>
            <c:bubble3D val="0"/>
            <c:spPr>
              <a:solidFill>
                <a:srgbClr val="00338D"/>
              </a:solidFill>
              <a:ln w="3175">
                <a:solidFill>
                  <a:srgbClr val="FFFFFF"/>
                </a:solidFill>
                <a:prstDash val="solid"/>
              </a:ln>
            </c:spPr>
          </c:dPt>
          <c:dPt>
            <c:idx val="1"/>
            <c:bubble3D val="0"/>
            <c:spPr>
              <a:solidFill>
                <a:srgbClr val="0091DA"/>
              </a:solidFill>
              <a:ln w="3175">
                <a:solidFill>
                  <a:srgbClr val="FFFFFF"/>
                </a:solidFill>
                <a:prstDash val="solid"/>
              </a:ln>
            </c:spPr>
          </c:dPt>
          <c:dLbls>
            <c:dLbl>
              <c:idx val="0"/>
              <c:spPr>
                <a:noFill/>
                <a:ln>
                  <a:noFill/>
                </a:ln>
                <a:effectLst/>
              </c:spPr>
              <c:txPr>
                <a:bodyPr wrap="square" lIns="38100" tIns="19050" rIns="38100" bIns="19050" anchor="ctr">
                  <a:spAutoFit/>
                </a:bodyPr>
                <a:lstStyle/>
                <a:p>
                  <a:pPr>
                    <a:defRPr sz="700">
                      <a:solidFill>
                        <a:schemeClr val="bg1"/>
                      </a:solidFill>
                      <a:latin typeface="Univers for KPMG" panose="020B0603020202020204" pitchFamily="34" charset="0"/>
                    </a:defRPr>
                  </a:pPr>
                  <a:endParaRPr lang="en-US"/>
                </a:p>
              </c:txPr>
              <c:dLblPos val="inEnd"/>
              <c:showLegendKey val="0"/>
              <c:showVal val="0"/>
              <c:showCatName val="0"/>
              <c:showSerName val="0"/>
              <c:showPercent val="1"/>
              <c:showBubbleSize val="0"/>
            </c:dLbl>
            <c:dLbl>
              <c:idx val="1"/>
              <c:spPr>
                <a:noFill/>
                <a:ln>
                  <a:noFill/>
                </a:ln>
                <a:effectLst/>
              </c:spPr>
              <c:txPr>
                <a:bodyPr wrap="square" lIns="38100" tIns="19050" rIns="38100" bIns="19050" anchor="ctr">
                  <a:spAutoFit/>
                </a:bodyPr>
                <a:lstStyle/>
                <a:p>
                  <a:pPr>
                    <a:defRPr sz="700">
                      <a:solidFill>
                        <a:schemeClr val="bg1"/>
                      </a:solidFill>
                      <a:latin typeface="Univers for KPMG" panose="020B0603020202020204" pitchFamily="34" charset="0"/>
                    </a:defRPr>
                  </a:pPr>
                  <a:endParaRPr lang="en-US"/>
                </a:p>
              </c:txPr>
              <c:dLblPos val="inEnd"/>
              <c:showLegendKey val="0"/>
              <c:showVal val="0"/>
              <c:showCatName val="0"/>
              <c:showSerName val="0"/>
              <c:showPercent val="1"/>
              <c:showBubbleSize val="0"/>
            </c:dLbl>
            <c:spPr>
              <a:noFill/>
              <a:ln>
                <a:noFill/>
              </a:ln>
              <a:effectLst/>
            </c:spPr>
            <c:txPr>
              <a:bodyPr wrap="square" lIns="38100" tIns="19050" rIns="38100" bIns="19050" anchor="ctr">
                <a:spAutoFit/>
              </a:bodyPr>
              <a:lstStyle/>
              <a:p>
                <a:pPr>
                  <a:defRPr>
                    <a:solidFill>
                      <a:schemeClr val="bg1"/>
                    </a:solidFill>
                    <a:latin typeface="Univers for KPMG" panose="020B0603020202020204" pitchFamily="34" charset="0"/>
                  </a:defRPr>
                </a:pPr>
                <a:endParaRPr lang="en-US"/>
              </a:p>
            </c:txPr>
            <c:dLblPos val="inEnd"/>
            <c:showLegendKey val="0"/>
            <c:showVal val="0"/>
            <c:showCatName val="0"/>
            <c:showSerName val="0"/>
            <c:showPercent val="1"/>
            <c:showBubbleSize val="0"/>
            <c:showLeaderLines val="0"/>
            <c:extLst>
              <c:ext xmlns:c15="http://schemas.microsoft.com/office/drawing/2012/chart" uri="{CE6537A1-D6FC-4f65-9D91-7224C49458BB}"/>
            </c:extLst>
          </c:dLbls>
          <c:cat>
            <c:strRef>
              <c:f>'4.2. Summary'!$L$70:$L$71</c:f>
              <c:strCache>
                <c:ptCount val="2"/>
                <c:pt idx="0">
                  <c:v>Expenses with raw materials and consumables</c:v>
                </c:pt>
                <c:pt idx="1">
                  <c:v>Other operating expenses</c:v>
                </c:pt>
              </c:strCache>
            </c:strRef>
          </c:cat>
          <c:val>
            <c:numRef>
              <c:f>'4.2. Summary'!$M$70:$M$71</c:f>
              <c:numCache>
                <c:formatCode>#,##0_);\(#,##0\);"-  ";" "@</c:formatCode>
                <c:ptCount val="2"/>
                <c:pt idx="0">
                  <c:v>4618.5339250026864</c:v>
                </c:pt>
                <c:pt idx="1">
                  <c:v>2861.2593144944658</c:v>
                </c:pt>
              </c:numCache>
            </c:numRef>
          </c:val>
        </c:ser>
        <c:dLbls>
          <c:showLegendKey val="0"/>
          <c:showVal val="0"/>
          <c:showCatName val="0"/>
          <c:showSerName val="0"/>
          <c:showPercent val="0"/>
          <c:showBubbleSize val="0"/>
          <c:showLeaderLines val="0"/>
        </c:dLbls>
        <c:firstSliceAng val="147"/>
      </c:pieChart>
      <c:spPr>
        <a:noFill/>
        <a:ln w="25400">
          <a:noFill/>
        </a:ln>
      </c:spPr>
    </c:plotArea>
    <c:legend>
      <c:legendPos val="r"/>
      <c:overlay val="0"/>
      <c:txPr>
        <a:bodyPr/>
        <a:lstStyle/>
        <a:p>
          <a:pPr>
            <a:defRPr>
              <a:latin typeface="Univers for KPMG" panose="020B0603020202020204" pitchFamily="34" charset="0"/>
            </a:defRPr>
          </a:pPr>
          <a:endParaRPr lang="en-US"/>
        </a:p>
      </c:txPr>
    </c:legend>
    <c:plotVisOnly val="1"/>
    <c:dispBlanksAs val="gap"/>
    <c:showDLblsOverMax val="0"/>
  </c:chart>
  <c:spPr>
    <a:noFill/>
    <a:ln w="6350">
      <a:noFill/>
    </a:ln>
  </c:spPr>
  <c:txPr>
    <a:bodyPr/>
    <a:lstStyle/>
    <a:p>
      <a:pPr>
        <a:defRPr sz="800" b="0" i="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0451818852621071"/>
          <c:y val="0.20765846499962654"/>
          <c:w val="0.33324631951924943"/>
          <c:h val="0.54746322590810625"/>
        </c:manualLayout>
      </c:layout>
      <c:pieChart>
        <c:varyColors val="1"/>
        <c:ser>
          <c:idx val="0"/>
          <c:order val="0"/>
          <c:dPt>
            <c:idx val="0"/>
            <c:bubble3D val="0"/>
            <c:spPr>
              <a:solidFill>
                <a:srgbClr val="00338D"/>
              </a:solidFill>
              <a:ln w="3175">
                <a:solidFill>
                  <a:srgbClr val="FFFFFF"/>
                </a:solidFill>
                <a:prstDash val="solid"/>
              </a:ln>
            </c:spPr>
          </c:dPt>
          <c:dPt>
            <c:idx val="1"/>
            <c:bubble3D val="0"/>
            <c:spPr>
              <a:solidFill>
                <a:srgbClr val="0091DA"/>
              </a:solidFill>
              <a:ln w="3175">
                <a:solidFill>
                  <a:srgbClr val="FFFFFF"/>
                </a:solidFill>
                <a:prstDash val="solid"/>
              </a:ln>
            </c:spPr>
          </c:dPt>
          <c:dLbls>
            <c:dLbl>
              <c:idx val="0"/>
              <c:spPr>
                <a:noFill/>
                <a:ln>
                  <a:noFill/>
                </a:ln>
                <a:effectLst/>
              </c:spPr>
              <c:txPr>
                <a:bodyPr wrap="square" lIns="38100" tIns="19050" rIns="38100" bIns="19050" anchor="ctr">
                  <a:spAutoFit/>
                </a:bodyPr>
                <a:lstStyle/>
                <a:p>
                  <a:pPr>
                    <a:defRPr sz="700">
                      <a:solidFill>
                        <a:schemeClr val="bg1"/>
                      </a:solidFill>
                    </a:defRPr>
                  </a:pPr>
                  <a:endParaRPr lang="en-US"/>
                </a:p>
              </c:txPr>
              <c:dLblPos val="inEnd"/>
              <c:showLegendKey val="0"/>
              <c:showVal val="0"/>
              <c:showCatName val="0"/>
              <c:showSerName val="0"/>
              <c:showPercent val="1"/>
              <c:showBubbleSize val="0"/>
            </c:dLbl>
            <c:dLbl>
              <c:idx val="1"/>
              <c:spPr>
                <a:noFill/>
                <a:ln>
                  <a:noFill/>
                </a:ln>
                <a:effectLst/>
              </c:spPr>
              <c:txPr>
                <a:bodyPr wrap="square" lIns="38100" tIns="19050" rIns="38100" bIns="19050" anchor="ctr">
                  <a:spAutoFit/>
                </a:bodyPr>
                <a:lstStyle/>
                <a:p>
                  <a:pPr>
                    <a:defRPr sz="700">
                      <a:solidFill>
                        <a:schemeClr val="bg1"/>
                      </a:solidFill>
                    </a:defRPr>
                  </a:pPr>
                  <a:endParaRPr lang="en-US"/>
                </a:p>
              </c:txPr>
              <c:dLblPos val="inEnd"/>
              <c:showLegendKey val="0"/>
              <c:showVal val="0"/>
              <c:showCatName val="0"/>
              <c:showSerName val="0"/>
              <c:showPercent val="1"/>
              <c:showBubbleSize val="0"/>
            </c:dLbl>
            <c:spPr>
              <a:noFill/>
              <a:ln>
                <a:noFill/>
              </a:ln>
              <a:effectLst/>
            </c:spPr>
            <c:txPr>
              <a:bodyPr wrap="square" lIns="38100" tIns="19050" rIns="38100" bIns="19050" anchor="ctr">
                <a:spAutoFit/>
              </a:bodyPr>
              <a:lstStyle/>
              <a:p>
                <a:pPr>
                  <a:defRPr>
                    <a:solidFill>
                      <a:schemeClr val="bg1"/>
                    </a:solidFill>
                  </a:defRPr>
                </a:pPr>
                <a:endParaRPr lang="en-US"/>
              </a:p>
            </c:txPr>
            <c:dLblPos val="inEnd"/>
            <c:showLegendKey val="0"/>
            <c:showVal val="0"/>
            <c:showCatName val="0"/>
            <c:showSerName val="0"/>
            <c:showPercent val="1"/>
            <c:showBubbleSize val="0"/>
            <c:showLeaderLines val="0"/>
            <c:extLst>
              <c:ext xmlns:c15="http://schemas.microsoft.com/office/drawing/2012/chart" uri="{CE6537A1-D6FC-4f65-9D91-7224C49458BB}"/>
            </c:extLst>
          </c:dLbls>
          <c:cat>
            <c:strRef>
              <c:f>'4.2. Summary'!$B$70:$B$71</c:f>
              <c:strCache>
                <c:ptCount val="2"/>
                <c:pt idx="0">
                  <c:v>Cheltuieli cu materii prime si consumabile</c:v>
                </c:pt>
                <c:pt idx="1">
                  <c:v>Alte cheltuieli operationale</c:v>
                </c:pt>
              </c:strCache>
            </c:strRef>
          </c:cat>
          <c:val>
            <c:numRef>
              <c:f>'4.2. Summary'!$C$70:$C$71</c:f>
              <c:numCache>
                <c:formatCode>#,##0_);\(#,##0\);"-  ";" "@</c:formatCode>
                <c:ptCount val="2"/>
                <c:pt idx="0">
                  <c:v>4618.5339250026864</c:v>
                </c:pt>
                <c:pt idx="1">
                  <c:v>2861.2593144944658</c:v>
                </c:pt>
              </c:numCache>
            </c:numRef>
          </c:val>
        </c:ser>
        <c:dLbls>
          <c:showLegendKey val="0"/>
          <c:showVal val="0"/>
          <c:showCatName val="0"/>
          <c:showSerName val="0"/>
          <c:showPercent val="0"/>
          <c:showBubbleSize val="0"/>
          <c:showLeaderLines val="0"/>
        </c:dLbls>
        <c:firstSliceAng val="147"/>
      </c:pieChart>
      <c:spPr>
        <a:noFill/>
        <a:ln w="25400">
          <a:noFill/>
        </a:ln>
      </c:spPr>
    </c:plotArea>
    <c:legend>
      <c:legendPos val="r"/>
      <c:overlay val="0"/>
      <c:txPr>
        <a:bodyPr/>
        <a:lstStyle/>
        <a:p>
          <a:pPr>
            <a:defRPr>
              <a:latin typeface="Univers for KPMG" panose="020B0603020202020204" pitchFamily="34" charset="0"/>
            </a:defRPr>
          </a:pPr>
          <a:endParaRPr lang="en-US"/>
        </a:p>
      </c:txPr>
    </c:legend>
    <c:plotVisOnly val="1"/>
    <c:dispBlanksAs val="gap"/>
    <c:showDLblsOverMax val="0"/>
  </c:chart>
  <c:spPr>
    <a:noFill/>
    <a:ln w="6350">
      <a:noFill/>
    </a:ln>
  </c:spPr>
  <c:txPr>
    <a:bodyPr/>
    <a:lstStyle/>
    <a:p>
      <a:pPr>
        <a:defRPr sz="800" b="0" i="0">
          <a:solidFill>
            <a:srgbClr val="000000"/>
          </a:solidFill>
          <a:latin typeface="Arial"/>
          <a:ea typeface="Arial"/>
          <a:cs typeface="Arial"/>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hyperlink" Target="#'2.3. Working Capital'!A1"/><Relationship Id="rId13" Type="http://schemas.openxmlformats.org/officeDocument/2006/relationships/hyperlink" Target="#'1.5 Assumptions book'!A1"/><Relationship Id="rId3" Type="http://schemas.openxmlformats.org/officeDocument/2006/relationships/hyperlink" Target="#'1.0.Model timing'!A1"/><Relationship Id="rId7" Type="http://schemas.openxmlformats.org/officeDocument/2006/relationships/hyperlink" Target="#'2.1. Working LT assets'!A1"/><Relationship Id="rId12" Type="http://schemas.openxmlformats.org/officeDocument/2006/relationships/hyperlink" Target="#'0.2.Parameters'!A1"/><Relationship Id="rId2" Type="http://schemas.openxmlformats.org/officeDocument/2006/relationships/hyperlink" Target="#'1.3.Historical BS'!A1"/><Relationship Id="rId1" Type="http://schemas.openxmlformats.org/officeDocument/2006/relationships/hyperlink" Target="#'1.2.Historical IS'!A1"/><Relationship Id="rId6" Type="http://schemas.openxmlformats.org/officeDocument/2006/relationships/hyperlink" Target="#'3.1. Income Statement'!A1"/><Relationship Id="rId11" Type="http://schemas.openxmlformats.org/officeDocument/2006/relationships/hyperlink" Target="#'0.1.Model Map'!A1"/><Relationship Id="rId5" Type="http://schemas.openxmlformats.org/officeDocument/2006/relationships/hyperlink" Target="#'1.4. CAPEX'!A1"/><Relationship Id="rId15" Type="http://schemas.openxmlformats.org/officeDocument/2006/relationships/hyperlink" Target="#'3.3. Balance sheet'!A1"/><Relationship Id="rId10" Type="http://schemas.openxmlformats.org/officeDocument/2006/relationships/hyperlink" Target="#'0.0.Disclaimer'!A1"/><Relationship Id="rId4" Type="http://schemas.openxmlformats.org/officeDocument/2006/relationships/hyperlink" Target="#'1.1.Macroeconomic'!A1"/><Relationship Id="rId9" Type="http://schemas.openxmlformats.org/officeDocument/2006/relationships/hyperlink" Target="#'2.2. OPEX'!A1"/><Relationship Id="rId14" Type="http://schemas.openxmlformats.org/officeDocument/2006/relationships/hyperlink" Target="#'3.2. Cash Flow'!A1"/></Relationships>
</file>

<file path=xl/drawings/_rels/drawing9.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19050</xdr:colOff>
      <xdr:row>1</xdr:row>
      <xdr:rowOff>19050</xdr:rowOff>
    </xdr:from>
    <xdr:to>
      <xdr:col>4</xdr:col>
      <xdr:colOff>695325</xdr:colOff>
      <xdr:row>4</xdr:row>
      <xdr:rowOff>123825</xdr:rowOff>
    </xdr:to>
    <xdr:sp macro="" textlink="">
      <xdr:nvSpPr>
        <xdr:cNvPr id="35844" name="Freeform 6"/>
        <xdr:cNvSpPr>
          <a:spLocks noEditPoints="1"/>
        </xdr:cNvSpPr>
      </xdr:nvSpPr>
      <xdr:spPr bwMode="gray">
        <a:xfrm>
          <a:off x="876300" y="171450"/>
          <a:ext cx="1590675" cy="561975"/>
        </a:xfrm>
        <a:custGeom>
          <a:avLst/>
          <a:gdLst>
            <a:gd name="T0" fmla="*/ 2147483646 w 4103"/>
            <a:gd name="T1" fmla="*/ 2147483646 h 1409"/>
            <a:gd name="T2" fmla="*/ 2147483646 w 4103"/>
            <a:gd name="T3" fmla="*/ 2147483646 h 1409"/>
            <a:gd name="T4" fmla="*/ 2147483646 w 4103"/>
            <a:gd name="T5" fmla="*/ 2147483646 h 1409"/>
            <a:gd name="T6" fmla="*/ 2147483646 w 4103"/>
            <a:gd name="T7" fmla="*/ 2147483646 h 1409"/>
            <a:gd name="T8" fmla="*/ 2147483646 w 4103"/>
            <a:gd name="T9" fmla="*/ 2147483646 h 1409"/>
            <a:gd name="T10" fmla="*/ 2147483646 w 4103"/>
            <a:gd name="T11" fmla="*/ 2147483646 h 1409"/>
            <a:gd name="T12" fmla="*/ 2147483646 w 4103"/>
            <a:gd name="T13" fmla="*/ 2147483646 h 1409"/>
            <a:gd name="T14" fmla="*/ 2147483646 w 4103"/>
            <a:gd name="T15" fmla="*/ 2147483646 h 1409"/>
            <a:gd name="T16" fmla="*/ 2147483646 w 4103"/>
            <a:gd name="T17" fmla="*/ 2147483646 h 1409"/>
            <a:gd name="T18" fmla="*/ 2147483646 w 4103"/>
            <a:gd name="T19" fmla="*/ 2147483646 h 1409"/>
            <a:gd name="T20" fmla="*/ 2147483646 w 4103"/>
            <a:gd name="T21" fmla="*/ 2147483646 h 1409"/>
            <a:gd name="T22" fmla="*/ 2147483646 w 4103"/>
            <a:gd name="T23" fmla="*/ 2147483646 h 1409"/>
            <a:gd name="T24" fmla="*/ 2147483646 w 4103"/>
            <a:gd name="T25" fmla="*/ 2147483646 h 1409"/>
            <a:gd name="T26" fmla="*/ 2147483646 w 4103"/>
            <a:gd name="T27" fmla="*/ 2147483646 h 1409"/>
            <a:gd name="T28" fmla="*/ 2147483646 w 4103"/>
            <a:gd name="T29" fmla="*/ 2147483646 h 1409"/>
            <a:gd name="T30" fmla="*/ 2147483646 w 4103"/>
            <a:gd name="T31" fmla="*/ 2147483646 h 1409"/>
            <a:gd name="T32" fmla="*/ 2147483646 w 4103"/>
            <a:gd name="T33" fmla="*/ 2147483646 h 1409"/>
            <a:gd name="T34" fmla="*/ 2147483646 w 4103"/>
            <a:gd name="T35" fmla="*/ 2147483646 h 1409"/>
            <a:gd name="T36" fmla="*/ 2147483646 w 4103"/>
            <a:gd name="T37" fmla="*/ 2147483646 h 1409"/>
            <a:gd name="T38" fmla="*/ 2147483646 w 4103"/>
            <a:gd name="T39" fmla="*/ 2147483646 h 1409"/>
            <a:gd name="T40" fmla="*/ 2147483646 w 4103"/>
            <a:gd name="T41" fmla="*/ 2147483646 h 1409"/>
            <a:gd name="T42" fmla="*/ 2147483646 w 4103"/>
            <a:gd name="T43" fmla="*/ 2147483646 h 1409"/>
            <a:gd name="T44" fmla="*/ 2147483646 w 4103"/>
            <a:gd name="T45" fmla="*/ 2147483646 h 1409"/>
            <a:gd name="T46" fmla="*/ 2147483646 w 4103"/>
            <a:gd name="T47" fmla="*/ 2147483646 h 1409"/>
            <a:gd name="T48" fmla="*/ 2147483646 w 4103"/>
            <a:gd name="T49" fmla="*/ 2147483646 h 1409"/>
            <a:gd name="T50" fmla="*/ 2147483646 w 4103"/>
            <a:gd name="T51" fmla="*/ 2147483646 h 1409"/>
            <a:gd name="T52" fmla="*/ 2147483646 w 4103"/>
            <a:gd name="T53" fmla="*/ 2147483646 h 1409"/>
            <a:gd name="T54" fmla="*/ 2147483646 w 4103"/>
            <a:gd name="T55" fmla="*/ 2147483646 h 1409"/>
            <a:gd name="T56" fmla="*/ 2147483646 w 4103"/>
            <a:gd name="T57" fmla="*/ 2147483646 h 1409"/>
            <a:gd name="T58" fmla="*/ 2147483646 w 4103"/>
            <a:gd name="T59" fmla="*/ 2147483646 h 1409"/>
            <a:gd name="T60" fmla="*/ 2147483646 w 4103"/>
            <a:gd name="T61" fmla="*/ 2147483646 h 1409"/>
            <a:gd name="T62" fmla="*/ 2147483646 w 4103"/>
            <a:gd name="T63" fmla="*/ 2147483646 h 1409"/>
            <a:gd name="T64" fmla="*/ 2147483646 w 4103"/>
            <a:gd name="T65" fmla="*/ 2147483646 h 1409"/>
            <a:gd name="T66" fmla="*/ 2147483646 w 4103"/>
            <a:gd name="T67" fmla="*/ 2147483646 h 1409"/>
            <a:gd name="T68" fmla="*/ 2147483646 w 4103"/>
            <a:gd name="T69" fmla="*/ 2147483646 h 1409"/>
            <a:gd name="T70" fmla="*/ 2147483646 w 4103"/>
            <a:gd name="T71" fmla="*/ 2147483646 h 1409"/>
            <a:gd name="T72" fmla="*/ 2147483646 w 4103"/>
            <a:gd name="T73" fmla="*/ 2147483646 h 1409"/>
            <a:gd name="T74" fmla="*/ 2147483646 w 4103"/>
            <a:gd name="T75" fmla="*/ 2147483646 h 1409"/>
            <a:gd name="T76" fmla="*/ 2147483646 w 4103"/>
            <a:gd name="T77" fmla="*/ 2147483646 h 1409"/>
            <a:gd name="T78" fmla="*/ 584397197 w 4103"/>
            <a:gd name="T79" fmla="*/ 2147483646 h 1409"/>
            <a:gd name="T80" fmla="*/ 2147483646 w 4103"/>
            <a:gd name="T81" fmla="*/ 2147483646 h 1409"/>
            <a:gd name="T82" fmla="*/ 2147483646 w 4103"/>
            <a:gd name="T83" fmla="*/ 2147483646 h 1409"/>
            <a:gd name="T84" fmla="*/ 2147483646 w 4103"/>
            <a:gd name="T85" fmla="*/ 2147483646 h 1409"/>
            <a:gd name="T86" fmla="*/ 2147483646 w 4103"/>
            <a:gd name="T87" fmla="*/ 2147483646 h 1409"/>
            <a:gd name="T88" fmla="*/ 2147483646 w 4103"/>
            <a:gd name="T89" fmla="*/ 2147483646 h 1409"/>
            <a:gd name="T90" fmla="*/ 2147483646 w 4103"/>
            <a:gd name="T91" fmla="*/ 2147483646 h 1409"/>
            <a:gd name="T92" fmla="*/ 2147483646 w 4103"/>
            <a:gd name="T93" fmla="*/ 2147483646 h 1409"/>
            <a:gd name="T94" fmla="*/ 2147483646 w 4103"/>
            <a:gd name="T95" fmla="*/ 2147483646 h 1409"/>
            <a:gd name="T96" fmla="*/ 2147483646 w 4103"/>
            <a:gd name="T97" fmla="*/ 2147483646 h 1409"/>
            <a:gd name="T98" fmla="*/ 2147483646 w 4103"/>
            <a:gd name="T99" fmla="*/ 2147483646 h 1409"/>
            <a:gd name="T100" fmla="*/ 2147483646 w 4103"/>
            <a:gd name="T101" fmla="*/ 2147483646 h 1409"/>
            <a:gd name="T102" fmla="*/ 2147483646 w 4103"/>
            <a:gd name="T103" fmla="*/ 2147483646 h 1409"/>
            <a:gd name="T104" fmla="*/ 2147483646 w 4103"/>
            <a:gd name="T105" fmla="*/ 2147483646 h 1409"/>
            <a:gd name="T106" fmla="*/ 2147483646 w 4103"/>
            <a:gd name="T107" fmla="*/ 2147483646 h 1409"/>
            <a:gd name="T108" fmla="*/ 2147483646 w 4103"/>
            <a:gd name="T109" fmla="*/ 2147483646 h 1409"/>
            <a:gd name="T110" fmla="*/ 2147483646 w 4103"/>
            <a:gd name="T111" fmla="*/ 2147483646 h 1409"/>
            <a:gd name="T112" fmla="*/ 2147483646 w 4103"/>
            <a:gd name="T113" fmla="*/ 2147483646 h 1409"/>
            <a:gd name="T114" fmla="*/ 2147483646 w 4103"/>
            <a:gd name="T115" fmla="*/ 2147483646 h 1409"/>
            <a:gd name="T116" fmla="*/ 2147483646 w 4103"/>
            <a:gd name="T117" fmla="*/ 2147483646 h 1409"/>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w 4103"/>
            <a:gd name="T178" fmla="*/ 0 h 1409"/>
            <a:gd name="T179" fmla="*/ 4103 w 4103"/>
            <a:gd name="T180" fmla="*/ 1409 h 1409"/>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T177" t="T178" r="T179" b="T180"/>
          <a:pathLst>
            <a:path w="4103" h="1409">
              <a:moveTo>
                <a:pt x="2267" y="697"/>
              </a:moveTo>
              <a:cubicBezTo>
                <a:pt x="2149" y="697"/>
                <a:pt x="2149" y="697"/>
                <a:pt x="2149" y="697"/>
              </a:cubicBezTo>
              <a:cubicBezTo>
                <a:pt x="2168" y="619"/>
                <a:pt x="2168" y="619"/>
                <a:pt x="2168" y="619"/>
              </a:cubicBezTo>
              <a:cubicBezTo>
                <a:pt x="1930" y="619"/>
                <a:pt x="1930" y="619"/>
                <a:pt x="1930" y="619"/>
              </a:cubicBezTo>
              <a:cubicBezTo>
                <a:pt x="1911" y="697"/>
                <a:pt x="1911" y="697"/>
                <a:pt x="1911" y="697"/>
              </a:cubicBezTo>
              <a:cubicBezTo>
                <a:pt x="1796" y="697"/>
                <a:pt x="1796" y="697"/>
                <a:pt x="1796" y="697"/>
              </a:cubicBezTo>
              <a:cubicBezTo>
                <a:pt x="1796" y="681"/>
                <a:pt x="1796" y="681"/>
                <a:pt x="1796" y="681"/>
              </a:cubicBezTo>
              <a:cubicBezTo>
                <a:pt x="1798" y="672"/>
                <a:pt x="1799" y="663"/>
                <a:pt x="1802" y="653"/>
              </a:cubicBezTo>
              <a:cubicBezTo>
                <a:pt x="1823" y="569"/>
                <a:pt x="1878" y="485"/>
                <a:pt x="1974" y="485"/>
              </a:cubicBezTo>
              <a:cubicBezTo>
                <a:pt x="2012" y="485"/>
                <a:pt x="2050" y="499"/>
                <a:pt x="2045" y="552"/>
              </a:cubicBezTo>
              <a:cubicBezTo>
                <a:pt x="2186" y="552"/>
                <a:pt x="2186" y="552"/>
                <a:pt x="2186" y="552"/>
              </a:cubicBezTo>
              <a:cubicBezTo>
                <a:pt x="2192" y="527"/>
                <a:pt x="2201" y="486"/>
                <a:pt x="2174" y="447"/>
              </a:cubicBezTo>
              <a:cubicBezTo>
                <a:pt x="2145" y="406"/>
                <a:pt x="2084" y="389"/>
                <a:pt x="2005" y="389"/>
              </a:cubicBezTo>
              <a:cubicBezTo>
                <a:pt x="1949" y="389"/>
                <a:pt x="1867" y="398"/>
                <a:pt x="1796" y="444"/>
              </a:cubicBezTo>
              <a:cubicBezTo>
                <a:pt x="1796" y="18"/>
                <a:pt x="1796" y="18"/>
                <a:pt x="1796" y="18"/>
              </a:cubicBezTo>
              <a:cubicBezTo>
                <a:pt x="2267" y="18"/>
                <a:pt x="2267" y="18"/>
                <a:pt x="2267" y="18"/>
              </a:cubicBezTo>
              <a:cubicBezTo>
                <a:pt x="2267" y="697"/>
                <a:pt x="2267" y="697"/>
                <a:pt x="2267" y="697"/>
              </a:cubicBezTo>
              <a:cubicBezTo>
                <a:pt x="2267" y="697"/>
                <a:pt x="2267" y="697"/>
                <a:pt x="2267" y="697"/>
              </a:cubicBezTo>
              <a:close/>
              <a:moveTo>
                <a:pt x="1989" y="812"/>
              </a:moveTo>
              <a:cubicBezTo>
                <a:pt x="1962" y="817"/>
                <a:pt x="1936" y="820"/>
                <a:pt x="1910" y="820"/>
              </a:cubicBezTo>
              <a:cubicBezTo>
                <a:pt x="1842" y="820"/>
                <a:pt x="1795" y="788"/>
                <a:pt x="1794" y="715"/>
              </a:cubicBezTo>
              <a:cubicBezTo>
                <a:pt x="2014" y="715"/>
                <a:pt x="2014" y="715"/>
                <a:pt x="2014" y="715"/>
              </a:cubicBezTo>
              <a:cubicBezTo>
                <a:pt x="1989" y="812"/>
                <a:pt x="1989" y="812"/>
                <a:pt x="1989" y="812"/>
              </a:cubicBezTo>
              <a:cubicBezTo>
                <a:pt x="1989" y="812"/>
                <a:pt x="1989" y="812"/>
                <a:pt x="1989" y="812"/>
              </a:cubicBezTo>
              <a:close/>
              <a:moveTo>
                <a:pt x="1718" y="424"/>
              </a:moveTo>
              <a:cubicBezTo>
                <a:pt x="1718" y="521"/>
                <a:pt x="1718" y="521"/>
                <a:pt x="1718" y="521"/>
              </a:cubicBezTo>
              <a:cubicBezTo>
                <a:pt x="1685" y="567"/>
                <a:pt x="1665" y="616"/>
                <a:pt x="1655" y="656"/>
              </a:cubicBezTo>
              <a:cubicBezTo>
                <a:pt x="1651" y="670"/>
                <a:pt x="1649" y="684"/>
                <a:pt x="1648" y="697"/>
              </a:cubicBezTo>
              <a:cubicBezTo>
                <a:pt x="1578" y="697"/>
                <a:pt x="1578" y="697"/>
                <a:pt x="1578" y="697"/>
              </a:cubicBezTo>
              <a:cubicBezTo>
                <a:pt x="1637" y="417"/>
                <a:pt x="1637" y="417"/>
                <a:pt x="1637" y="417"/>
              </a:cubicBezTo>
              <a:cubicBezTo>
                <a:pt x="1438" y="416"/>
                <a:pt x="1438" y="416"/>
                <a:pt x="1438" y="416"/>
              </a:cubicBezTo>
              <a:cubicBezTo>
                <a:pt x="1260" y="697"/>
                <a:pt x="1260" y="697"/>
                <a:pt x="1260" y="697"/>
              </a:cubicBezTo>
              <a:cubicBezTo>
                <a:pt x="1247" y="697"/>
                <a:pt x="1247" y="697"/>
                <a:pt x="1247" y="697"/>
              </a:cubicBezTo>
              <a:cubicBezTo>
                <a:pt x="1247" y="18"/>
                <a:pt x="1247" y="18"/>
                <a:pt x="1247" y="18"/>
              </a:cubicBezTo>
              <a:cubicBezTo>
                <a:pt x="1718" y="18"/>
                <a:pt x="1718" y="18"/>
                <a:pt x="1718" y="18"/>
              </a:cubicBezTo>
              <a:cubicBezTo>
                <a:pt x="1718" y="424"/>
                <a:pt x="1718" y="424"/>
                <a:pt x="1718" y="424"/>
              </a:cubicBezTo>
              <a:cubicBezTo>
                <a:pt x="1718" y="424"/>
                <a:pt x="1718" y="424"/>
                <a:pt x="1718" y="424"/>
              </a:cubicBezTo>
              <a:close/>
              <a:moveTo>
                <a:pt x="1455" y="697"/>
              </a:moveTo>
              <a:cubicBezTo>
                <a:pt x="1384" y="697"/>
                <a:pt x="1384" y="697"/>
                <a:pt x="1384" y="697"/>
              </a:cubicBezTo>
              <a:cubicBezTo>
                <a:pt x="1491" y="529"/>
                <a:pt x="1491" y="529"/>
                <a:pt x="1491" y="529"/>
              </a:cubicBezTo>
              <a:cubicBezTo>
                <a:pt x="1455" y="697"/>
                <a:pt x="1455" y="697"/>
                <a:pt x="1455" y="697"/>
              </a:cubicBezTo>
              <a:cubicBezTo>
                <a:pt x="1455" y="697"/>
                <a:pt x="1455" y="697"/>
                <a:pt x="1455" y="697"/>
              </a:cubicBezTo>
              <a:close/>
              <a:moveTo>
                <a:pt x="1169" y="416"/>
              </a:moveTo>
              <a:cubicBezTo>
                <a:pt x="1051" y="416"/>
                <a:pt x="1051" y="416"/>
                <a:pt x="1051" y="416"/>
              </a:cubicBezTo>
              <a:cubicBezTo>
                <a:pt x="970" y="697"/>
                <a:pt x="970" y="697"/>
                <a:pt x="970" y="697"/>
              </a:cubicBezTo>
              <a:cubicBezTo>
                <a:pt x="845" y="697"/>
                <a:pt x="845" y="697"/>
                <a:pt x="845" y="697"/>
              </a:cubicBezTo>
              <a:cubicBezTo>
                <a:pt x="909" y="674"/>
                <a:pt x="948" y="629"/>
                <a:pt x="960" y="562"/>
              </a:cubicBezTo>
              <a:cubicBezTo>
                <a:pt x="970" y="510"/>
                <a:pt x="965" y="476"/>
                <a:pt x="944" y="451"/>
              </a:cubicBezTo>
              <a:cubicBezTo>
                <a:pt x="912" y="413"/>
                <a:pt x="848" y="416"/>
                <a:pt x="792" y="416"/>
              </a:cubicBezTo>
              <a:cubicBezTo>
                <a:pt x="782" y="416"/>
                <a:pt x="698" y="416"/>
                <a:pt x="698" y="416"/>
              </a:cubicBezTo>
              <a:cubicBezTo>
                <a:pt x="698" y="18"/>
                <a:pt x="698" y="18"/>
                <a:pt x="698" y="18"/>
              </a:cubicBezTo>
              <a:cubicBezTo>
                <a:pt x="1169" y="18"/>
                <a:pt x="1169" y="18"/>
                <a:pt x="1169" y="18"/>
              </a:cubicBezTo>
              <a:cubicBezTo>
                <a:pt x="1169" y="416"/>
                <a:pt x="1169" y="416"/>
                <a:pt x="1169" y="416"/>
              </a:cubicBezTo>
              <a:cubicBezTo>
                <a:pt x="1169" y="416"/>
                <a:pt x="1169" y="416"/>
                <a:pt x="1169" y="416"/>
              </a:cubicBezTo>
              <a:close/>
              <a:moveTo>
                <a:pt x="1094" y="697"/>
              </a:moveTo>
              <a:cubicBezTo>
                <a:pt x="1143" y="521"/>
                <a:pt x="1143" y="521"/>
                <a:pt x="1143" y="521"/>
              </a:cubicBezTo>
              <a:cubicBezTo>
                <a:pt x="1145" y="697"/>
                <a:pt x="1145" y="697"/>
                <a:pt x="1145" y="697"/>
              </a:cubicBezTo>
              <a:cubicBezTo>
                <a:pt x="1094" y="697"/>
                <a:pt x="1094" y="697"/>
                <a:pt x="1094" y="697"/>
              </a:cubicBezTo>
              <a:cubicBezTo>
                <a:pt x="1094" y="697"/>
                <a:pt x="1094" y="697"/>
                <a:pt x="1094" y="697"/>
              </a:cubicBezTo>
              <a:close/>
              <a:moveTo>
                <a:pt x="751" y="630"/>
              </a:moveTo>
              <a:cubicBezTo>
                <a:pt x="751" y="630"/>
                <a:pt x="751" y="630"/>
                <a:pt x="751" y="630"/>
              </a:cubicBezTo>
              <a:cubicBezTo>
                <a:pt x="746" y="630"/>
                <a:pt x="741" y="631"/>
                <a:pt x="736" y="631"/>
              </a:cubicBezTo>
              <a:cubicBezTo>
                <a:pt x="729" y="631"/>
                <a:pt x="724" y="631"/>
                <a:pt x="719" y="631"/>
              </a:cubicBezTo>
              <a:cubicBezTo>
                <a:pt x="689" y="631"/>
                <a:pt x="689" y="631"/>
                <a:pt x="689" y="631"/>
              </a:cubicBezTo>
              <a:cubicBezTo>
                <a:pt x="703" y="579"/>
                <a:pt x="703" y="579"/>
                <a:pt x="703" y="579"/>
              </a:cubicBezTo>
              <a:cubicBezTo>
                <a:pt x="709" y="554"/>
                <a:pt x="709" y="554"/>
                <a:pt x="709" y="554"/>
              </a:cubicBezTo>
              <a:cubicBezTo>
                <a:pt x="725" y="494"/>
                <a:pt x="725" y="494"/>
                <a:pt x="725" y="494"/>
              </a:cubicBezTo>
              <a:cubicBezTo>
                <a:pt x="732" y="494"/>
                <a:pt x="739" y="494"/>
                <a:pt x="746" y="494"/>
              </a:cubicBezTo>
              <a:cubicBezTo>
                <a:pt x="769" y="494"/>
                <a:pt x="769" y="494"/>
                <a:pt x="769" y="494"/>
              </a:cubicBezTo>
              <a:cubicBezTo>
                <a:pt x="809" y="494"/>
                <a:pt x="834" y="496"/>
                <a:pt x="843" y="509"/>
              </a:cubicBezTo>
              <a:cubicBezTo>
                <a:pt x="850" y="518"/>
                <a:pt x="849" y="535"/>
                <a:pt x="841" y="560"/>
              </a:cubicBezTo>
              <a:cubicBezTo>
                <a:pt x="827" y="603"/>
                <a:pt x="809" y="626"/>
                <a:pt x="751" y="630"/>
              </a:cubicBezTo>
              <a:moveTo>
                <a:pt x="620" y="441"/>
              </a:moveTo>
              <a:cubicBezTo>
                <a:pt x="613" y="465"/>
                <a:pt x="613" y="465"/>
                <a:pt x="613" y="465"/>
              </a:cubicBezTo>
              <a:cubicBezTo>
                <a:pt x="545" y="689"/>
                <a:pt x="545" y="689"/>
                <a:pt x="545" y="689"/>
              </a:cubicBezTo>
              <a:cubicBezTo>
                <a:pt x="542" y="697"/>
                <a:pt x="542" y="697"/>
                <a:pt x="542" y="697"/>
              </a:cubicBezTo>
              <a:cubicBezTo>
                <a:pt x="321" y="697"/>
                <a:pt x="321" y="697"/>
                <a:pt x="321" y="697"/>
              </a:cubicBezTo>
              <a:cubicBezTo>
                <a:pt x="303" y="661"/>
                <a:pt x="303" y="661"/>
                <a:pt x="303" y="661"/>
              </a:cubicBezTo>
              <a:cubicBezTo>
                <a:pt x="542" y="417"/>
                <a:pt x="542" y="417"/>
                <a:pt x="542" y="417"/>
              </a:cubicBezTo>
              <a:cubicBezTo>
                <a:pt x="389" y="417"/>
                <a:pt x="389" y="417"/>
                <a:pt x="389" y="417"/>
              </a:cubicBezTo>
              <a:cubicBezTo>
                <a:pt x="202" y="618"/>
                <a:pt x="202" y="618"/>
                <a:pt x="202" y="618"/>
              </a:cubicBezTo>
              <a:cubicBezTo>
                <a:pt x="262" y="417"/>
                <a:pt x="262" y="417"/>
                <a:pt x="262" y="417"/>
              </a:cubicBezTo>
              <a:cubicBezTo>
                <a:pt x="149" y="417"/>
                <a:pt x="149" y="417"/>
                <a:pt x="149" y="417"/>
              </a:cubicBezTo>
              <a:cubicBezTo>
                <a:pt x="149" y="18"/>
                <a:pt x="149" y="18"/>
                <a:pt x="149" y="18"/>
              </a:cubicBezTo>
              <a:cubicBezTo>
                <a:pt x="620" y="18"/>
                <a:pt x="620" y="18"/>
                <a:pt x="620" y="18"/>
              </a:cubicBezTo>
              <a:cubicBezTo>
                <a:pt x="620" y="441"/>
                <a:pt x="620" y="441"/>
                <a:pt x="620" y="441"/>
              </a:cubicBezTo>
              <a:cubicBezTo>
                <a:pt x="620" y="441"/>
                <a:pt x="620" y="441"/>
                <a:pt x="620" y="441"/>
              </a:cubicBezTo>
              <a:close/>
              <a:moveTo>
                <a:pt x="178" y="697"/>
              </a:moveTo>
              <a:cubicBezTo>
                <a:pt x="179" y="695"/>
                <a:pt x="179" y="695"/>
                <a:pt x="179" y="695"/>
              </a:cubicBezTo>
              <a:cubicBezTo>
                <a:pt x="180" y="697"/>
                <a:pt x="180" y="697"/>
                <a:pt x="180" y="697"/>
              </a:cubicBezTo>
              <a:cubicBezTo>
                <a:pt x="178" y="697"/>
                <a:pt x="178" y="697"/>
                <a:pt x="178" y="697"/>
              </a:cubicBezTo>
              <a:cubicBezTo>
                <a:pt x="178" y="697"/>
                <a:pt x="178" y="697"/>
                <a:pt x="178" y="697"/>
              </a:cubicBezTo>
              <a:close/>
              <a:moveTo>
                <a:pt x="1778" y="0"/>
              </a:moveTo>
              <a:cubicBezTo>
                <a:pt x="1778" y="457"/>
                <a:pt x="1778" y="457"/>
                <a:pt x="1778" y="457"/>
              </a:cubicBezTo>
              <a:cubicBezTo>
                <a:pt x="1763" y="469"/>
                <a:pt x="1749" y="483"/>
                <a:pt x="1736" y="498"/>
              </a:cubicBezTo>
              <a:cubicBezTo>
                <a:pt x="1736" y="0"/>
                <a:pt x="1736" y="0"/>
                <a:pt x="1736" y="0"/>
              </a:cubicBezTo>
              <a:cubicBezTo>
                <a:pt x="1229" y="0"/>
                <a:pt x="1229" y="0"/>
                <a:pt x="1229" y="0"/>
              </a:cubicBezTo>
              <a:cubicBezTo>
                <a:pt x="1229" y="416"/>
                <a:pt x="1229" y="416"/>
                <a:pt x="1229" y="416"/>
              </a:cubicBezTo>
              <a:cubicBezTo>
                <a:pt x="1187" y="416"/>
                <a:pt x="1187" y="416"/>
                <a:pt x="1187" y="416"/>
              </a:cubicBezTo>
              <a:cubicBezTo>
                <a:pt x="1187" y="0"/>
                <a:pt x="1187" y="0"/>
                <a:pt x="1187" y="0"/>
              </a:cubicBezTo>
              <a:cubicBezTo>
                <a:pt x="680" y="0"/>
                <a:pt x="680" y="0"/>
                <a:pt x="680" y="0"/>
              </a:cubicBezTo>
              <a:cubicBezTo>
                <a:pt x="680" y="417"/>
                <a:pt x="680" y="417"/>
                <a:pt x="680" y="417"/>
              </a:cubicBezTo>
              <a:cubicBezTo>
                <a:pt x="638" y="417"/>
                <a:pt x="638" y="417"/>
                <a:pt x="638" y="417"/>
              </a:cubicBezTo>
              <a:cubicBezTo>
                <a:pt x="638" y="0"/>
                <a:pt x="638" y="0"/>
                <a:pt x="638" y="0"/>
              </a:cubicBezTo>
              <a:cubicBezTo>
                <a:pt x="131" y="0"/>
                <a:pt x="131" y="0"/>
                <a:pt x="131" y="0"/>
              </a:cubicBezTo>
              <a:cubicBezTo>
                <a:pt x="131" y="475"/>
                <a:pt x="131" y="475"/>
                <a:pt x="131" y="475"/>
              </a:cubicBezTo>
              <a:cubicBezTo>
                <a:pt x="2" y="906"/>
                <a:pt x="2" y="906"/>
                <a:pt x="2" y="906"/>
              </a:cubicBezTo>
              <a:cubicBezTo>
                <a:pt x="115" y="906"/>
                <a:pt x="115" y="906"/>
                <a:pt x="115" y="906"/>
              </a:cubicBezTo>
              <a:cubicBezTo>
                <a:pt x="173" y="715"/>
                <a:pt x="173" y="715"/>
                <a:pt x="173" y="715"/>
              </a:cubicBezTo>
              <a:cubicBezTo>
                <a:pt x="189" y="715"/>
                <a:pt x="189" y="715"/>
                <a:pt x="189" y="715"/>
              </a:cubicBezTo>
              <a:cubicBezTo>
                <a:pt x="283" y="906"/>
                <a:pt x="283" y="906"/>
                <a:pt x="283" y="906"/>
              </a:cubicBezTo>
              <a:cubicBezTo>
                <a:pt x="421" y="906"/>
                <a:pt x="421" y="906"/>
                <a:pt x="421" y="906"/>
              </a:cubicBezTo>
              <a:cubicBezTo>
                <a:pt x="329" y="715"/>
                <a:pt x="329" y="715"/>
                <a:pt x="329" y="715"/>
              </a:cubicBezTo>
              <a:cubicBezTo>
                <a:pt x="537" y="715"/>
                <a:pt x="537" y="715"/>
                <a:pt x="537" y="715"/>
              </a:cubicBezTo>
              <a:cubicBezTo>
                <a:pt x="479" y="906"/>
                <a:pt x="479" y="906"/>
                <a:pt x="479" y="906"/>
              </a:cubicBezTo>
              <a:cubicBezTo>
                <a:pt x="604" y="906"/>
                <a:pt x="604" y="906"/>
                <a:pt x="604" y="906"/>
              </a:cubicBezTo>
              <a:cubicBezTo>
                <a:pt x="661" y="715"/>
                <a:pt x="661" y="715"/>
                <a:pt x="661" y="715"/>
              </a:cubicBezTo>
              <a:cubicBezTo>
                <a:pt x="688" y="715"/>
                <a:pt x="688" y="715"/>
                <a:pt x="688" y="715"/>
              </a:cubicBezTo>
              <a:cubicBezTo>
                <a:pt x="688" y="715"/>
                <a:pt x="688" y="715"/>
                <a:pt x="688" y="715"/>
              </a:cubicBezTo>
              <a:cubicBezTo>
                <a:pt x="727" y="715"/>
                <a:pt x="727" y="715"/>
                <a:pt x="727" y="715"/>
              </a:cubicBezTo>
              <a:cubicBezTo>
                <a:pt x="730" y="715"/>
                <a:pt x="730" y="715"/>
                <a:pt x="730" y="715"/>
              </a:cubicBezTo>
              <a:cubicBezTo>
                <a:pt x="965" y="715"/>
                <a:pt x="965" y="715"/>
                <a:pt x="965" y="715"/>
              </a:cubicBezTo>
              <a:cubicBezTo>
                <a:pt x="910" y="905"/>
                <a:pt x="910" y="905"/>
                <a:pt x="910" y="905"/>
              </a:cubicBezTo>
              <a:cubicBezTo>
                <a:pt x="1035" y="905"/>
                <a:pt x="1035" y="905"/>
                <a:pt x="1035" y="905"/>
              </a:cubicBezTo>
              <a:cubicBezTo>
                <a:pt x="1088" y="715"/>
                <a:pt x="1088" y="715"/>
                <a:pt x="1088" y="715"/>
              </a:cubicBezTo>
              <a:cubicBezTo>
                <a:pt x="1145" y="715"/>
                <a:pt x="1145" y="715"/>
                <a:pt x="1145" y="715"/>
              </a:cubicBezTo>
              <a:cubicBezTo>
                <a:pt x="1146" y="905"/>
                <a:pt x="1146" y="905"/>
                <a:pt x="1146" y="905"/>
              </a:cubicBezTo>
              <a:cubicBezTo>
                <a:pt x="1252" y="905"/>
                <a:pt x="1252" y="905"/>
                <a:pt x="1252" y="905"/>
              </a:cubicBezTo>
              <a:cubicBezTo>
                <a:pt x="1372" y="715"/>
                <a:pt x="1372" y="715"/>
                <a:pt x="1372" y="715"/>
              </a:cubicBezTo>
              <a:cubicBezTo>
                <a:pt x="1451" y="715"/>
                <a:pt x="1451" y="715"/>
                <a:pt x="1451" y="715"/>
              </a:cubicBezTo>
              <a:cubicBezTo>
                <a:pt x="1410" y="905"/>
                <a:pt x="1410" y="905"/>
                <a:pt x="1410" y="905"/>
              </a:cubicBezTo>
              <a:cubicBezTo>
                <a:pt x="1534" y="905"/>
                <a:pt x="1534" y="905"/>
                <a:pt x="1534" y="905"/>
              </a:cubicBezTo>
              <a:cubicBezTo>
                <a:pt x="1574" y="715"/>
                <a:pt x="1574" y="715"/>
                <a:pt x="1574" y="715"/>
              </a:cubicBezTo>
              <a:cubicBezTo>
                <a:pt x="1645" y="715"/>
                <a:pt x="1645" y="715"/>
                <a:pt x="1645" y="715"/>
              </a:cubicBezTo>
              <a:cubicBezTo>
                <a:pt x="1643" y="774"/>
                <a:pt x="1658" y="827"/>
                <a:pt x="1697" y="863"/>
              </a:cubicBezTo>
              <a:cubicBezTo>
                <a:pt x="1745" y="907"/>
                <a:pt x="1818" y="916"/>
                <a:pt x="1872" y="916"/>
              </a:cubicBezTo>
              <a:cubicBezTo>
                <a:pt x="1947" y="916"/>
                <a:pt x="2024" y="905"/>
                <a:pt x="2102" y="888"/>
              </a:cubicBezTo>
              <a:cubicBezTo>
                <a:pt x="2145" y="715"/>
                <a:pt x="2145" y="715"/>
                <a:pt x="2145" y="715"/>
              </a:cubicBezTo>
              <a:cubicBezTo>
                <a:pt x="2285" y="715"/>
                <a:pt x="2285" y="715"/>
                <a:pt x="2285" y="715"/>
              </a:cubicBezTo>
              <a:cubicBezTo>
                <a:pt x="2285" y="0"/>
                <a:pt x="2285" y="0"/>
                <a:pt x="2285" y="0"/>
              </a:cubicBezTo>
              <a:cubicBezTo>
                <a:pt x="1778" y="0"/>
                <a:pt x="1778" y="0"/>
                <a:pt x="1778" y="0"/>
              </a:cubicBezTo>
              <a:cubicBezTo>
                <a:pt x="1778" y="0"/>
                <a:pt x="1778" y="0"/>
                <a:pt x="1778" y="0"/>
              </a:cubicBezTo>
              <a:close/>
              <a:moveTo>
                <a:pt x="222" y="1195"/>
              </a:moveTo>
              <a:cubicBezTo>
                <a:pt x="203" y="1286"/>
                <a:pt x="203" y="1286"/>
                <a:pt x="203" y="1286"/>
              </a:cubicBezTo>
              <a:cubicBezTo>
                <a:pt x="200" y="1299"/>
                <a:pt x="196" y="1320"/>
                <a:pt x="220" y="1320"/>
              </a:cubicBezTo>
              <a:cubicBezTo>
                <a:pt x="249" y="1320"/>
                <a:pt x="253" y="1298"/>
                <a:pt x="259" y="1272"/>
              </a:cubicBezTo>
              <a:cubicBezTo>
                <a:pt x="275" y="1195"/>
                <a:pt x="275" y="1195"/>
                <a:pt x="275" y="1195"/>
              </a:cubicBezTo>
              <a:cubicBezTo>
                <a:pt x="321" y="1195"/>
                <a:pt x="321" y="1195"/>
                <a:pt x="321" y="1195"/>
              </a:cubicBezTo>
              <a:cubicBezTo>
                <a:pt x="300" y="1296"/>
                <a:pt x="300" y="1296"/>
                <a:pt x="300" y="1296"/>
              </a:cubicBezTo>
              <a:cubicBezTo>
                <a:pt x="294" y="1329"/>
                <a:pt x="293" y="1333"/>
                <a:pt x="292" y="1337"/>
              </a:cubicBezTo>
              <a:cubicBezTo>
                <a:pt x="292" y="1341"/>
                <a:pt x="291" y="1344"/>
                <a:pt x="291" y="1348"/>
              </a:cubicBezTo>
              <a:cubicBezTo>
                <a:pt x="247" y="1348"/>
                <a:pt x="247" y="1348"/>
                <a:pt x="247" y="1348"/>
              </a:cubicBezTo>
              <a:cubicBezTo>
                <a:pt x="250" y="1328"/>
                <a:pt x="250" y="1328"/>
                <a:pt x="250" y="1328"/>
              </a:cubicBezTo>
              <a:cubicBezTo>
                <a:pt x="244" y="1334"/>
                <a:pt x="229" y="1352"/>
                <a:pt x="200" y="1352"/>
              </a:cubicBezTo>
              <a:cubicBezTo>
                <a:pt x="179" y="1352"/>
                <a:pt x="164" y="1343"/>
                <a:pt x="158" y="1331"/>
              </a:cubicBezTo>
              <a:cubicBezTo>
                <a:pt x="151" y="1319"/>
                <a:pt x="155" y="1297"/>
                <a:pt x="157" y="1290"/>
              </a:cubicBezTo>
              <a:cubicBezTo>
                <a:pt x="177" y="1195"/>
                <a:pt x="177" y="1195"/>
                <a:pt x="177" y="1195"/>
              </a:cubicBezTo>
              <a:cubicBezTo>
                <a:pt x="222" y="1195"/>
                <a:pt x="222" y="1195"/>
                <a:pt x="222" y="1195"/>
              </a:cubicBezTo>
              <a:cubicBezTo>
                <a:pt x="222" y="1195"/>
                <a:pt x="222" y="1195"/>
                <a:pt x="222" y="1195"/>
              </a:cubicBezTo>
              <a:close/>
              <a:moveTo>
                <a:pt x="514" y="1225"/>
              </a:moveTo>
              <a:cubicBezTo>
                <a:pt x="550" y="1225"/>
                <a:pt x="550" y="1225"/>
                <a:pt x="550" y="1225"/>
              </a:cubicBezTo>
              <a:cubicBezTo>
                <a:pt x="556" y="1196"/>
                <a:pt x="556" y="1196"/>
                <a:pt x="556" y="1196"/>
              </a:cubicBezTo>
              <a:cubicBezTo>
                <a:pt x="520" y="1196"/>
                <a:pt x="520" y="1196"/>
                <a:pt x="520" y="1196"/>
              </a:cubicBezTo>
              <a:cubicBezTo>
                <a:pt x="530" y="1149"/>
                <a:pt x="530" y="1149"/>
                <a:pt x="530" y="1149"/>
              </a:cubicBezTo>
              <a:cubicBezTo>
                <a:pt x="482" y="1166"/>
                <a:pt x="482" y="1166"/>
                <a:pt x="482" y="1166"/>
              </a:cubicBezTo>
              <a:cubicBezTo>
                <a:pt x="475" y="1196"/>
                <a:pt x="475" y="1196"/>
                <a:pt x="475" y="1196"/>
              </a:cubicBezTo>
              <a:cubicBezTo>
                <a:pt x="414" y="1196"/>
                <a:pt x="414" y="1196"/>
                <a:pt x="414" y="1196"/>
              </a:cubicBezTo>
              <a:cubicBezTo>
                <a:pt x="424" y="1149"/>
                <a:pt x="424" y="1149"/>
                <a:pt x="424" y="1149"/>
              </a:cubicBezTo>
              <a:cubicBezTo>
                <a:pt x="376" y="1166"/>
                <a:pt x="376" y="1166"/>
                <a:pt x="376" y="1166"/>
              </a:cubicBezTo>
              <a:cubicBezTo>
                <a:pt x="369" y="1196"/>
                <a:pt x="369" y="1196"/>
                <a:pt x="369" y="1196"/>
              </a:cubicBezTo>
              <a:cubicBezTo>
                <a:pt x="340" y="1196"/>
                <a:pt x="340" y="1196"/>
                <a:pt x="340" y="1196"/>
              </a:cubicBezTo>
              <a:cubicBezTo>
                <a:pt x="333" y="1225"/>
                <a:pt x="333" y="1225"/>
                <a:pt x="333" y="1225"/>
              </a:cubicBezTo>
              <a:cubicBezTo>
                <a:pt x="363" y="1225"/>
                <a:pt x="363" y="1225"/>
                <a:pt x="363" y="1225"/>
              </a:cubicBezTo>
              <a:cubicBezTo>
                <a:pt x="345" y="1310"/>
                <a:pt x="345" y="1310"/>
                <a:pt x="345" y="1310"/>
              </a:cubicBezTo>
              <a:cubicBezTo>
                <a:pt x="342" y="1322"/>
                <a:pt x="336" y="1351"/>
                <a:pt x="382" y="1351"/>
              </a:cubicBezTo>
              <a:cubicBezTo>
                <a:pt x="389" y="1351"/>
                <a:pt x="402" y="1350"/>
                <a:pt x="417" y="1346"/>
              </a:cubicBezTo>
              <a:cubicBezTo>
                <a:pt x="424" y="1317"/>
                <a:pt x="424" y="1317"/>
                <a:pt x="424" y="1317"/>
              </a:cubicBezTo>
              <a:cubicBezTo>
                <a:pt x="418" y="1317"/>
                <a:pt x="415" y="1317"/>
                <a:pt x="408" y="1317"/>
              </a:cubicBezTo>
              <a:cubicBezTo>
                <a:pt x="388" y="1317"/>
                <a:pt x="391" y="1309"/>
                <a:pt x="393" y="1295"/>
              </a:cubicBezTo>
              <a:cubicBezTo>
                <a:pt x="408" y="1225"/>
                <a:pt x="408" y="1225"/>
                <a:pt x="408" y="1225"/>
              </a:cubicBezTo>
              <a:cubicBezTo>
                <a:pt x="469" y="1225"/>
                <a:pt x="469" y="1225"/>
                <a:pt x="469" y="1225"/>
              </a:cubicBezTo>
              <a:cubicBezTo>
                <a:pt x="451" y="1310"/>
                <a:pt x="451" y="1310"/>
                <a:pt x="451" y="1310"/>
              </a:cubicBezTo>
              <a:cubicBezTo>
                <a:pt x="448" y="1322"/>
                <a:pt x="442" y="1351"/>
                <a:pt x="488" y="1351"/>
              </a:cubicBezTo>
              <a:cubicBezTo>
                <a:pt x="495" y="1351"/>
                <a:pt x="508" y="1350"/>
                <a:pt x="523" y="1346"/>
              </a:cubicBezTo>
              <a:cubicBezTo>
                <a:pt x="530" y="1317"/>
                <a:pt x="530" y="1317"/>
                <a:pt x="530" y="1317"/>
              </a:cubicBezTo>
              <a:cubicBezTo>
                <a:pt x="524" y="1317"/>
                <a:pt x="521" y="1317"/>
                <a:pt x="514" y="1317"/>
              </a:cubicBezTo>
              <a:cubicBezTo>
                <a:pt x="494" y="1317"/>
                <a:pt x="496" y="1309"/>
                <a:pt x="499" y="1295"/>
              </a:cubicBezTo>
              <a:cubicBezTo>
                <a:pt x="514" y="1225"/>
                <a:pt x="514" y="1225"/>
                <a:pt x="514" y="1225"/>
              </a:cubicBezTo>
              <a:cubicBezTo>
                <a:pt x="514" y="1225"/>
                <a:pt x="514" y="1225"/>
                <a:pt x="514" y="1225"/>
              </a:cubicBezTo>
              <a:close/>
              <a:moveTo>
                <a:pt x="579" y="1194"/>
              </a:moveTo>
              <a:cubicBezTo>
                <a:pt x="624" y="1194"/>
                <a:pt x="624" y="1194"/>
                <a:pt x="624" y="1194"/>
              </a:cubicBezTo>
              <a:cubicBezTo>
                <a:pt x="591" y="1348"/>
                <a:pt x="591" y="1348"/>
                <a:pt x="591" y="1348"/>
              </a:cubicBezTo>
              <a:cubicBezTo>
                <a:pt x="546" y="1348"/>
                <a:pt x="546" y="1348"/>
                <a:pt x="546" y="1348"/>
              </a:cubicBezTo>
              <a:cubicBezTo>
                <a:pt x="579" y="1194"/>
                <a:pt x="579" y="1194"/>
                <a:pt x="579" y="1194"/>
              </a:cubicBezTo>
              <a:cubicBezTo>
                <a:pt x="579" y="1194"/>
                <a:pt x="579" y="1194"/>
                <a:pt x="579" y="1194"/>
              </a:cubicBezTo>
              <a:close/>
              <a:moveTo>
                <a:pt x="591" y="1129"/>
              </a:moveTo>
              <a:cubicBezTo>
                <a:pt x="640" y="1129"/>
                <a:pt x="640" y="1129"/>
                <a:pt x="640" y="1129"/>
              </a:cubicBezTo>
              <a:cubicBezTo>
                <a:pt x="631" y="1168"/>
                <a:pt x="631" y="1168"/>
                <a:pt x="631" y="1168"/>
              </a:cubicBezTo>
              <a:cubicBezTo>
                <a:pt x="583" y="1168"/>
                <a:pt x="583" y="1168"/>
                <a:pt x="583" y="1168"/>
              </a:cubicBezTo>
              <a:cubicBezTo>
                <a:pt x="591" y="1129"/>
                <a:pt x="591" y="1129"/>
                <a:pt x="591" y="1129"/>
              </a:cubicBezTo>
              <a:cubicBezTo>
                <a:pt x="591" y="1129"/>
                <a:pt x="591" y="1129"/>
                <a:pt x="591" y="1129"/>
              </a:cubicBezTo>
              <a:close/>
              <a:moveTo>
                <a:pt x="653" y="1222"/>
              </a:moveTo>
              <a:cubicBezTo>
                <a:pt x="654" y="1221"/>
                <a:pt x="657" y="1205"/>
                <a:pt x="659" y="1194"/>
              </a:cubicBezTo>
              <a:cubicBezTo>
                <a:pt x="702" y="1194"/>
                <a:pt x="702" y="1194"/>
                <a:pt x="702" y="1194"/>
              </a:cubicBezTo>
              <a:cubicBezTo>
                <a:pt x="698" y="1217"/>
                <a:pt x="698" y="1217"/>
                <a:pt x="698" y="1217"/>
              </a:cubicBezTo>
              <a:cubicBezTo>
                <a:pt x="704" y="1210"/>
                <a:pt x="720" y="1191"/>
                <a:pt x="753" y="1191"/>
              </a:cubicBezTo>
              <a:cubicBezTo>
                <a:pt x="784" y="1191"/>
                <a:pt x="793" y="1209"/>
                <a:pt x="794" y="1220"/>
              </a:cubicBezTo>
              <a:cubicBezTo>
                <a:pt x="796" y="1229"/>
                <a:pt x="795" y="1236"/>
                <a:pt x="789" y="1265"/>
              </a:cubicBezTo>
              <a:cubicBezTo>
                <a:pt x="771" y="1348"/>
                <a:pt x="771" y="1348"/>
                <a:pt x="771" y="1348"/>
              </a:cubicBezTo>
              <a:cubicBezTo>
                <a:pt x="725" y="1348"/>
                <a:pt x="725" y="1348"/>
                <a:pt x="725" y="1348"/>
              </a:cubicBezTo>
              <a:cubicBezTo>
                <a:pt x="746" y="1253"/>
                <a:pt x="746" y="1253"/>
                <a:pt x="746" y="1253"/>
              </a:cubicBezTo>
              <a:cubicBezTo>
                <a:pt x="747" y="1246"/>
                <a:pt x="748" y="1241"/>
                <a:pt x="746" y="1236"/>
              </a:cubicBezTo>
              <a:cubicBezTo>
                <a:pt x="745" y="1230"/>
                <a:pt x="739" y="1223"/>
                <a:pt x="728" y="1223"/>
              </a:cubicBezTo>
              <a:cubicBezTo>
                <a:pt x="718" y="1223"/>
                <a:pt x="708" y="1227"/>
                <a:pt x="702" y="1235"/>
              </a:cubicBezTo>
              <a:cubicBezTo>
                <a:pt x="698" y="1239"/>
                <a:pt x="694" y="1246"/>
                <a:pt x="691" y="1258"/>
              </a:cubicBezTo>
              <a:cubicBezTo>
                <a:pt x="672" y="1348"/>
                <a:pt x="672" y="1348"/>
                <a:pt x="672" y="1348"/>
              </a:cubicBezTo>
              <a:cubicBezTo>
                <a:pt x="627" y="1348"/>
                <a:pt x="627" y="1348"/>
                <a:pt x="627" y="1348"/>
              </a:cubicBezTo>
              <a:cubicBezTo>
                <a:pt x="653" y="1222"/>
                <a:pt x="653" y="1222"/>
                <a:pt x="653" y="1222"/>
              </a:cubicBezTo>
              <a:cubicBezTo>
                <a:pt x="653" y="1222"/>
                <a:pt x="653" y="1222"/>
                <a:pt x="653" y="1222"/>
              </a:cubicBezTo>
              <a:close/>
              <a:moveTo>
                <a:pt x="985" y="1196"/>
              </a:moveTo>
              <a:cubicBezTo>
                <a:pt x="981" y="1207"/>
                <a:pt x="978" y="1218"/>
                <a:pt x="975" y="1233"/>
              </a:cubicBezTo>
              <a:cubicBezTo>
                <a:pt x="951" y="1346"/>
                <a:pt x="951" y="1346"/>
                <a:pt x="951" y="1346"/>
              </a:cubicBezTo>
              <a:cubicBezTo>
                <a:pt x="939" y="1403"/>
                <a:pt x="891" y="1409"/>
                <a:pt x="861" y="1409"/>
              </a:cubicBezTo>
              <a:cubicBezTo>
                <a:pt x="839" y="1409"/>
                <a:pt x="797" y="1406"/>
                <a:pt x="804" y="1359"/>
              </a:cubicBezTo>
              <a:cubicBezTo>
                <a:pt x="847" y="1359"/>
                <a:pt x="847" y="1359"/>
                <a:pt x="847" y="1359"/>
              </a:cubicBezTo>
              <a:cubicBezTo>
                <a:pt x="847" y="1362"/>
                <a:pt x="847" y="1367"/>
                <a:pt x="850" y="1372"/>
              </a:cubicBezTo>
              <a:cubicBezTo>
                <a:pt x="852" y="1376"/>
                <a:pt x="858" y="1380"/>
                <a:pt x="869" y="1380"/>
              </a:cubicBezTo>
              <a:cubicBezTo>
                <a:pt x="883" y="1380"/>
                <a:pt x="896" y="1374"/>
                <a:pt x="902" y="1360"/>
              </a:cubicBezTo>
              <a:cubicBezTo>
                <a:pt x="905" y="1353"/>
                <a:pt x="906" y="1347"/>
                <a:pt x="912" y="1324"/>
              </a:cubicBezTo>
              <a:cubicBezTo>
                <a:pt x="893" y="1343"/>
                <a:pt x="877" y="1345"/>
                <a:pt x="866" y="1345"/>
              </a:cubicBezTo>
              <a:cubicBezTo>
                <a:pt x="822" y="1345"/>
                <a:pt x="809" y="1307"/>
                <a:pt x="817" y="1270"/>
              </a:cubicBezTo>
              <a:cubicBezTo>
                <a:pt x="825" y="1231"/>
                <a:pt x="855" y="1194"/>
                <a:pt x="899" y="1194"/>
              </a:cubicBezTo>
              <a:cubicBezTo>
                <a:pt x="927" y="1194"/>
                <a:pt x="934" y="1209"/>
                <a:pt x="937" y="1216"/>
              </a:cubicBezTo>
              <a:cubicBezTo>
                <a:pt x="943" y="1196"/>
                <a:pt x="943" y="1196"/>
                <a:pt x="943" y="1196"/>
              </a:cubicBezTo>
              <a:cubicBezTo>
                <a:pt x="985" y="1196"/>
                <a:pt x="985" y="1196"/>
                <a:pt x="985" y="1196"/>
              </a:cubicBezTo>
              <a:cubicBezTo>
                <a:pt x="985" y="1196"/>
                <a:pt x="985" y="1196"/>
                <a:pt x="985" y="1196"/>
              </a:cubicBezTo>
              <a:close/>
              <a:moveTo>
                <a:pt x="883" y="1315"/>
              </a:moveTo>
              <a:cubicBezTo>
                <a:pt x="914" y="1315"/>
                <a:pt x="922" y="1277"/>
                <a:pt x="924" y="1271"/>
              </a:cubicBezTo>
              <a:cubicBezTo>
                <a:pt x="927" y="1253"/>
                <a:pt x="930" y="1224"/>
                <a:pt x="903" y="1224"/>
              </a:cubicBezTo>
              <a:cubicBezTo>
                <a:pt x="886" y="1224"/>
                <a:pt x="869" y="1237"/>
                <a:pt x="862" y="1270"/>
              </a:cubicBezTo>
              <a:cubicBezTo>
                <a:pt x="861" y="1277"/>
                <a:pt x="853" y="1315"/>
                <a:pt x="883" y="1315"/>
              </a:cubicBezTo>
              <a:moveTo>
                <a:pt x="1164" y="1346"/>
              </a:moveTo>
              <a:cubicBezTo>
                <a:pt x="1149" y="1350"/>
                <a:pt x="1136" y="1351"/>
                <a:pt x="1129" y="1351"/>
              </a:cubicBezTo>
              <a:cubicBezTo>
                <a:pt x="1083" y="1351"/>
                <a:pt x="1089" y="1322"/>
                <a:pt x="1092" y="1310"/>
              </a:cubicBezTo>
              <a:cubicBezTo>
                <a:pt x="1110" y="1225"/>
                <a:pt x="1110" y="1225"/>
                <a:pt x="1110" y="1225"/>
              </a:cubicBezTo>
              <a:cubicBezTo>
                <a:pt x="1080" y="1225"/>
                <a:pt x="1080" y="1225"/>
                <a:pt x="1080" y="1225"/>
              </a:cubicBezTo>
              <a:cubicBezTo>
                <a:pt x="1087" y="1196"/>
                <a:pt x="1087" y="1196"/>
                <a:pt x="1087" y="1196"/>
              </a:cubicBezTo>
              <a:cubicBezTo>
                <a:pt x="1116" y="1196"/>
                <a:pt x="1116" y="1196"/>
                <a:pt x="1116" y="1196"/>
              </a:cubicBezTo>
              <a:cubicBezTo>
                <a:pt x="1123" y="1166"/>
                <a:pt x="1123" y="1166"/>
                <a:pt x="1123" y="1166"/>
              </a:cubicBezTo>
              <a:cubicBezTo>
                <a:pt x="1171" y="1149"/>
                <a:pt x="1171" y="1149"/>
                <a:pt x="1171" y="1149"/>
              </a:cubicBezTo>
              <a:cubicBezTo>
                <a:pt x="1161" y="1196"/>
                <a:pt x="1161" y="1196"/>
                <a:pt x="1161" y="1196"/>
              </a:cubicBezTo>
              <a:cubicBezTo>
                <a:pt x="1198" y="1196"/>
                <a:pt x="1198" y="1196"/>
                <a:pt x="1198" y="1196"/>
              </a:cubicBezTo>
              <a:cubicBezTo>
                <a:pt x="1191" y="1225"/>
                <a:pt x="1191" y="1225"/>
                <a:pt x="1191" y="1225"/>
              </a:cubicBezTo>
              <a:cubicBezTo>
                <a:pt x="1155" y="1225"/>
                <a:pt x="1155" y="1225"/>
                <a:pt x="1155" y="1225"/>
              </a:cubicBezTo>
              <a:cubicBezTo>
                <a:pt x="1140" y="1295"/>
                <a:pt x="1140" y="1295"/>
                <a:pt x="1140" y="1295"/>
              </a:cubicBezTo>
              <a:cubicBezTo>
                <a:pt x="1137" y="1309"/>
                <a:pt x="1135" y="1317"/>
                <a:pt x="1155" y="1317"/>
              </a:cubicBezTo>
              <a:cubicBezTo>
                <a:pt x="1162" y="1317"/>
                <a:pt x="1165" y="1317"/>
                <a:pt x="1171" y="1317"/>
              </a:cubicBezTo>
              <a:cubicBezTo>
                <a:pt x="1164" y="1346"/>
                <a:pt x="1164" y="1346"/>
                <a:pt x="1164" y="1346"/>
              </a:cubicBezTo>
              <a:cubicBezTo>
                <a:pt x="1164" y="1346"/>
                <a:pt x="1164" y="1346"/>
                <a:pt x="1164" y="1346"/>
              </a:cubicBezTo>
              <a:close/>
              <a:moveTo>
                <a:pt x="1235" y="1129"/>
              </a:moveTo>
              <a:cubicBezTo>
                <a:pt x="1280" y="1129"/>
                <a:pt x="1280" y="1129"/>
                <a:pt x="1280" y="1129"/>
              </a:cubicBezTo>
              <a:cubicBezTo>
                <a:pt x="1261" y="1216"/>
                <a:pt x="1261" y="1216"/>
                <a:pt x="1261" y="1216"/>
              </a:cubicBezTo>
              <a:cubicBezTo>
                <a:pt x="1268" y="1208"/>
                <a:pt x="1283" y="1193"/>
                <a:pt x="1311" y="1193"/>
              </a:cubicBezTo>
              <a:cubicBezTo>
                <a:pt x="1334" y="1193"/>
                <a:pt x="1346" y="1204"/>
                <a:pt x="1351" y="1214"/>
              </a:cubicBezTo>
              <a:cubicBezTo>
                <a:pt x="1355" y="1221"/>
                <a:pt x="1356" y="1235"/>
                <a:pt x="1352" y="1255"/>
              </a:cubicBezTo>
              <a:cubicBezTo>
                <a:pt x="1332" y="1348"/>
                <a:pt x="1332" y="1348"/>
                <a:pt x="1332" y="1348"/>
              </a:cubicBezTo>
              <a:cubicBezTo>
                <a:pt x="1288" y="1348"/>
                <a:pt x="1288" y="1348"/>
                <a:pt x="1288" y="1348"/>
              </a:cubicBezTo>
              <a:cubicBezTo>
                <a:pt x="1307" y="1256"/>
                <a:pt x="1307" y="1256"/>
                <a:pt x="1307" y="1256"/>
              </a:cubicBezTo>
              <a:cubicBezTo>
                <a:pt x="1309" y="1248"/>
                <a:pt x="1314" y="1223"/>
                <a:pt x="1289" y="1223"/>
              </a:cubicBezTo>
              <a:cubicBezTo>
                <a:pt x="1276" y="1223"/>
                <a:pt x="1259" y="1230"/>
                <a:pt x="1253" y="1254"/>
              </a:cubicBezTo>
              <a:cubicBezTo>
                <a:pt x="1234" y="1348"/>
                <a:pt x="1234" y="1348"/>
                <a:pt x="1234" y="1348"/>
              </a:cubicBezTo>
              <a:cubicBezTo>
                <a:pt x="1189" y="1348"/>
                <a:pt x="1189" y="1348"/>
                <a:pt x="1189" y="1348"/>
              </a:cubicBezTo>
              <a:cubicBezTo>
                <a:pt x="1235" y="1129"/>
                <a:pt x="1235" y="1129"/>
                <a:pt x="1235" y="1129"/>
              </a:cubicBezTo>
              <a:cubicBezTo>
                <a:pt x="1235" y="1129"/>
                <a:pt x="1235" y="1129"/>
                <a:pt x="1235" y="1129"/>
              </a:cubicBezTo>
              <a:close/>
              <a:moveTo>
                <a:pt x="1387" y="1232"/>
              </a:moveTo>
              <a:cubicBezTo>
                <a:pt x="1389" y="1225"/>
                <a:pt x="1392" y="1203"/>
                <a:pt x="1393" y="1194"/>
              </a:cubicBezTo>
              <a:cubicBezTo>
                <a:pt x="1435" y="1194"/>
                <a:pt x="1435" y="1194"/>
                <a:pt x="1435" y="1194"/>
              </a:cubicBezTo>
              <a:cubicBezTo>
                <a:pt x="1430" y="1223"/>
                <a:pt x="1430" y="1223"/>
                <a:pt x="1430" y="1223"/>
              </a:cubicBezTo>
              <a:cubicBezTo>
                <a:pt x="1438" y="1211"/>
                <a:pt x="1452" y="1192"/>
                <a:pt x="1489" y="1194"/>
              </a:cubicBezTo>
              <a:cubicBezTo>
                <a:pt x="1480" y="1234"/>
                <a:pt x="1480" y="1234"/>
                <a:pt x="1480" y="1234"/>
              </a:cubicBezTo>
              <a:cubicBezTo>
                <a:pt x="1435" y="1230"/>
                <a:pt x="1428" y="1253"/>
                <a:pt x="1424" y="1273"/>
              </a:cubicBezTo>
              <a:cubicBezTo>
                <a:pt x="1408" y="1348"/>
                <a:pt x="1408" y="1348"/>
                <a:pt x="1408" y="1348"/>
              </a:cubicBezTo>
              <a:cubicBezTo>
                <a:pt x="1363" y="1348"/>
                <a:pt x="1363" y="1348"/>
                <a:pt x="1363" y="1348"/>
              </a:cubicBezTo>
              <a:cubicBezTo>
                <a:pt x="1387" y="1232"/>
                <a:pt x="1387" y="1232"/>
                <a:pt x="1387" y="1232"/>
              </a:cubicBezTo>
              <a:cubicBezTo>
                <a:pt x="1387" y="1232"/>
                <a:pt x="1387" y="1232"/>
                <a:pt x="1387" y="1232"/>
              </a:cubicBezTo>
              <a:close/>
              <a:moveTo>
                <a:pt x="1582" y="1191"/>
              </a:moveTo>
              <a:cubicBezTo>
                <a:pt x="1637" y="1191"/>
                <a:pt x="1654" y="1229"/>
                <a:pt x="1644" y="1271"/>
              </a:cubicBezTo>
              <a:cubicBezTo>
                <a:pt x="1635" y="1315"/>
                <a:pt x="1602" y="1353"/>
                <a:pt x="1546" y="1353"/>
              </a:cubicBezTo>
              <a:cubicBezTo>
                <a:pt x="1503" y="1353"/>
                <a:pt x="1474" y="1326"/>
                <a:pt x="1485" y="1273"/>
              </a:cubicBezTo>
              <a:cubicBezTo>
                <a:pt x="1493" y="1236"/>
                <a:pt x="1521" y="1191"/>
                <a:pt x="1582" y="1191"/>
              </a:cubicBezTo>
              <a:moveTo>
                <a:pt x="1555" y="1322"/>
              </a:moveTo>
              <a:cubicBezTo>
                <a:pt x="1574" y="1322"/>
                <a:pt x="1590" y="1310"/>
                <a:pt x="1599" y="1270"/>
              </a:cubicBezTo>
              <a:cubicBezTo>
                <a:pt x="1603" y="1250"/>
                <a:pt x="1605" y="1221"/>
                <a:pt x="1575" y="1221"/>
              </a:cubicBezTo>
              <a:cubicBezTo>
                <a:pt x="1543" y="1221"/>
                <a:pt x="1534" y="1259"/>
                <a:pt x="1531" y="1273"/>
              </a:cubicBezTo>
              <a:cubicBezTo>
                <a:pt x="1524" y="1307"/>
                <a:pt x="1532" y="1322"/>
                <a:pt x="1555" y="1322"/>
              </a:cubicBezTo>
              <a:moveTo>
                <a:pt x="1734" y="1195"/>
              </a:moveTo>
              <a:cubicBezTo>
                <a:pt x="1714" y="1286"/>
                <a:pt x="1714" y="1286"/>
                <a:pt x="1714" y="1286"/>
              </a:cubicBezTo>
              <a:cubicBezTo>
                <a:pt x="1711" y="1299"/>
                <a:pt x="1707" y="1320"/>
                <a:pt x="1731" y="1320"/>
              </a:cubicBezTo>
              <a:cubicBezTo>
                <a:pt x="1760" y="1320"/>
                <a:pt x="1765" y="1298"/>
                <a:pt x="1770" y="1272"/>
              </a:cubicBezTo>
              <a:cubicBezTo>
                <a:pt x="1786" y="1195"/>
                <a:pt x="1786" y="1195"/>
                <a:pt x="1786" y="1195"/>
              </a:cubicBezTo>
              <a:cubicBezTo>
                <a:pt x="1833" y="1195"/>
                <a:pt x="1833" y="1195"/>
                <a:pt x="1833" y="1195"/>
              </a:cubicBezTo>
              <a:cubicBezTo>
                <a:pt x="1811" y="1296"/>
                <a:pt x="1811" y="1296"/>
                <a:pt x="1811" y="1296"/>
              </a:cubicBezTo>
              <a:cubicBezTo>
                <a:pt x="1805" y="1329"/>
                <a:pt x="1804" y="1333"/>
                <a:pt x="1804" y="1337"/>
              </a:cubicBezTo>
              <a:cubicBezTo>
                <a:pt x="1803" y="1341"/>
                <a:pt x="1802" y="1344"/>
                <a:pt x="1802" y="1348"/>
              </a:cubicBezTo>
              <a:cubicBezTo>
                <a:pt x="1758" y="1348"/>
                <a:pt x="1758" y="1348"/>
                <a:pt x="1758" y="1348"/>
              </a:cubicBezTo>
              <a:cubicBezTo>
                <a:pt x="1761" y="1328"/>
                <a:pt x="1761" y="1328"/>
                <a:pt x="1761" y="1328"/>
              </a:cubicBezTo>
              <a:cubicBezTo>
                <a:pt x="1756" y="1334"/>
                <a:pt x="1740" y="1352"/>
                <a:pt x="1711" y="1352"/>
              </a:cubicBezTo>
              <a:cubicBezTo>
                <a:pt x="1690" y="1352"/>
                <a:pt x="1675" y="1343"/>
                <a:pt x="1669" y="1331"/>
              </a:cubicBezTo>
              <a:cubicBezTo>
                <a:pt x="1662" y="1319"/>
                <a:pt x="1666" y="1297"/>
                <a:pt x="1668" y="1290"/>
              </a:cubicBezTo>
              <a:cubicBezTo>
                <a:pt x="1688" y="1195"/>
                <a:pt x="1688" y="1195"/>
                <a:pt x="1688" y="1195"/>
              </a:cubicBezTo>
              <a:cubicBezTo>
                <a:pt x="1734" y="1195"/>
                <a:pt x="1734" y="1195"/>
                <a:pt x="1734" y="1195"/>
              </a:cubicBezTo>
              <a:cubicBezTo>
                <a:pt x="1734" y="1195"/>
                <a:pt x="1734" y="1195"/>
                <a:pt x="1734" y="1195"/>
              </a:cubicBezTo>
              <a:close/>
              <a:moveTo>
                <a:pt x="2010" y="1196"/>
              </a:moveTo>
              <a:cubicBezTo>
                <a:pt x="2006" y="1207"/>
                <a:pt x="2003" y="1218"/>
                <a:pt x="2000" y="1233"/>
              </a:cubicBezTo>
              <a:cubicBezTo>
                <a:pt x="1976" y="1346"/>
                <a:pt x="1976" y="1346"/>
                <a:pt x="1976" y="1346"/>
              </a:cubicBezTo>
              <a:cubicBezTo>
                <a:pt x="1964" y="1403"/>
                <a:pt x="1915" y="1409"/>
                <a:pt x="1886" y="1409"/>
              </a:cubicBezTo>
              <a:cubicBezTo>
                <a:pt x="1864" y="1409"/>
                <a:pt x="1822" y="1406"/>
                <a:pt x="1829" y="1359"/>
              </a:cubicBezTo>
              <a:cubicBezTo>
                <a:pt x="1872" y="1359"/>
                <a:pt x="1872" y="1359"/>
                <a:pt x="1872" y="1359"/>
              </a:cubicBezTo>
              <a:cubicBezTo>
                <a:pt x="1872" y="1362"/>
                <a:pt x="1871" y="1367"/>
                <a:pt x="1874" y="1372"/>
              </a:cubicBezTo>
              <a:cubicBezTo>
                <a:pt x="1877" y="1376"/>
                <a:pt x="1883" y="1380"/>
                <a:pt x="1894" y="1380"/>
              </a:cubicBezTo>
              <a:cubicBezTo>
                <a:pt x="1908" y="1380"/>
                <a:pt x="1921" y="1374"/>
                <a:pt x="1926" y="1360"/>
              </a:cubicBezTo>
              <a:cubicBezTo>
                <a:pt x="1930" y="1353"/>
                <a:pt x="1931" y="1347"/>
                <a:pt x="1937" y="1324"/>
              </a:cubicBezTo>
              <a:cubicBezTo>
                <a:pt x="1918" y="1343"/>
                <a:pt x="1901" y="1345"/>
                <a:pt x="1891" y="1345"/>
              </a:cubicBezTo>
              <a:cubicBezTo>
                <a:pt x="1847" y="1345"/>
                <a:pt x="1834" y="1307"/>
                <a:pt x="1842" y="1270"/>
              </a:cubicBezTo>
              <a:cubicBezTo>
                <a:pt x="1850" y="1231"/>
                <a:pt x="1880" y="1194"/>
                <a:pt x="1924" y="1194"/>
              </a:cubicBezTo>
              <a:cubicBezTo>
                <a:pt x="1952" y="1194"/>
                <a:pt x="1959" y="1209"/>
                <a:pt x="1962" y="1216"/>
              </a:cubicBezTo>
              <a:cubicBezTo>
                <a:pt x="1968" y="1196"/>
                <a:pt x="1968" y="1196"/>
                <a:pt x="1968" y="1196"/>
              </a:cubicBezTo>
              <a:cubicBezTo>
                <a:pt x="2010" y="1196"/>
                <a:pt x="2010" y="1196"/>
                <a:pt x="2010" y="1196"/>
              </a:cubicBezTo>
              <a:cubicBezTo>
                <a:pt x="2010" y="1196"/>
                <a:pt x="2010" y="1196"/>
                <a:pt x="2010" y="1196"/>
              </a:cubicBezTo>
              <a:close/>
              <a:moveTo>
                <a:pt x="1908" y="1315"/>
              </a:moveTo>
              <a:cubicBezTo>
                <a:pt x="1939" y="1315"/>
                <a:pt x="1947" y="1277"/>
                <a:pt x="1948" y="1271"/>
              </a:cubicBezTo>
              <a:cubicBezTo>
                <a:pt x="1952" y="1253"/>
                <a:pt x="1955" y="1224"/>
                <a:pt x="1928" y="1224"/>
              </a:cubicBezTo>
              <a:cubicBezTo>
                <a:pt x="1911" y="1224"/>
                <a:pt x="1894" y="1237"/>
                <a:pt x="1887" y="1270"/>
              </a:cubicBezTo>
              <a:cubicBezTo>
                <a:pt x="1885" y="1277"/>
                <a:pt x="1878" y="1315"/>
                <a:pt x="1908" y="1315"/>
              </a:cubicBezTo>
              <a:moveTo>
                <a:pt x="2058" y="1129"/>
              </a:moveTo>
              <a:cubicBezTo>
                <a:pt x="2102" y="1129"/>
                <a:pt x="2102" y="1129"/>
                <a:pt x="2102" y="1129"/>
              </a:cubicBezTo>
              <a:cubicBezTo>
                <a:pt x="2084" y="1216"/>
                <a:pt x="2084" y="1216"/>
                <a:pt x="2084" y="1216"/>
              </a:cubicBezTo>
              <a:cubicBezTo>
                <a:pt x="2091" y="1208"/>
                <a:pt x="2105" y="1193"/>
                <a:pt x="2133" y="1193"/>
              </a:cubicBezTo>
              <a:cubicBezTo>
                <a:pt x="2156" y="1193"/>
                <a:pt x="2168" y="1204"/>
                <a:pt x="2174" y="1214"/>
              </a:cubicBezTo>
              <a:cubicBezTo>
                <a:pt x="2177" y="1221"/>
                <a:pt x="2179" y="1235"/>
                <a:pt x="2175" y="1255"/>
              </a:cubicBezTo>
              <a:cubicBezTo>
                <a:pt x="2155" y="1348"/>
                <a:pt x="2155" y="1348"/>
                <a:pt x="2155" y="1348"/>
              </a:cubicBezTo>
              <a:cubicBezTo>
                <a:pt x="2110" y="1348"/>
                <a:pt x="2110" y="1348"/>
                <a:pt x="2110" y="1348"/>
              </a:cubicBezTo>
              <a:cubicBezTo>
                <a:pt x="2130" y="1256"/>
                <a:pt x="2130" y="1256"/>
                <a:pt x="2130" y="1256"/>
              </a:cubicBezTo>
              <a:cubicBezTo>
                <a:pt x="2131" y="1248"/>
                <a:pt x="2137" y="1223"/>
                <a:pt x="2112" y="1223"/>
              </a:cubicBezTo>
              <a:cubicBezTo>
                <a:pt x="2099" y="1223"/>
                <a:pt x="2081" y="1230"/>
                <a:pt x="2076" y="1254"/>
              </a:cubicBezTo>
              <a:cubicBezTo>
                <a:pt x="2057" y="1348"/>
                <a:pt x="2057" y="1348"/>
                <a:pt x="2057" y="1348"/>
              </a:cubicBezTo>
              <a:cubicBezTo>
                <a:pt x="2012" y="1348"/>
                <a:pt x="2012" y="1348"/>
                <a:pt x="2012" y="1348"/>
              </a:cubicBezTo>
              <a:cubicBezTo>
                <a:pt x="2058" y="1129"/>
                <a:pt x="2058" y="1129"/>
                <a:pt x="2058" y="1129"/>
              </a:cubicBezTo>
              <a:cubicBezTo>
                <a:pt x="2058" y="1129"/>
                <a:pt x="2058" y="1129"/>
                <a:pt x="2058" y="1129"/>
              </a:cubicBezTo>
              <a:close/>
              <a:moveTo>
                <a:pt x="100" y="1249"/>
              </a:moveTo>
              <a:cubicBezTo>
                <a:pt x="101" y="1244"/>
                <a:pt x="104" y="1221"/>
                <a:pt x="87" y="1221"/>
              </a:cubicBezTo>
              <a:cubicBezTo>
                <a:pt x="66" y="1221"/>
                <a:pt x="56" y="1253"/>
                <a:pt x="53" y="1270"/>
              </a:cubicBezTo>
              <a:cubicBezTo>
                <a:pt x="51" y="1278"/>
                <a:pt x="46" y="1306"/>
                <a:pt x="54" y="1317"/>
              </a:cubicBezTo>
              <a:cubicBezTo>
                <a:pt x="57" y="1321"/>
                <a:pt x="61" y="1322"/>
                <a:pt x="65" y="1322"/>
              </a:cubicBezTo>
              <a:cubicBezTo>
                <a:pt x="70" y="1322"/>
                <a:pt x="84" y="1320"/>
                <a:pt x="92" y="1292"/>
              </a:cubicBezTo>
              <a:cubicBezTo>
                <a:pt x="136" y="1292"/>
                <a:pt x="136" y="1292"/>
                <a:pt x="136" y="1292"/>
              </a:cubicBezTo>
              <a:cubicBezTo>
                <a:pt x="133" y="1304"/>
                <a:pt x="128" y="1323"/>
                <a:pt x="107" y="1337"/>
              </a:cubicBezTo>
              <a:cubicBezTo>
                <a:pt x="94" y="1347"/>
                <a:pt x="79" y="1352"/>
                <a:pt x="60" y="1352"/>
              </a:cubicBezTo>
              <a:cubicBezTo>
                <a:pt x="40" y="1352"/>
                <a:pt x="23" y="1347"/>
                <a:pt x="12" y="1331"/>
              </a:cubicBezTo>
              <a:cubicBezTo>
                <a:pt x="2" y="1316"/>
                <a:pt x="0" y="1296"/>
                <a:pt x="5" y="1271"/>
              </a:cubicBezTo>
              <a:cubicBezTo>
                <a:pt x="20" y="1201"/>
                <a:pt x="74" y="1192"/>
                <a:pt x="94" y="1192"/>
              </a:cubicBezTo>
              <a:cubicBezTo>
                <a:pt x="122" y="1192"/>
                <a:pt x="153" y="1207"/>
                <a:pt x="144" y="1249"/>
              </a:cubicBezTo>
              <a:cubicBezTo>
                <a:pt x="100" y="1249"/>
                <a:pt x="100" y="1249"/>
                <a:pt x="100" y="1249"/>
              </a:cubicBezTo>
              <a:cubicBezTo>
                <a:pt x="100" y="1249"/>
                <a:pt x="100" y="1249"/>
                <a:pt x="100" y="1249"/>
              </a:cubicBezTo>
              <a:close/>
              <a:moveTo>
                <a:pt x="2378" y="1249"/>
              </a:moveTo>
              <a:cubicBezTo>
                <a:pt x="2379" y="1244"/>
                <a:pt x="2382" y="1221"/>
                <a:pt x="2365" y="1221"/>
              </a:cubicBezTo>
              <a:cubicBezTo>
                <a:pt x="2344" y="1221"/>
                <a:pt x="2335" y="1253"/>
                <a:pt x="2331" y="1270"/>
              </a:cubicBezTo>
              <a:cubicBezTo>
                <a:pt x="2329" y="1278"/>
                <a:pt x="2324" y="1306"/>
                <a:pt x="2332" y="1317"/>
              </a:cubicBezTo>
              <a:cubicBezTo>
                <a:pt x="2335" y="1321"/>
                <a:pt x="2340" y="1322"/>
                <a:pt x="2343" y="1322"/>
              </a:cubicBezTo>
              <a:cubicBezTo>
                <a:pt x="2348" y="1322"/>
                <a:pt x="2362" y="1320"/>
                <a:pt x="2370" y="1292"/>
              </a:cubicBezTo>
              <a:cubicBezTo>
                <a:pt x="2414" y="1292"/>
                <a:pt x="2414" y="1292"/>
                <a:pt x="2414" y="1292"/>
              </a:cubicBezTo>
              <a:cubicBezTo>
                <a:pt x="2411" y="1304"/>
                <a:pt x="2406" y="1323"/>
                <a:pt x="2385" y="1337"/>
              </a:cubicBezTo>
              <a:cubicBezTo>
                <a:pt x="2372" y="1347"/>
                <a:pt x="2357" y="1352"/>
                <a:pt x="2338" y="1352"/>
              </a:cubicBezTo>
              <a:cubicBezTo>
                <a:pt x="2318" y="1352"/>
                <a:pt x="2301" y="1347"/>
                <a:pt x="2290" y="1331"/>
              </a:cubicBezTo>
              <a:cubicBezTo>
                <a:pt x="2280" y="1316"/>
                <a:pt x="2278" y="1296"/>
                <a:pt x="2284" y="1271"/>
              </a:cubicBezTo>
              <a:cubicBezTo>
                <a:pt x="2299" y="1201"/>
                <a:pt x="2352" y="1192"/>
                <a:pt x="2372" y="1192"/>
              </a:cubicBezTo>
              <a:cubicBezTo>
                <a:pt x="2401" y="1192"/>
                <a:pt x="2431" y="1207"/>
                <a:pt x="2423" y="1249"/>
              </a:cubicBezTo>
              <a:cubicBezTo>
                <a:pt x="2378" y="1249"/>
                <a:pt x="2378" y="1249"/>
                <a:pt x="2378" y="1249"/>
              </a:cubicBezTo>
              <a:cubicBezTo>
                <a:pt x="2378" y="1249"/>
                <a:pt x="2378" y="1249"/>
                <a:pt x="2378" y="1249"/>
              </a:cubicBezTo>
              <a:close/>
              <a:moveTo>
                <a:pt x="2534" y="1191"/>
              </a:moveTo>
              <a:cubicBezTo>
                <a:pt x="2589" y="1191"/>
                <a:pt x="2606" y="1229"/>
                <a:pt x="2597" y="1271"/>
              </a:cubicBezTo>
              <a:cubicBezTo>
                <a:pt x="2587" y="1315"/>
                <a:pt x="2554" y="1353"/>
                <a:pt x="2498" y="1353"/>
              </a:cubicBezTo>
              <a:cubicBezTo>
                <a:pt x="2454" y="1353"/>
                <a:pt x="2426" y="1326"/>
                <a:pt x="2437" y="1273"/>
              </a:cubicBezTo>
              <a:cubicBezTo>
                <a:pt x="2445" y="1236"/>
                <a:pt x="2474" y="1191"/>
                <a:pt x="2534" y="1191"/>
              </a:cubicBezTo>
              <a:moveTo>
                <a:pt x="2507" y="1322"/>
              </a:moveTo>
              <a:cubicBezTo>
                <a:pt x="2527" y="1322"/>
                <a:pt x="2542" y="1310"/>
                <a:pt x="2551" y="1270"/>
              </a:cubicBezTo>
              <a:cubicBezTo>
                <a:pt x="2555" y="1250"/>
                <a:pt x="2557" y="1221"/>
                <a:pt x="2528" y="1221"/>
              </a:cubicBezTo>
              <a:cubicBezTo>
                <a:pt x="2495" y="1221"/>
                <a:pt x="2486" y="1259"/>
                <a:pt x="2484" y="1273"/>
              </a:cubicBezTo>
              <a:cubicBezTo>
                <a:pt x="2476" y="1307"/>
                <a:pt x="2484" y="1322"/>
                <a:pt x="2507" y="1322"/>
              </a:cubicBezTo>
              <a:moveTo>
                <a:pt x="2637" y="1223"/>
              </a:moveTo>
              <a:cubicBezTo>
                <a:pt x="2639" y="1214"/>
                <a:pt x="2640" y="1205"/>
                <a:pt x="2641" y="1195"/>
              </a:cubicBezTo>
              <a:cubicBezTo>
                <a:pt x="2685" y="1195"/>
                <a:pt x="2685" y="1195"/>
                <a:pt x="2685" y="1195"/>
              </a:cubicBezTo>
              <a:cubicBezTo>
                <a:pt x="2682" y="1214"/>
                <a:pt x="2682" y="1214"/>
                <a:pt x="2682" y="1214"/>
              </a:cubicBezTo>
              <a:cubicBezTo>
                <a:pt x="2688" y="1208"/>
                <a:pt x="2704" y="1192"/>
                <a:pt x="2734" y="1192"/>
              </a:cubicBezTo>
              <a:cubicBezTo>
                <a:pt x="2769" y="1192"/>
                <a:pt x="2775" y="1213"/>
                <a:pt x="2776" y="1220"/>
              </a:cubicBezTo>
              <a:cubicBezTo>
                <a:pt x="2795" y="1196"/>
                <a:pt x="2816" y="1192"/>
                <a:pt x="2832" y="1192"/>
              </a:cubicBezTo>
              <a:cubicBezTo>
                <a:pt x="2862" y="1192"/>
                <a:pt x="2871" y="1210"/>
                <a:pt x="2873" y="1216"/>
              </a:cubicBezTo>
              <a:cubicBezTo>
                <a:pt x="2878" y="1230"/>
                <a:pt x="2874" y="1248"/>
                <a:pt x="2871" y="1261"/>
              </a:cubicBezTo>
              <a:cubicBezTo>
                <a:pt x="2853" y="1348"/>
                <a:pt x="2853" y="1348"/>
                <a:pt x="2853" y="1348"/>
              </a:cubicBezTo>
              <a:cubicBezTo>
                <a:pt x="2807" y="1348"/>
                <a:pt x="2807" y="1348"/>
                <a:pt x="2807" y="1348"/>
              </a:cubicBezTo>
              <a:cubicBezTo>
                <a:pt x="2827" y="1258"/>
                <a:pt x="2827" y="1258"/>
                <a:pt x="2827" y="1258"/>
              </a:cubicBezTo>
              <a:cubicBezTo>
                <a:pt x="2830" y="1242"/>
                <a:pt x="2832" y="1223"/>
                <a:pt x="2808" y="1223"/>
              </a:cubicBezTo>
              <a:cubicBezTo>
                <a:pt x="2781" y="1223"/>
                <a:pt x="2775" y="1249"/>
                <a:pt x="2771" y="1271"/>
              </a:cubicBezTo>
              <a:cubicBezTo>
                <a:pt x="2754" y="1348"/>
                <a:pt x="2754" y="1348"/>
                <a:pt x="2754" y="1348"/>
              </a:cubicBezTo>
              <a:cubicBezTo>
                <a:pt x="2709" y="1348"/>
                <a:pt x="2709" y="1348"/>
                <a:pt x="2709" y="1348"/>
              </a:cubicBezTo>
              <a:cubicBezTo>
                <a:pt x="2728" y="1257"/>
                <a:pt x="2728" y="1257"/>
                <a:pt x="2728" y="1257"/>
              </a:cubicBezTo>
              <a:cubicBezTo>
                <a:pt x="2731" y="1245"/>
                <a:pt x="2735" y="1223"/>
                <a:pt x="2710" y="1223"/>
              </a:cubicBezTo>
              <a:cubicBezTo>
                <a:pt x="2682" y="1223"/>
                <a:pt x="2677" y="1248"/>
                <a:pt x="2674" y="1258"/>
              </a:cubicBezTo>
              <a:cubicBezTo>
                <a:pt x="2655" y="1348"/>
                <a:pt x="2655" y="1348"/>
                <a:pt x="2655" y="1348"/>
              </a:cubicBezTo>
              <a:cubicBezTo>
                <a:pt x="2610" y="1348"/>
                <a:pt x="2610" y="1348"/>
                <a:pt x="2610" y="1348"/>
              </a:cubicBezTo>
              <a:cubicBezTo>
                <a:pt x="2637" y="1223"/>
                <a:pt x="2637" y="1223"/>
                <a:pt x="2637" y="1223"/>
              </a:cubicBezTo>
              <a:cubicBezTo>
                <a:pt x="2637" y="1223"/>
                <a:pt x="2637" y="1223"/>
                <a:pt x="2637" y="1223"/>
              </a:cubicBezTo>
              <a:close/>
              <a:moveTo>
                <a:pt x="2966" y="1195"/>
              </a:moveTo>
              <a:cubicBezTo>
                <a:pt x="2963" y="1216"/>
                <a:pt x="2963" y="1216"/>
                <a:pt x="2963" y="1216"/>
              </a:cubicBezTo>
              <a:cubicBezTo>
                <a:pt x="2982" y="1192"/>
                <a:pt x="3008" y="1192"/>
                <a:pt x="3015" y="1192"/>
              </a:cubicBezTo>
              <a:cubicBezTo>
                <a:pt x="3054" y="1192"/>
                <a:pt x="3072" y="1221"/>
                <a:pt x="3062" y="1268"/>
              </a:cubicBezTo>
              <a:cubicBezTo>
                <a:pt x="3053" y="1312"/>
                <a:pt x="3022" y="1350"/>
                <a:pt x="2978" y="1350"/>
              </a:cubicBezTo>
              <a:cubicBezTo>
                <a:pt x="2950" y="1350"/>
                <a:pt x="2942" y="1335"/>
                <a:pt x="2939" y="1330"/>
              </a:cubicBezTo>
              <a:cubicBezTo>
                <a:pt x="2923" y="1407"/>
                <a:pt x="2923" y="1407"/>
                <a:pt x="2923" y="1407"/>
              </a:cubicBezTo>
              <a:cubicBezTo>
                <a:pt x="2877" y="1407"/>
                <a:pt x="2877" y="1407"/>
                <a:pt x="2877" y="1407"/>
              </a:cubicBezTo>
              <a:cubicBezTo>
                <a:pt x="2922" y="1195"/>
                <a:pt x="2922" y="1195"/>
                <a:pt x="2922" y="1195"/>
              </a:cubicBezTo>
              <a:cubicBezTo>
                <a:pt x="2966" y="1195"/>
                <a:pt x="2966" y="1195"/>
                <a:pt x="2966" y="1195"/>
              </a:cubicBezTo>
              <a:cubicBezTo>
                <a:pt x="2966" y="1195"/>
                <a:pt x="2966" y="1195"/>
                <a:pt x="2966" y="1195"/>
              </a:cubicBezTo>
              <a:close/>
              <a:moveTo>
                <a:pt x="3017" y="1270"/>
              </a:moveTo>
              <a:cubicBezTo>
                <a:pt x="3020" y="1252"/>
                <a:pt x="3022" y="1221"/>
                <a:pt x="2996" y="1221"/>
              </a:cubicBezTo>
              <a:cubicBezTo>
                <a:pt x="2981" y="1221"/>
                <a:pt x="2959" y="1232"/>
                <a:pt x="2950" y="1273"/>
              </a:cubicBezTo>
              <a:cubicBezTo>
                <a:pt x="2947" y="1282"/>
                <a:pt x="2940" y="1321"/>
                <a:pt x="2973" y="1321"/>
              </a:cubicBezTo>
              <a:cubicBezTo>
                <a:pt x="2994" y="1321"/>
                <a:pt x="3010" y="1300"/>
                <a:pt x="3017" y="1270"/>
              </a:cubicBezTo>
              <a:moveTo>
                <a:pt x="3119" y="1129"/>
              </a:moveTo>
              <a:cubicBezTo>
                <a:pt x="3164" y="1129"/>
                <a:pt x="3164" y="1129"/>
                <a:pt x="3164" y="1129"/>
              </a:cubicBezTo>
              <a:cubicBezTo>
                <a:pt x="3117" y="1348"/>
                <a:pt x="3117" y="1348"/>
                <a:pt x="3117" y="1348"/>
              </a:cubicBezTo>
              <a:cubicBezTo>
                <a:pt x="3072" y="1348"/>
                <a:pt x="3072" y="1348"/>
                <a:pt x="3072" y="1348"/>
              </a:cubicBezTo>
              <a:cubicBezTo>
                <a:pt x="3119" y="1129"/>
                <a:pt x="3119" y="1129"/>
                <a:pt x="3119" y="1129"/>
              </a:cubicBezTo>
              <a:cubicBezTo>
                <a:pt x="3119" y="1129"/>
                <a:pt x="3119" y="1129"/>
                <a:pt x="3119" y="1129"/>
              </a:cubicBezTo>
              <a:close/>
              <a:moveTo>
                <a:pt x="3202" y="1283"/>
              </a:moveTo>
              <a:cubicBezTo>
                <a:pt x="3200" y="1293"/>
                <a:pt x="3193" y="1324"/>
                <a:pt x="3225" y="1324"/>
              </a:cubicBezTo>
              <a:cubicBezTo>
                <a:pt x="3236" y="1324"/>
                <a:pt x="3248" y="1319"/>
                <a:pt x="3256" y="1303"/>
              </a:cubicBezTo>
              <a:cubicBezTo>
                <a:pt x="3297" y="1303"/>
                <a:pt x="3297" y="1303"/>
                <a:pt x="3297" y="1303"/>
              </a:cubicBezTo>
              <a:cubicBezTo>
                <a:pt x="3295" y="1310"/>
                <a:pt x="3291" y="1323"/>
                <a:pt x="3275" y="1336"/>
              </a:cubicBezTo>
              <a:cubicBezTo>
                <a:pt x="3261" y="1348"/>
                <a:pt x="3240" y="1354"/>
                <a:pt x="3218" y="1354"/>
              </a:cubicBezTo>
              <a:cubicBezTo>
                <a:pt x="3205" y="1354"/>
                <a:pt x="3180" y="1351"/>
                <a:pt x="3168" y="1335"/>
              </a:cubicBezTo>
              <a:cubicBezTo>
                <a:pt x="3157" y="1320"/>
                <a:pt x="3155" y="1299"/>
                <a:pt x="3161" y="1275"/>
              </a:cubicBezTo>
              <a:cubicBezTo>
                <a:pt x="3166" y="1250"/>
                <a:pt x="3178" y="1220"/>
                <a:pt x="3208" y="1202"/>
              </a:cubicBezTo>
              <a:cubicBezTo>
                <a:pt x="3222" y="1194"/>
                <a:pt x="3237" y="1190"/>
                <a:pt x="3254" y="1190"/>
              </a:cubicBezTo>
              <a:cubicBezTo>
                <a:pt x="3276" y="1190"/>
                <a:pt x="3300" y="1198"/>
                <a:pt x="3308" y="1227"/>
              </a:cubicBezTo>
              <a:cubicBezTo>
                <a:pt x="3314" y="1248"/>
                <a:pt x="3309" y="1270"/>
                <a:pt x="3305" y="1283"/>
              </a:cubicBezTo>
              <a:cubicBezTo>
                <a:pt x="3202" y="1283"/>
                <a:pt x="3202" y="1283"/>
                <a:pt x="3202" y="1283"/>
              </a:cubicBezTo>
              <a:cubicBezTo>
                <a:pt x="3202" y="1283"/>
                <a:pt x="3202" y="1283"/>
                <a:pt x="3202" y="1283"/>
              </a:cubicBezTo>
              <a:close/>
              <a:moveTo>
                <a:pt x="3265" y="1254"/>
              </a:moveTo>
              <a:cubicBezTo>
                <a:pt x="3267" y="1248"/>
                <a:pt x="3272" y="1220"/>
                <a:pt x="3246" y="1220"/>
              </a:cubicBezTo>
              <a:cubicBezTo>
                <a:pt x="3226" y="1220"/>
                <a:pt x="3214" y="1236"/>
                <a:pt x="3210" y="1254"/>
              </a:cubicBezTo>
              <a:cubicBezTo>
                <a:pt x="3265" y="1254"/>
                <a:pt x="3265" y="1254"/>
                <a:pt x="3265" y="1254"/>
              </a:cubicBezTo>
              <a:cubicBezTo>
                <a:pt x="3265" y="1254"/>
                <a:pt x="3265" y="1254"/>
                <a:pt x="3265" y="1254"/>
              </a:cubicBezTo>
              <a:close/>
              <a:moveTo>
                <a:pt x="3383" y="1195"/>
              </a:moveTo>
              <a:cubicBezTo>
                <a:pt x="3401" y="1245"/>
                <a:pt x="3401" y="1245"/>
                <a:pt x="3401" y="1245"/>
              </a:cubicBezTo>
              <a:cubicBezTo>
                <a:pt x="3442" y="1195"/>
                <a:pt x="3442" y="1195"/>
                <a:pt x="3442" y="1195"/>
              </a:cubicBezTo>
              <a:cubicBezTo>
                <a:pt x="3488" y="1195"/>
                <a:pt x="3488" y="1195"/>
                <a:pt x="3488" y="1195"/>
              </a:cubicBezTo>
              <a:cubicBezTo>
                <a:pt x="3423" y="1269"/>
                <a:pt x="3423" y="1269"/>
                <a:pt x="3423" y="1269"/>
              </a:cubicBezTo>
              <a:cubicBezTo>
                <a:pt x="3457" y="1348"/>
                <a:pt x="3457" y="1348"/>
                <a:pt x="3457" y="1348"/>
              </a:cubicBezTo>
              <a:cubicBezTo>
                <a:pt x="3404" y="1348"/>
                <a:pt x="3404" y="1348"/>
                <a:pt x="3404" y="1348"/>
              </a:cubicBezTo>
              <a:cubicBezTo>
                <a:pt x="3385" y="1292"/>
                <a:pt x="3385" y="1292"/>
                <a:pt x="3385" y="1292"/>
              </a:cubicBezTo>
              <a:cubicBezTo>
                <a:pt x="3342" y="1348"/>
                <a:pt x="3342" y="1348"/>
                <a:pt x="3342" y="1348"/>
              </a:cubicBezTo>
              <a:cubicBezTo>
                <a:pt x="3295" y="1348"/>
                <a:pt x="3295" y="1348"/>
                <a:pt x="3295" y="1348"/>
              </a:cubicBezTo>
              <a:cubicBezTo>
                <a:pt x="3364" y="1266"/>
                <a:pt x="3364" y="1266"/>
                <a:pt x="3364" y="1266"/>
              </a:cubicBezTo>
              <a:cubicBezTo>
                <a:pt x="3329" y="1195"/>
                <a:pt x="3329" y="1195"/>
                <a:pt x="3329" y="1195"/>
              </a:cubicBezTo>
              <a:cubicBezTo>
                <a:pt x="3383" y="1195"/>
                <a:pt x="3383" y="1195"/>
                <a:pt x="3383" y="1195"/>
              </a:cubicBezTo>
              <a:cubicBezTo>
                <a:pt x="3383" y="1195"/>
                <a:pt x="3383" y="1195"/>
                <a:pt x="3383" y="1195"/>
              </a:cubicBezTo>
              <a:close/>
              <a:moveTo>
                <a:pt x="3509" y="1194"/>
              </a:moveTo>
              <a:cubicBezTo>
                <a:pt x="3554" y="1194"/>
                <a:pt x="3554" y="1194"/>
                <a:pt x="3554" y="1194"/>
              </a:cubicBezTo>
              <a:cubicBezTo>
                <a:pt x="3521" y="1348"/>
                <a:pt x="3521" y="1348"/>
                <a:pt x="3521" y="1348"/>
              </a:cubicBezTo>
              <a:cubicBezTo>
                <a:pt x="3476" y="1348"/>
                <a:pt x="3476" y="1348"/>
                <a:pt x="3476" y="1348"/>
              </a:cubicBezTo>
              <a:cubicBezTo>
                <a:pt x="3509" y="1194"/>
                <a:pt x="3509" y="1194"/>
                <a:pt x="3509" y="1194"/>
              </a:cubicBezTo>
              <a:cubicBezTo>
                <a:pt x="3509" y="1194"/>
                <a:pt x="3509" y="1194"/>
                <a:pt x="3509" y="1194"/>
              </a:cubicBezTo>
              <a:close/>
              <a:moveTo>
                <a:pt x="3521" y="1129"/>
              </a:moveTo>
              <a:cubicBezTo>
                <a:pt x="3569" y="1129"/>
                <a:pt x="3569" y="1129"/>
                <a:pt x="3569" y="1129"/>
              </a:cubicBezTo>
              <a:cubicBezTo>
                <a:pt x="3561" y="1168"/>
                <a:pt x="3561" y="1168"/>
                <a:pt x="3561" y="1168"/>
              </a:cubicBezTo>
              <a:cubicBezTo>
                <a:pt x="3513" y="1168"/>
                <a:pt x="3513" y="1168"/>
                <a:pt x="3513" y="1168"/>
              </a:cubicBezTo>
              <a:cubicBezTo>
                <a:pt x="3521" y="1129"/>
                <a:pt x="3521" y="1129"/>
                <a:pt x="3521" y="1129"/>
              </a:cubicBezTo>
              <a:cubicBezTo>
                <a:pt x="3521" y="1129"/>
                <a:pt x="3521" y="1129"/>
                <a:pt x="3521" y="1129"/>
              </a:cubicBezTo>
              <a:close/>
              <a:moveTo>
                <a:pt x="3649" y="1346"/>
              </a:moveTo>
              <a:cubicBezTo>
                <a:pt x="3634" y="1350"/>
                <a:pt x="3621" y="1351"/>
                <a:pt x="3614" y="1351"/>
              </a:cubicBezTo>
              <a:cubicBezTo>
                <a:pt x="3568" y="1351"/>
                <a:pt x="3575" y="1322"/>
                <a:pt x="3577" y="1310"/>
              </a:cubicBezTo>
              <a:cubicBezTo>
                <a:pt x="3595" y="1225"/>
                <a:pt x="3595" y="1225"/>
                <a:pt x="3595" y="1225"/>
              </a:cubicBezTo>
              <a:cubicBezTo>
                <a:pt x="3565" y="1225"/>
                <a:pt x="3565" y="1225"/>
                <a:pt x="3565" y="1225"/>
              </a:cubicBezTo>
              <a:cubicBezTo>
                <a:pt x="3572" y="1196"/>
                <a:pt x="3572" y="1196"/>
                <a:pt x="3572" y="1196"/>
              </a:cubicBezTo>
              <a:cubicBezTo>
                <a:pt x="3601" y="1196"/>
                <a:pt x="3601" y="1196"/>
                <a:pt x="3601" y="1196"/>
              </a:cubicBezTo>
              <a:cubicBezTo>
                <a:pt x="3608" y="1166"/>
                <a:pt x="3608" y="1166"/>
                <a:pt x="3608" y="1166"/>
              </a:cubicBezTo>
              <a:cubicBezTo>
                <a:pt x="3656" y="1149"/>
                <a:pt x="3656" y="1149"/>
                <a:pt x="3656" y="1149"/>
              </a:cubicBezTo>
              <a:cubicBezTo>
                <a:pt x="3646" y="1196"/>
                <a:pt x="3646" y="1196"/>
                <a:pt x="3646" y="1196"/>
              </a:cubicBezTo>
              <a:cubicBezTo>
                <a:pt x="3682" y="1196"/>
                <a:pt x="3682" y="1196"/>
                <a:pt x="3682" y="1196"/>
              </a:cubicBezTo>
              <a:cubicBezTo>
                <a:pt x="3676" y="1225"/>
                <a:pt x="3676" y="1225"/>
                <a:pt x="3676" y="1225"/>
              </a:cubicBezTo>
              <a:cubicBezTo>
                <a:pt x="3640" y="1225"/>
                <a:pt x="3640" y="1225"/>
                <a:pt x="3640" y="1225"/>
              </a:cubicBezTo>
              <a:cubicBezTo>
                <a:pt x="3625" y="1295"/>
                <a:pt x="3625" y="1295"/>
                <a:pt x="3625" y="1295"/>
              </a:cubicBezTo>
              <a:cubicBezTo>
                <a:pt x="3622" y="1309"/>
                <a:pt x="3620" y="1317"/>
                <a:pt x="3640" y="1317"/>
              </a:cubicBezTo>
              <a:cubicBezTo>
                <a:pt x="3647" y="1317"/>
                <a:pt x="3650" y="1317"/>
                <a:pt x="3656" y="1317"/>
              </a:cubicBezTo>
              <a:cubicBezTo>
                <a:pt x="3649" y="1346"/>
                <a:pt x="3649" y="1346"/>
                <a:pt x="3649" y="1346"/>
              </a:cubicBezTo>
              <a:cubicBezTo>
                <a:pt x="3649" y="1346"/>
                <a:pt x="3649" y="1346"/>
                <a:pt x="3649" y="1346"/>
              </a:cubicBezTo>
              <a:close/>
              <a:moveTo>
                <a:pt x="3741" y="1195"/>
              </a:moveTo>
              <a:cubicBezTo>
                <a:pt x="3752" y="1301"/>
                <a:pt x="3752" y="1301"/>
                <a:pt x="3752" y="1301"/>
              </a:cubicBezTo>
              <a:cubicBezTo>
                <a:pt x="3809" y="1195"/>
                <a:pt x="3809" y="1195"/>
                <a:pt x="3809" y="1195"/>
              </a:cubicBezTo>
              <a:cubicBezTo>
                <a:pt x="3854" y="1195"/>
                <a:pt x="3854" y="1195"/>
                <a:pt x="3854" y="1195"/>
              </a:cubicBezTo>
              <a:cubicBezTo>
                <a:pt x="3764" y="1345"/>
                <a:pt x="3764" y="1345"/>
                <a:pt x="3764" y="1345"/>
              </a:cubicBezTo>
              <a:cubicBezTo>
                <a:pt x="3732" y="1406"/>
                <a:pt x="3732" y="1406"/>
                <a:pt x="3732" y="1406"/>
              </a:cubicBezTo>
              <a:cubicBezTo>
                <a:pt x="3687" y="1406"/>
                <a:pt x="3687" y="1406"/>
                <a:pt x="3687" y="1406"/>
              </a:cubicBezTo>
              <a:cubicBezTo>
                <a:pt x="3719" y="1348"/>
                <a:pt x="3719" y="1348"/>
                <a:pt x="3719" y="1348"/>
              </a:cubicBezTo>
              <a:cubicBezTo>
                <a:pt x="3693" y="1195"/>
                <a:pt x="3693" y="1195"/>
                <a:pt x="3693" y="1195"/>
              </a:cubicBezTo>
              <a:cubicBezTo>
                <a:pt x="3741" y="1195"/>
                <a:pt x="3741" y="1195"/>
                <a:pt x="3741" y="1195"/>
              </a:cubicBezTo>
              <a:cubicBezTo>
                <a:pt x="3741" y="1195"/>
                <a:pt x="3741" y="1195"/>
                <a:pt x="3741" y="1195"/>
              </a:cubicBezTo>
              <a:close/>
              <a:moveTo>
                <a:pt x="3933" y="1145"/>
              </a:moveTo>
              <a:cubicBezTo>
                <a:pt x="3899" y="1145"/>
                <a:pt x="3899" y="1145"/>
                <a:pt x="3899" y="1145"/>
              </a:cubicBezTo>
              <a:cubicBezTo>
                <a:pt x="3902" y="1129"/>
                <a:pt x="3902" y="1129"/>
                <a:pt x="3902" y="1129"/>
              </a:cubicBezTo>
              <a:cubicBezTo>
                <a:pt x="3990" y="1129"/>
                <a:pt x="3990" y="1129"/>
                <a:pt x="3990" y="1129"/>
              </a:cubicBezTo>
              <a:cubicBezTo>
                <a:pt x="3987" y="1145"/>
                <a:pt x="3987" y="1145"/>
                <a:pt x="3987" y="1145"/>
              </a:cubicBezTo>
              <a:cubicBezTo>
                <a:pt x="3953" y="1145"/>
                <a:pt x="3953" y="1145"/>
                <a:pt x="3953" y="1145"/>
              </a:cubicBezTo>
              <a:cubicBezTo>
                <a:pt x="3936" y="1225"/>
                <a:pt x="3936" y="1225"/>
                <a:pt x="3936" y="1225"/>
              </a:cubicBezTo>
              <a:cubicBezTo>
                <a:pt x="3916" y="1225"/>
                <a:pt x="3916" y="1225"/>
                <a:pt x="3916" y="1225"/>
              </a:cubicBezTo>
              <a:cubicBezTo>
                <a:pt x="3933" y="1145"/>
                <a:pt x="3933" y="1145"/>
                <a:pt x="3933" y="1145"/>
              </a:cubicBezTo>
              <a:cubicBezTo>
                <a:pt x="3933" y="1145"/>
                <a:pt x="3933" y="1145"/>
                <a:pt x="3933" y="1145"/>
              </a:cubicBezTo>
              <a:close/>
              <a:moveTo>
                <a:pt x="3999" y="1129"/>
              </a:moveTo>
              <a:cubicBezTo>
                <a:pt x="4031" y="1129"/>
                <a:pt x="4031" y="1129"/>
                <a:pt x="4031" y="1129"/>
              </a:cubicBezTo>
              <a:cubicBezTo>
                <a:pt x="4036" y="1200"/>
                <a:pt x="4036" y="1200"/>
                <a:pt x="4036" y="1200"/>
              </a:cubicBezTo>
              <a:cubicBezTo>
                <a:pt x="4072" y="1129"/>
                <a:pt x="4072" y="1129"/>
                <a:pt x="4072" y="1129"/>
              </a:cubicBezTo>
              <a:cubicBezTo>
                <a:pt x="4103" y="1129"/>
                <a:pt x="4103" y="1129"/>
                <a:pt x="4103" y="1129"/>
              </a:cubicBezTo>
              <a:cubicBezTo>
                <a:pt x="4083" y="1225"/>
                <a:pt x="4083" y="1225"/>
                <a:pt x="4083" y="1225"/>
              </a:cubicBezTo>
              <a:cubicBezTo>
                <a:pt x="4063" y="1225"/>
                <a:pt x="4063" y="1225"/>
                <a:pt x="4063" y="1225"/>
              </a:cubicBezTo>
              <a:cubicBezTo>
                <a:pt x="4080" y="1143"/>
                <a:pt x="4080" y="1143"/>
                <a:pt x="4080" y="1143"/>
              </a:cubicBezTo>
              <a:cubicBezTo>
                <a:pt x="4038" y="1225"/>
                <a:pt x="4038" y="1225"/>
                <a:pt x="4038" y="1225"/>
              </a:cubicBezTo>
              <a:cubicBezTo>
                <a:pt x="4021" y="1225"/>
                <a:pt x="4021" y="1225"/>
                <a:pt x="4021" y="1225"/>
              </a:cubicBezTo>
              <a:cubicBezTo>
                <a:pt x="4014" y="1143"/>
                <a:pt x="4014" y="1143"/>
                <a:pt x="4014" y="1143"/>
              </a:cubicBezTo>
              <a:cubicBezTo>
                <a:pt x="3997" y="1225"/>
                <a:pt x="3997" y="1225"/>
                <a:pt x="3997" y="1225"/>
              </a:cubicBezTo>
              <a:cubicBezTo>
                <a:pt x="3978" y="1225"/>
                <a:pt x="3978" y="1225"/>
                <a:pt x="3978" y="1225"/>
              </a:cubicBezTo>
              <a:cubicBezTo>
                <a:pt x="3999" y="1129"/>
                <a:pt x="3999" y="1129"/>
                <a:pt x="3999" y="1129"/>
              </a:cubicBezTo>
              <a:cubicBezTo>
                <a:pt x="3999" y="1129"/>
                <a:pt x="3999" y="1129"/>
                <a:pt x="3999" y="1129"/>
              </a:cubicBezTo>
              <a:close/>
            </a:path>
          </a:pathLst>
        </a:custGeom>
        <a:solidFill>
          <a:srgbClr val="007C92"/>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mc:AlternateContent xmlns:mc="http://schemas.openxmlformats.org/markup-compatibility/2006">
    <mc:Choice xmlns:a14="http://schemas.microsoft.com/office/drawing/2010/main" Requires="a14">
      <xdr:twoCellAnchor>
        <xdr:from>
          <xdr:col>5</xdr:col>
          <xdr:colOff>365760</xdr:colOff>
          <xdr:row>41</xdr:row>
          <xdr:rowOff>137160</xdr:rowOff>
        </xdr:from>
        <xdr:to>
          <xdr:col>9</xdr:col>
          <xdr:colOff>274320</xdr:colOff>
          <xdr:row>44</xdr:row>
          <xdr:rowOff>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MS Sans Serif"/>
                </a:rPr>
                <a:t>I have read and understood the disclaimer! </a:t>
              </a:r>
            </a:p>
            <a:p>
              <a:pPr algn="ctr" rtl="0">
                <a:defRPr sz="1000"/>
              </a:pPr>
              <a:r>
                <a:rPr lang="en-US" sz="1000" b="1" i="0" u="none" strike="noStrike" baseline="0">
                  <a:solidFill>
                    <a:srgbClr val="000000"/>
                  </a:solidFill>
                  <a:latin typeface="MS Sans Serif"/>
                </a:rPr>
                <a:t>Proceed to the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297180</xdr:colOff>
          <xdr:row>41</xdr:row>
          <xdr:rowOff>137160</xdr:rowOff>
        </xdr:from>
        <xdr:to>
          <xdr:col>16</xdr:col>
          <xdr:colOff>213360</xdr:colOff>
          <xdr:row>44</xdr:row>
          <xdr:rowOff>0</xdr:rowOff>
        </xdr:to>
        <xdr:sp macro="" textlink="">
          <xdr:nvSpPr>
            <xdr:cNvPr id="35842" name="Button 2" hidden="1">
              <a:extLst>
                <a:ext uri="{63B3BB69-23CF-44E3-9099-C40C66FF867C}">
                  <a14:compatExt spid="_x0000_s3584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MS Sans Serif"/>
                </a:rPr>
                <a:t>Exit!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100662</xdr:colOff>
      <xdr:row>10</xdr:row>
      <xdr:rowOff>124239</xdr:rowOff>
    </xdr:from>
    <xdr:to>
      <xdr:col>7</xdr:col>
      <xdr:colOff>505722</xdr:colOff>
      <xdr:row>24</xdr:row>
      <xdr:rowOff>132522</xdr:rowOff>
    </xdr:to>
    <xdr:sp macro="" textlink="">
      <xdr:nvSpPr>
        <xdr:cNvPr id="36" name="Rectangle 35"/>
        <xdr:cNvSpPr/>
      </xdr:nvSpPr>
      <xdr:spPr>
        <a:xfrm>
          <a:off x="2585445" y="1615109"/>
          <a:ext cx="2268647" cy="2095500"/>
        </a:xfrm>
        <a:prstGeom prst="rect">
          <a:avLst/>
        </a:prstGeom>
        <a:solidFill>
          <a:srgbClr val="D0D1D2"/>
        </a:solidFill>
        <a:ln w="19050">
          <a:solidFill>
            <a:srgbClr val="97989A"/>
          </a:solidFill>
          <a:prstDash val="dash"/>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US" sz="1000" b="1">
            <a:latin typeface="Univers 45 Light" pitchFamily="2" charset="0"/>
          </a:endParaRPr>
        </a:p>
      </xdr:txBody>
    </xdr:sp>
    <xdr:clientData/>
  </xdr:twoCellAnchor>
  <xdr:twoCellAnchor>
    <xdr:from>
      <xdr:col>4</xdr:col>
      <xdr:colOff>156666</xdr:colOff>
      <xdr:row>11</xdr:row>
      <xdr:rowOff>44121</xdr:rowOff>
    </xdr:from>
    <xdr:to>
      <xdr:col>7</xdr:col>
      <xdr:colOff>437315</xdr:colOff>
      <xdr:row>22</xdr:row>
      <xdr:rowOff>5084</xdr:rowOff>
    </xdr:to>
    <xdr:grpSp>
      <xdr:nvGrpSpPr>
        <xdr:cNvPr id="37" name="Group 36"/>
        <xdr:cNvGrpSpPr/>
      </xdr:nvGrpSpPr>
      <xdr:grpSpPr>
        <a:xfrm>
          <a:off x="2644114" y="1681983"/>
          <a:ext cx="2146235" cy="1598825"/>
          <a:chOff x="2280653" y="2734547"/>
          <a:chExt cx="2073240" cy="1648063"/>
        </a:xfrm>
      </xdr:grpSpPr>
      <xdr:sp macro="" textlink="">
        <xdr:nvSpPr>
          <xdr:cNvPr id="38" name="TextBox 37">
            <a:hlinkClick xmlns:r="http://schemas.openxmlformats.org/officeDocument/2006/relationships" r:id="rId1"/>
          </xdr:cNvPr>
          <xdr:cNvSpPr txBox="1"/>
        </xdr:nvSpPr>
        <xdr:spPr>
          <a:xfrm>
            <a:off x="2280653" y="3433339"/>
            <a:ext cx="2073240" cy="274320"/>
          </a:xfrm>
          <a:prstGeom prst="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noAutofit/>
          </a:bodyPr>
          <a:lstStyle/>
          <a:p>
            <a:pPr algn="ctr"/>
            <a:r>
              <a:rPr lang="en-GB" sz="1000" b="1">
                <a:solidFill>
                  <a:schemeClr val="bg1"/>
                </a:solidFill>
                <a:latin typeface="Univers 45 Light" pitchFamily="2" charset="0"/>
              </a:rPr>
              <a:t>Historical Income Statement</a:t>
            </a:r>
          </a:p>
        </xdr:txBody>
      </xdr:sp>
      <xdr:sp macro="" textlink="">
        <xdr:nvSpPr>
          <xdr:cNvPr id="39" name="TextBox 38">
            <a:hlinkClick xmlns:r="http://schemas.openxmlformats.org/officeDocument/2006/relationships" r:id="rId2"/>
          </xdr:cNvPr>
          <xdr:cNvSpPr txBox="1"/>
        </xdr:nvSpPr>
        <xdr:spPr>
          <a:xfrm>
            <a:off x="2280653" y="3782735"/>
            <a:ext cx="2073240" cy="274320"/>
          </a:xfrm>
          <a:prstGeom prst="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noAutofit/>
          </a:bodyPr>
          <a:lstStyle/>
          <a:p>
            <a:pPr algn="ctr"/>
            <a:r>
              <a:rPr lang="en-GB" sz="1000" b="1">
                <a:solidFill>
                  <a:schemeClr val="bg1"/>
                </a:solidFill>
                <a:latin typeface="Univers 45 Light" pitchFamily="2" charset="0"/>
              </a:rPr>
              <a:t>Historical</a:t>
            </a:r>
            <a:r>
              <a:rPr lang="en-GB" sz="1000" b="1" baseline="0">
                <a:solidFill>
                  <a:schemeClr val="bg1"/>
                </a:solidFill>
                <a:latin typeface="Univers 45 Light" pitchFamily="2" charset="0"/>
              </a:rPr>
              <a:t> Balance Sheet</a:t>
            </a:r>
            <a:endParaRPr lang="en-GB" sz="1000" b="1">
              <a:solidFill>
                <a:schemeClr val="bg1"/>
              </a:solidFill>
              <a:latin typeface="Univers 45 Light" pitchFamily="2" charset="0"/>
            </a:endParaRPr>
          </a:p>
        </xdr:txBody>
      </xdr:sp>
      <xdr:sp macro="" textlink="">
        <xdr:nvSpPr>
          <xdr:cNvPr id="40" name="TextBox 39">
            <a:hlinkClick xmlns:r="http://schemas.openxmlformats.org/officeDocument/2006/relationships" r:id="rId3"/>
          </xdr:cNvPr>
          <xdr:cNvSpPr txBox="1"/>
        </xdr:nvSpPr>
        <xdr:spPr>
          <a:xfrm>
            <a:off x="2280653" y="2734547"/>
            <a:ext cx="2073240" cy="274320"/>
          </a:xfrm>
          <a:prstGeom prst="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noAutofit/>
          </a:bodyPr>
          <a:lstStyle/>
          <a:p>
            <a:pPr algn="ctr"/>
            <a:r>
              <a:rPr lang="en-GB" sz="1000" b="1">
                <a:solidFill>
                  <a:schemeClr val="bg1"/>
                </a:solidFill>
                <a:latin typeface="Univers 45 Light" pitchFamily="2" charset="0"/>
              </a:rPr>
              <a:t>Model timing</a:t>
            </a:r>
          </a:p>
        </xdr:txBody>
      </xdr:sp>
      <xdr:sp macro="" textlink="">
        <xdr:nvSpPr>
          <xdr:cNvPr id="41" name="TextBox 40">
            <a:hlinkClick xmlns:r="http://schemas.openxmlformats.org/officeDocument/2006/relationships" r:id="rId4"/>
          </xdr:cNvPr>
          <xdr:cNvSpPr txBox="1"/>
        </xdr:nvSpPr>
        <xdr:spPr>
          <a:xfrm>
            <a:off x="2280653" y="3083943"/>
            <a:ext cx="2073240" cy="274320"/>
          </a:xfrm>
          <a:prstGeom prst="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noAutofit/>
          </a:bodyPr>
          <a:lstStyle/>
          <a:p>
            <a:pPr algn="ctr"/>
            <a:r>
              <a:rPr lang="en-GB" sz="1000" b="1">
                <a:solidFill>
                  <a:schemeClr val="bg1"/>
                </a:solidFill>
                <a:latin typeface="Univers 45 Light" pitchFamily="2" charset="0"/>
              </a:rPr>
              <a:t>Macroeconomic</a:t>
            </a:r>
          </a:p>
        </xdr:txBody>
      </xdr:sp>
      <xdr:sp macro="" textlink="">
        <xdr:nvSpPr>
          <xdr:cNvPr id="42" name="TextBox 41">
            <a:hlinkClick xmlns:r="http://schemas.openxmlformats.org/officeDocument/2006/relationships" r:id="rId5"/>
          </xdr:cNvPr>
          <xdr:cNvSpPr txBox="1"/>
        </xdr:nvSpPr>
        <xdr:spPr>
          <a:xfrm>
            <a:off x="2280653" y="4108290"/>
            <a:ext cx="2073240" cy="274320"/>
          </a:xfrm>
          <a:prstGeom prst="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noAutofit/>
          </a:bodyPr>
          <a:lstStyle/>
          <a:p>
            <a:pPr algn="ctr"/>
            <a:r>
              <a:rPr lang="en-GB" sz="1000" b="1">
                <a:solidFill>
                  <a:schemeClr val="bg1"/>
                </a:solidFill>
                <a:latin typeface="Univers 45 Light" pitchFamily="2" charset="0"/>
              </a:rPr>
              <a:t>CAPEX</a:t>
            </a:r>
          </a:p>
        </xdr:txBody>
      </xdr:sp>
    </xdr:grpSp>
    <xdr:clientData/>
  </xdr:twoCellAnchor>
  <xdr:twoCellAnchor>
    <xdr:from>
      <xdr:col>5</xdr:col>
      <xdr:colOff>613790</xdr:colOff>
      <xdr:row>21</xdr:row>
      <xdr:rowOff>41406</xdr:rowOff>
    </xdr:from>
    <xdr:to>
      <xdr:col>13</xdr:col>
      <xdr:colOff>213828</xdr:colOff>
      <xdr:row>24</xdr:row>
      <xdr:rowOff>132522</xdr:rowOff>
    </xdr:to>
    <xdr:cxnSp macro="">
      <xdr:nvCxnSpPr>
        <xdr:cNvPr id="29" name="Elbow Connector 28"/>
        <xdr:cNvCxnSpPr>
          <a:stCxn id="36" idx="2"/>
          <a:endCxn id="44" idx="2"/>
        </xdr:cNvCxnSpPr>
      </xdr:nvCxnSpPr>
      <xdr:spPr>
        <a:xfrm rot="5400000" flipH="1" flipV="1">
          <a:off x="5735381" y="1156619"/>
          <a:ext cx="538377" cy="4569603"/>
        </a:xfrm>
        <a:prstGeom prst="bentConnector3">
          <a:avLst>
            <a:gd name="adj1" fmla="val -42461"/>
          </a:avLst>
        </a:prstGeom>
        <a:ln w="38100">
          <a:solidFill>
            <a:srgbClr val="97989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429814</xdr:colOff>
      <xdr:row>9</xdr:row>
      <xdr:rowOff>121555</xdr:rowOff>
    </xdr:from>
    <xdr:to>
      <xdr:col>23</xdr:col>
      <xdr:colOff>517461</xdr:colOff>
      <xdr:row>17</xdr:row>
      <xdr:rowOff>0</xdr:rowOff>
    </xdr:to>
    <xdr:sp macro="" textlink="">
      <xdr:nvSpPr>
        <xdr:cNvPr id="30" name="Rectangle 29"/>
        <xdr:cNvSpPr/>
      </xdr:nvSpPr>
      <xdr:spPr>
        <a:xfrm>
          <a:off x="12853727" y="1463338"/>
          <a:ext cx="1951234" cy="1071140"/>
        </a:xfrm>
        <a:prstGeom prst="rect">
          <a:avLst/>
        </a:prstGeom>
        <a:solidFill>
          <a:schemeClr val="accent1">
            <a:lumMod val="20000"/>
            <a:lumOff val="80000"/>
          </a:schemeClr>
        </a:solidFill>
        <a:ln w="19050">
          <a:solidFill>
            <a:srgbClr val="007C92"/>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endParaRPr lang="en-US" sz="1000" b="1">
            <a:solidFill>
              <a:srgbClr val="FF0000"/>
            </a:solidFill>
            <a:latin typeface="Univers 45 Light" pitchFamily="2" charset="0"/>
          </a:endParaRPr>
        </a:p>
      </xdr:txBody>
    </xdr:sp>
    <xdr:clientData/>
  </xdr:twoCellAnchor>
  <xdr:twoCellAnchor>
    <xdr:from>
      <xdr:col>20</xdr:col>
      <xdr:colOff>487241</xdr:colOff>
      <xdr:row>10</xdr:row>
      <xdr:rowOff>35313</xdr:rowOff>
    </xdr:from>
    <xdr:to>
      <xdr:col>23</xdr:col>
      <xdr:colOff>445963</xdr:colOff>
      <xdr:row>12</xdr:row>
      <xdr:rowOff>4159</xdr:rowOff>
    </xdr:to>
    <xdr:sp macro="" textlink="">
      <xdr:nvSpPr>
        <xdr:cNvPr id="31" name="TextBox 30">
          <a:hlinkClick xmlns:r="http://schemas.openxmlformats.org/officeDocument/2006/relationships" r:id="rId6"/>
        </xdr:cNvPr>
        <xdr:cNvSpPr txBox="1"/>
      </xdr:nvSpPr>
      <xdr:spPr>
        <a:xfrm>
          <a:off x="12911154" y="1526183"/>
          <a:ext cx="1822309" cy="267019"/>
        </a:xfrm>
        <a:prstGeom prst="rect">
          <a:avLst/>
        </a:prstGeom>
        <a:solidFill>
          <a:srgbClr val="007C92"/>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noAutofit/>
        </a:bodyPr>
        <a:lstStyle/>
        <a:p>
          <a:pPr algn="ctr"/>
          <a:r>
            <a:rPr lang="en-GB" sz="1000" b="1">
              <a:solidFill>
                <a:schemeClr val="bg1"/>
              </a:solidFill>
              <a:latin typeface="Univers 45 Light" pitchFamily="2" charset="0"/>
            </a:rPr>
            <a:t>Income Statement</a:t>
          </a:r>
        </a:p>
      </xdr:txBody>
    </xdr:sp>
    <xdr:clientData/>
  </xdr:twoCellAnchor>
  <xdr:twoCellAnchor>
    <xdr:from>
      <xdr:col>4</xdr:col>
      <xdr:colOff>446853</xdr:colOff>
      <xdr:row>2</xdr:row>
      <xdr:rowOff>0</xdr:rowOff>
    </xdr:from>
    <xdr:to>
      <xdr:col>8</xdr:col>
      <xdr:colOff>109166</xdr:colOff>
      <xdr:row>3</xdr:row>
      <xdr:rowOff>137314</xdr:rowOff>
    </xdr:to>
    <xdr:sp macro="" textlink="">
      <xdr:nvSpPr>
        <xdr:cNvPr id="32" name="TextBox 31"/>
        <xdr:cNvSpPr txBox="1"/>
      </xdr:nvSpPr>
      <xdr:spPr>
        <a:xfrm>
          <a:off x="2928796" y="304800"/>
          <a:ext cx="2144256" cy="289714"/>
        </a:xfrm>
        <a:prstGeom prst="rect">
          <a:avLst/>
        </a:prstGeom>
        <a:noFill/>
        <a:ln w="9525" cmpd="sng">
          <a:noFill/>
        </a:ln>
        <a:extLst>
          <a:ext uri="{909E8E84-426E-40DD-AFC4-6F175D3DCCD1}">
            <a14:hiddenFill xmlns:a14="http://schemas.microsoft.com/office/drawing/2010/main">
              <a:solidFill>
                <a:srgbClr val="FFFF00"/>
              </a:solidFill>
            </a14:hiddenFill>
          </a:ext>
        </a:extLst>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noAutofit/>
        </a:bodyPr>
        <a:lstStyle/>
        <a:p>
          <a:r>
            <a:rPr lang="en-GB" sz="1400" b="1" u="sng" baseline="0">
              <a:solidFill>
                <a:sysClr val="windowText" lastClr="000000"/>
              </a:solidFill>
              <a:latin typeface="Arial" panose="020B0604020202020204" pitchFamily="34" charset="0"/>
              <a:cs typeface="Arial" panose="020B0604020202020204" pitchFamily="34" charset="0"/>
            </a:rPr>
            <a:t>Input</a:t>
          </a:r>
        </a:p>
      </xdr:txBody>
    </xdr:sp>
    <xdr:clientData/>
  </xdr:twoCellAnchor>
  <xdr:twoCellAnchor>
    <xdr:from>
      <xdr:col>11</xdr:col>
      <xdr:colOff>219333</xdr:colOff>
      <xdr:row>2</xdr:row>
      <xdr:rowOff>56411</xdr:rowOff>
    </xdr:from>
    <xdr:to>
      <xdr:col>14</xdr:col>
      <xdr:colOff>495812</xdr:colOff>
      <xdr:row>4</xdr:row>
      <xdr:rowOff>41325</xdr:rowOff>
    </xdr:to>
    <xdr:sp macro="" textlink="">
      <xdr:nvSpPr>
        <xdr:cNvPr id="33" name="TextBox 32"/>
        <xdr:cNvSpPr txBox="1"/>
      </xdr:nvSpPr>
      <xdr:spPr>
        <a:xfrm>
          <a:off x="7044676" y="361211"/>
          <a:ext cx="2137936" cy="289714"/>
        </a:xfrm>
        <a:prstGeom prst="rect">
          <a:avLst/>
        </a:prstGeom>
        <a:noFill/>
        <a:ln w="9525" cmpd="sng">
          <a:noFill/>
        </a:ln>
        <a:extLst>
          <a:ext uri="{909E8E84-426E-40DD-AFC4-6F175D3DCCD1}">
            <a14:hiddenFill xmlns:a14="http://schemas.microsoft.com/office/drawing/2010/main">
              <a:solidFill>
                <a:srgbClr val="FFFF00"/>
              </a:solidFill>
            </a14:hiddenFill>
          </a:ext>
        </a:extLst>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noAutofit/>
        </a:bodyPr>
        <a:lstStyle/>
        <a:p>
          <a:r>
            <a:rPr lang="en-GB" sz="1400" b="1" u="sng" baseline="0">
              <a:solidFill>
                <a:sysClr val="windowText" lastClr="000000"/>
              </a:solidFill>
              <a:latin typeface="Arial" panose="020B0604020202020204" pitchFamily="34" charset="0"/>
              <a:cs typeface="Arial" panose="020B0604020202020204" pitchFamily="34" charset="0"/>
            </a:rPr>
            <a:t>Workings</a:t>
          </a:r>
        </a:p>
      </xdr:txBody>
    </xdr:sp>
    <xdr:clientData/>
  </xdr:twoCellAnchor>
  <xdr:twoCellAnchor>
    <xdr:from>
      <xdr:col>20</xdr:col>
      <xdr:colOff>470265</xdr:colOff>
      <xdr:row>2</xdr:row>
      <xdr:rowOff>21339</xdr:rowOff>
    </xdr:from>
    <xdr:to>
      <xdr:col>24</xdr:col>
      <xdr:colOff>143982</xdr:colOff>
      <xdr:row>4</xdr:row>
      <xdr:rowOff>6253</xdr:rowOff>
    </xdr:to>
    <xdr:sp macro="" textlink="">
      <xdr:nvSpPr>
        <xdr:cNvPr id="34" name="TextBox 33"/>
        <xdr:cNvSpPr txBox="1"/>
      </xdr:nvSpPr>
      <xdr:spPr>
        <a:xfrm>
          <a:off x="12879979" y="326139"/>
          <a:ext cx="2155660" cy="289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noAutofit/>
        </a:bodyPr>
        <a:lstStyle/>
        <a:p>
          <a:r>
            <a:rPr lang="en-GB" sz="1400" b="1" u="sng" baseline="0">
              <a:solidFill>
                <a:sysClr val="windowText" lastClr="000000"/>
              </a:solidFill>
              <a:latin typeface="Arial" panose="020B0604020202020204" pitchFamily="34" charset="0"/>
              <a:cs typeface="Arial" panose="020B0604020202020204" pitchFamily="34" charset="0"/>
            </a:rPr>
            <a:t>Output</a:t>
          </a:r>
        </a:p>
      </xdr:txBody>
    </xdr:sp>
    <xdr:clientData/>
  </xdr:twoCellAnchor>
  <xdr:twoCellAnchor>
    <xdr:from>
      <xdr:col>3</xdr:col>
      <xdr:colOff>315127</xdr:colOff>
      <xdr:row>10</xdr:row>
      <xdr:rowOff>125416</xdr:rowOff>
    </xdr:from>
    <xdr:to>
      <xdr:col>4</xdr:col>
      <xdr:colOff>35345</xdr:colOff>
      <xdr:row>24</xdr:row>
      <xdr:rowOff>124239</xdr:rowOff>
    </xdr:to>
    <xdr:sp macro="" textlink="">
      <xdr:nvSpPr>
        <xdr:cNvPr id="35" name="Left Brace 34"/>
        <xdr:cNvSpPr/>
      </xdr:nvSpPr>
      <xdr:spPr>
        <a:xfrm>
          <a:off x="2178714" y="1616286"/>
          <a:ext cx="341414" cy="2086040"/>
        </a:xfrm>
        <a:prstGeom prst="leftBrace">
          <a:avLst>
            <a:gd name="adj1" fmla="val 22382"/>
            <a:gd name="adj2" fmla="val 52416"/>
          </a:avLst>
        </a:prstGeom>
        <a:ln w="38100">
          <a:solidFill>
            <a:srgbClr val="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t"/>
        <a:lstStyle/>
        <a:p>
          <a:pPr algn="l"/>
          <a:endParaRPr lang="en-US" sz="1000" b="1">
            <a:latin typeface="Univers 45 Light" pitchFamily="2" charset="0"/>
          </a:endParaRPr>
        </a:p>
      </xdr:txBody>
    </xdr:sp>
    <xdr:clientData/>
  </xdr:twoCellAnchor>
  <xdr:twoCellAnchor>
    <xdr:from>
      <xdr:col>7</xdr:col>
      <xdr:colOff>505722</xdr:colOff>
      <xdr:row>17</xdr:row>
      <xdr:rowOff>128381</xdr:rowOff>
    </xdr:from>
    <xdr:to>
      <xdr:col>11</xdr:col>
      <xdr:colOff>101435</xdr:colOff>
      <xdr:row>17</xdr:row>
      <xdr:rowOff>129556</xdr:rowOff>
    </xdr:to>
    <xdr:cxnSp macro="">
      <xdr:nvCxnSpPr>
        <xdr:cNvPr id="43" name="Elbow Connector 42"/>
        <xdr:cNvCxnSpPr>
          <a:stCxn id="36" idx="3"/>
          <a:endCxn id="44" idx="1"/>
        </xdr:cNvCxnSpPr>
      </xdr:nvCxnSpPr>
      <xdr:spPr>
        <a:xfrm>
          <a:off x="4854092" y="2662859"/>
          <a:ext cx="2080495" cy="1175"/>
        </a:xfrm>
        <a:prstGeom prst="bentConnector3">
          <a:avLst/>
        </a:prstGeom>
        <a:ln w="3810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101435</xdr:colOff>
      <xdr:row>14</xdr:row>
      <xdr:rowOff>68618</xdr:rowOff>
    </xdr:from>
    <xdr:to>
      <xdr:col>15</xdr:col>
      <xdr:colOff>326222</xdr:colOff>
      <xdr:row>21</xdr:row>
      <xdr:rowOff>41406</xdr:rowOff>
    </xdr:to>
    <xdr:sp macro="" textlink="">
      <xdr:nvSpPr>
        <xdr:cNvPr id="44" name="Rectangle 43"/>
        <xdr:cNvSpPr/>
      </xdr:nvSpPr>
      <xdr:spPr>
        <a:xfrm>
          <a:off x="6934587" y="2155835"/>
          <a:ext cx="2709570" cy="1016397"/>
        </a:xfrm>
        <a:prstGeom prst="rect">
          <a:avLst/>
        </a:prstGeom>
        <a:solidFill>
          <a:schemeClr val="accent4">
            <a:lumMod val="20000"/>
            <a:lumOff val="80000"/>
          </a:schemeClr>
        </a:solidFill>
        <a:ln w="19050">
          <a:solidFill>
            <a:srgbClr val="EBB7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US" sz="1000" b="1">
            <a:latin typeface="Univers 45 Light" pitchFamily="2" charset="0"/>
          </a:endParaRPr>
        </a:p>
      </xdr:txBody>
    </xdr:sp>
    <xdr:clientData/>
  </xdr:twoCellAnchor>
  <xdr:twoCellAnchor>
    <xdr:from>
      <xdr:col>11</xdr:col>
      <xdr:colOff>161505</xdr:colOff>
      <xdr:row>15</xdr:row>
      <xdr:rowOff>7961</xdr:rowOff>
    </xdr:from>
    <xdr:to>
      <xdr:col>15</xdr:col>
      <xdr:colOff>277756</xdr:colOff>
      <xdr:row>16</xdr:row>
      <xdr:rowOff>125249</xdr:rowOff>
    </xdr:to>
    <xdr:sp macro="" textlink="">
      <xdr:nvSpPr>
        <xdr:cNvPr id="45" name="TextBox 44">
          <a:hlinkClick xmlns:r="http://schemas.openxmlformats.org/officeDocument/2006/relationships" r:id="rId7"/>
        </xdr:cNvPr>
        <xdr:cNvSpPr txBox="1"/>
      </xdr:nvSpPr>
      <xdr:spPr>
        <a:xfrm>
          <a:off x="6994657" y="2244265"/>
          <a:ext cx="2601034" cy="2663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noAutofit/>
        </a:bodyPr>
        <a:lstStyle/>
        <a:p>
          <a:pPr algn="ctr"/>
          <a:r>
            <a:rPr lang="en-GB" sz="1000" b="1">
              <a:solidFill>
                <a:schemeClr val="bg1"/>
              </a:solidFill>
              <a:latin typeface="Univers 45 Light" pitchFamily="2" charset="0"/>
            </a:rPr>
            <a:t>Working LT assets</a:t>
          </a:r>
        </a:p>
      </xdr:txBody>
    </xdr:sp>
    <xdr:clientData/>
  </xdr:twoCellAnchor>
  <xdr:twoCellAnchor>
    <xdr:from>
      <xdr:col>11</xdr:col>
      <xdr:colOff>161881</xdr:colOff>
      <xdr:row>19</xdr:row>
      <xdr:rowOff>25970</xdr:rowOff>
    </xdr:from>
    <xdr:to>
      <xdr:col>15</xdr:col>
      <xdr:colOff>278132</xdr:colOff>
      <xdr:row>20</xdr:row>
      <xdr:rowOff>143258</xdr:rowOff>
    </xdr:to>
    <xdr:sp macro="" textlink="">
      <xdr:nvSpPr>
        <xdr:cNvPr id="47" name="TextBox 46">
          <a:hlinkClick xmlns:r="http://schemas.openxmlformats.org/officeDocument/2006/relationships" r:id="rId8"/>
        </xdr:cNvPr>
        <xdr:cNvSpPr txBox="1"/>
      </xdr:nvSpPr>
      <xdr:spPr>
        <a:xfrm>
          <a:off x="6995033" y="2858622"/>
          <a:ext cx="2601034" cy="2663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noAutofit/>
        </a:bodyPr>
        <a:lstStyle/>
        <a:p>
          <a:pPr algn="ctr"/>
          <a:r>
            <a:rPr lang="en-GB" sz="1000" b="1">
              <a:solidFill>
                <a:schemeClr val="bg1"/>
              </a:solidFill>
              <a:latin typeface="Univers 45 Light" pitchFamily="2" charset="0"/>
            </a:rPr>
            <a:t>Working</a:t>
          </a:r>
          <a:r>
            <a:rPr lang="en-GB" sz="1000" b="1" baseline="0">
              <a:solidFill>
                <a:schemeClr val="bg1"/>
              </a:solidFill>
              <a:latin typeface="Univers 45 Light" pitchFamily="2" charset="0"/>
            </a:rPr>
            <a:t> Capital</a:t>
          </a:r>
          <a:endParaRPr lang="en-GB" sz="1000" b="1">
            <a:solidFill>
              <a:schemeClr val="bg1"/>
            </a:solidFill>
            <a:latin typeface="Univers 45 Light" pitchFamily="2" charset="0"/>
          </a:endParaRPr>
        </a:p>
      </xdr:txBody>
    </xdr:sp>
    <xdr:clientData/>
  </xdr:twoCellAnchor>
  <xdr:twoCellAnchor>
    <xdr:from>
      <xdr:col>11</xdr:col>
      <xdr:colOff>161882</xdr:colOff>
      <xdr:row>17</xdr:row>
      <xdr:rowOff>11575</xdr:rowOff>
    </xdr:from>
    <xdr:to>
      <xdr:col>15</xdr:col>
      <xdr:colOff>278133</xdr:colOff>
      <xdr:row>18</xdr:row>
      <xdr:rowOff>128863</xdr:rowOff>
    </xdr:to>
    <xdr:sp macro="" textlink="">
      <xdr:nvSpPr>
        <xdr:cNvPr id="48" name="TextBox 47">
          <a:hlinkClick xmlns:r="http://schemas.openxmlformats.org/officeDocument/2006/relationships" r:id="rId9"/>
        </xdr:cNvPr>
        <xdr:cNvSpPr txBox="1"/>
      </xdr:nvSpPr>
      <xdr:spPr>
        <a:xfrm>
          <a:off x="6995034" y="2546053"/>
          <a:ext cx="2601034" cy="2663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noAutofit/>
        </a:bodyPr>
        <a:lstStyle/>
        <a:p>
          <a:pPr algn="ctr"/>
          <a:r>
            <a:rPr lang="en-GB" sz="1000" b="1">
              <a:solidFill>
                <a:schemeClr val="bg1"/>
              </a:solidFill>
              <a:latin typeface="Univers 45 Light" pitchFamily="2" charset="0"/>
            </a:rPr>
            <a:t>OPEX</a:t>
          </a:r>
        </a:p>
      </xdr:txBody>
    </xdr:sp>
    <xdr:clientData/>
  </xdr:twoCellAnchor>
  <xdr:twoCellAnchor>
    <xdr:from>
      <xdr:col>8</xdr:col>
      <xdr:colOff>70263</xdr:colOff>
      <xdr:row>7</xdr:row>
      <xdr:rowOff>73742</xdr:rowOff>
    </xdr:from>
    <xdr:to>
      <xdr:col>18</xdr:col>
      <xdr:colOff>292693</xdr:colOff>
      <xdr:row>36</xdr:row>
      <xdr:rowOff>87648</xdr:rowOff>
    </xdr:to>
    <xdr:sp macro="" textlink="">
      <xdr:nvSpPr>
        <xdr:cNvPr id="49" name="Rectangle 48"/>
        <xdr:cNvSpPr/>
      </xdr:nvSpPr>
      <xdr:spPr>
        <a:xfrm>
          <a:off x="5034149" y="1140542"/>
          <a:ext cx="6427287" cy="4433506"/>
        </a:xfrm>
        <a:prstGeom prst="rect">
          <a:avLst/>
        </a:prstGeom>
        <a:noFill/>
        <a:ln w="19050">
          <a:solidFill>
            <a:srgbClr val="EBB7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US" sz="1000" b="1">
            <a:latin typeface="Univers 45 Light" pitchFamily="2" charset="0"/>
          </a:endParaRPr>
        </a:p>
      </xdr:txBody>
    </xdr:sp>
    <xdr:clientData/>
  </xdr:twoCellAnchor>
  <xdr:twoCellAnchor>
    <xdr:from>
      <xdr:col>0</xdr:col>
      <xdr:colOff>488674</xdr:colOff>
      <xdr:row>14</xdr:row>
      <xdr:rowOff>12190</xdr:rowOff>
    </xdr:from>
    <xdr:to>
      <xdr:col>3</xdr:col>
      <xdr:colOff>114410</xdr:colOff>
      <xdr:row>22</xdr:row>
      <xdr:rowOff>38578</xdr:rowOff>
    </xdr:to>
    <xdr:grpSp>
      <xdr:nvGrpSpPr>
        <xdr:cNvPr id="50" name="Group 49"/>
        <xdr:cNvGrpSpPr/>
      </xdr:nvGrpSpPr>
      <xdr:grpSpPr>
        <a:xfrm>
          <a:off x="488674" y="2096742"/>
          <a:ext cx="1491322" cy="1217560"/>
          <a:chOff x="137707" y="2746254"/>
          <a:chExt cx="1487903" cy="1245588"/>
        </a:xfrm>
      </xdr:grpSpPr>
      <xdr:sp macro="" textlink="">
        <xdr:nvSpPr>
          <xdr:cNvPr id="51" name="TextBox 50">
            <a:hlinkClick xmlns:r="http://schemas.openxmlformats.org/officeDocument/2006/relationships" r:id="rId10"/>
          </xdr:cNvPr>
          <xdr:cNvSpPr txBox="1"/>
        </xdr:nvSpPr>
        <xdr:spPr>
          <a:xfrm>
            <a:off x="161139" y="2807455"/>
            <a:ext cx="1392478" cy="313966"/>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noAutofit/>
          </a:bodyPr>
          <a:lstStyle/>
          <a:p>
            <a:r>
              <a:rPr lang="en-GB" sz="1000" b="1" baseline="0">
                <a:solidFill>
                  <a:schemeClr val="bg1"/>
                </a:solidFill>
                <a:latin typeface="Univers 45 Light" pitchFamily="2" charset="0"/>
              </a:rPr>
              <a:t>Disclaimer</a:t>
            </a:r>
          </a:p>
        </xdr:txBody>
      </xdr:sp>
      <xdr:sp macro="" textlink="">
        <xdr:nvSpPr>
          <xdr:cNvPr id="52" name="Rectangle 51"/>
          <xdr:cNvSpPr/>
        </xdr:nvSpPr>
        <xdr:spPr>
          <a:xfrm>
            <a:off x="137707" y="2746254"/>
            <a:ext cx="1487903" cy="1245588"/>
          </a:xfrm>
          <a:prstGeom prst="rect">
            <a:avLst/>
          </a:prstGeom>
          <a:noFill/>
          <a:ln w="19050">
            <a:solidFill>
              <a:srgbClr val="000000"/>
            </a:solidFill>
            <a:prstDash val="dash"/>
          </a:ln>
          <a:extLst>
            <a:ext uri="{909E8E84-426E-40DD-AFC4-6F175D3DCCD1}">
              <a14:hiddenFill xmlns:a14="http://schemas.microsoft.com/office/drawing/2010/main">
                <a:solidFill>
                  <a:srgbClr val="747678"/>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US" sz="1000" b="1">
              <a:latin typeface="Univers 45 Light" pitchFamily="2" charset="0"/>
            </a:endParaRPr>
          </a:p>
        </xdr:txBody>
      </xdr:sp>
      <xdr:sp macro="" textlink="">
        <xdr:nvSpPr>
          <xdr:cNvPr id="53" name="TextBox 52">
            <a:hlinkClick xmlns:r="http://schemas.openxmlformats.org/officeDocument/2006/relationships" r:id="rId11"/>
          </xdr:cNvPr>
          <xdr:cNvSpPr txBox="1"/>
        </xdr:nvSpPr>
        <xdr:spPr>
          <a:xfrm>
            <a:off x="161139" y="3206843"/>
            <a:ext cx="1392478" cy="313966"/>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noAutofit/>
          </a:bodyPr>
          <a:lstStyle/>
          <a:p>
            <a:r>
              <a:rPr lang="en-GB" sz="1000" b="1" baseline="0">
                <a:solidFill>
                  <a:schemeClr val="bg1"/>
                </a:solidFill>
                <a:latin typeface="Univers 45 Light" pitchFamily="2" charset="0"/>
              </a:rPr>
              <a:t>Model Map</a:t>
            </a:r>
          </a:p>
        </xdr:txBody>
      </xdr:sp>
      <xdr:sp macro="" textlink="">
        <xdr:nvSpPr>
          <xdr:cNvPr id="54" name="TextBox 53">
            <a:hlinkClick xmlns:r="http://schemas.openxmlformats.org/officeDocument/2006/relationships" r:id="rId12"/>
          </xdr:cNvPr>
          <xdr:cNvSpPr txBox="1"/>
        </xdr:nvSpPr>
        <xdr:spPr>
          <a:xfrm>
            <a:off x="161139" y="3606238"/>
            <a:ext cx="1392478" cy="313966"/>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noAutofit/>
          </a:bodyPr>
          <a:lstStyle/>
          <a:p>
            <a:r>
              <a:rPr lang="en-GB" sz="1000" b="1" baseline="0">
                <a:solidFill>
                  <a:schemeClr val="bg1"/>
                </a:solidFill>
                <a:latin typeface="Univers 45 Light" pitchFamily="2" charset="0"/>
              </a:rPr>
              <a:t>Parameters</a:t>
            </a:r>
          </a:p>
        </xdr:txBody>
      </xdr:sp>
    </xdr:grpSp>
    <xdr:clientData/>
  </xdr:twoCellAnchor>
  <xdr:twoCellAnchor>
    <xdr:from>
      <xdr:col>18</xdr:col>
      <xdr:colOff>292693</xdr:colOff>
      <xdr:row>13</xdr:row>
      <xdr:rowOff>60778</xdr:rowOff>
    </xdr:from>
    <xdr:to>
      <xdr:col>20</xdr:col>
      <xdr:colOff>429814</xdr:colOff>
      <xdr:row>22</xdr:row>
      <xdr:rowOff>6152</xdr:rowOff>
    </xdr:to>
    <xdr:cxnSp macro="">
      <xdr:nvCxnSpPr>
        <xdr:cNvPr id="55" name="Elbow Connector 54"/>
        <xdr:cNvCxnSpPr>
          <a:stCxn id="49" idx="3"/>
          <a:endCxn id="30" idx="1"/>
        </xdr:cNvCxnSpPr>
      </xdr:nvCxnSpPr>
      <xdr:spPr>
        <a:xfrm flipV="1">
          <a:off x="11474215" y="1998908"/>
          <a:ext cx="1379512" cy="1287157"/>
        </a:xfrm>
        <a:prstGeom prst="bentConnector3">
          <a:avLst>
            <a:gd name="adj1" fmla="val 50000"/>
          </a:avLst>
        </a:prstGeom>
        <a:ln w="38100">
          <a:solidFill>
            <a:srgbClr val="EBB7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168262</xdr:colOff>
      <xdr:row>22</xdr:row>
      <xdr:rowOff>72282</xdr:rowOff>
    </xdr:from>
    <xdr:to>
      <xdr:col>7</xdr:col>
      <xdr:colOff>448911</xdr:colOff>
      <xdr:row>24</xdr:row>
      <xdr:rowOff>40581</xdr:rowOff>
    </xdr:to>
    <xdr:sp macro="" textlink="">
      <xdr:nvSpPr>
        <xdr:cNvPr id="56" name="TextBox 55">
          <a:hlinkClick xmlns:r="http://schemas.openxmlformats.org/officeDocument/2006/relationships" r:id="rId13"/>
        </xdr:cNvPr>
        <xdr:cNvSpPr txBox="1"/>
      </xdr:nvSpPr>
      <xdr:spPr>
        <a:xfrm>
          <a:off x="2653045" y="3352195"/>
          <a:ext cx="2144236" cy="266473"/>
        </a:xfrm>
        <a:prstGeom prst="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noAutofit/>
        </a:bodyPr>
        <a:lstStyle/>
        <a:p>
          <a:pPr algn="ctr"/>
          <a:r>
            <a:rPr lang="en-GB" sz="1000" b="1">
              <a:solidFill>
                <a:schemeClr val="bg1"/>
              </a:solidFill>
              <a:latin typeface="Univers 45 Light" pitchFamily="2" charset="0"/>
            </a:rPr>
            <a:t>Assumptions book</a:t>
          </a:r>
        </a:p>
      </xdr:txBody>
    </xdr:sp>
    <xdr:clientData/>
  </xdr:twoCellAnchor>
  <xdr:twoCellAnchor>
    <xdr:from>
      <xdr:col>20</xdr:col>
      <xdr:colOff>498836</xdr:colOff>
      <xdr:row>12</xdr:row>
      <xdr:rowOff>63475</xdr:rowOff>
    </xdr:from>
    <xdr:to>
      <xdr:col>23</xdr:col>
      <xdr:colOff>457558</xdr:colOff>
      <xdr:row>14</xdr:row>
      <xdr:rowOff>32320</xdr:rowOff>
    </xdr:to>
    <xdr:sp macro="" textlink="">
      <xdr:nvSpPr>
        <xdr:cNvPr id="57" name="TextBox 56">
          <a:hlinkClick xmlns:r="http://schemas.openxmlformats.org/officeDocument/2006/relationships" r:id="rId14"/>
        </xdr:cNvPr>
        <xdr:cNvSpPr txBox="1"/>
      </xdr:nvSpPr>
      <xdr:spPr>
        <a:xfrm>
          <a:off x="12922749" y="1852518"/>
          <a:ext cx="1822309" cy="267019"/>
        </a:xfrm>
        <a:prstGeom prst="rect">
          <a:avLst/>
        </a:prstGeom>
        <a:solidFill>
          <a:srgbClr val="007C92"/>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noAutofit/>
        </a:bodyPr>
        <a:lstStyle/>
        <a:p>
          <a:pPr algn="ctr"/>
          <a:r>
            <a:rPr lang="en-GB" sz="1000" b="1">
              <a:solidFill>
                <a:schemeClr val="bg1"/>
              </a:solidFill>
              <a:latin typeface="Univers 45 Light" pitchFamily="2" charset="0"/>
            </a:rPr>
            <a:t>Cash Flow</a:t>
          </a:r>
        </a:p>
      </xdr:txBody>
    </xdr:sp>
    <xdr:clientData/>
  </xdr:twoCellAnchor>
  <xdr:twoCellAnchor>
    <xdr:from>
      <xdr:col>20</xdr:col>
      <xdr:colOff>493867</xdr:colOff>
      <xdr:row>14</xdr:row>
      <xdr:rowOff>91635</xdr:rowOff>
    </xdr:from>
    <xdr:to>
      <xdr:col>23</xdr:col>
      <xdr:colOff>452589</xdr:colOff>
      <xdr:row>16</xdr:row>
      <xdr:rowOff>60480</xdr:rowOff>
    </xdr:to>
    <xdr:sp macro="" textlink="">
      <xdr:nvSpPr>
        <xdr:cNvPr id="58" name="TextBox 57">
          <a:hlinkClick xmlns:r="http://schemas.openxmlformats.org/officeDocument/2006/relationships" r:id="rId15"/>
        </xdr:cNvPr>
        <xdr:cNvSpPr txBox="1"/>
      </xdr:nvSpPr>
      <xdr:spPr>
        <a:xfrm>
          <a:off x="12917780" y="2178852"/>
          <a:ext cx="1822309" cy="267019"/>
        </a:xfrm>
        <a:prstGeom prst="rect">
          <a:avLst/>
        </a:prstGeom>
        <a:solidFill>
          <a:srgbClr val="007C92"/>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noAutofit/>
        </a:bodyPr>
        <a:lstStyle/>
        <a:p>
          <a:pPr algn="ctr"/>
          <a:r>
            <a:rPr lang="en-GB" sz="1000" b="1">
              <a:solidFill>
                <a:schemeClr val="bg1"/>
              </a:solidFill>
              <a:latin typeface="Univers 45 Light" pitchFamily="2" charset="0"/>
            </a:rPr>
            <a:t>Balance</a:t>
          </a:r>
          <a:r>
            <a:rPr lang="en-GB" sz="1000" b="1" baseline="0">
              <a:solidFill>
                <a:schemeClr val="bg1"/>
              </a:solidFill>
              <a:latin typeface="Univers 45 Light" pitchFamily="2" charset="0"/>
            </a:rPr>
            <a:t> Sheet</a:t>
          </a:r>
          <a:endParaRPr lang="en-GB" sz="1000" b="1">
            <a:solidFill>
              <a:schemeClr val="bg1"/>
            </a:solidFill>
            <a:latin typeface="Univers 45 Light" pitchFamily="2" charset="0"/>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235323</xdr:colOff>
          <xdr:row>0</xdr:row>
          <xdr:rowOff>109819</xdr:rowOff>
        </xdr:from>
        <xdr:to>
          <xdr:col>8</xdr:col>
          <xdr:colOff>43</xdr:colOff>
          <xdr:row>2</xdr:row>
          <xdr:rowOff>30035</xdr:rowOff>
        </xdr:to>
        <xdr:grpSp>
          <xdr:nvGrpSpPr>
            <xdr:cNvPr id="16" name="Group 15"/>
            <xdr:cNvGrpSpPr/>
          </xdr:nvGrpSpPr>
          <xdr:grpSpPr>
            <a:xfrm>
              <a:off x="7093323" y="109819"/>
              <a:ext cx="1871426" cy="225016"/>
              <a:chOff x="3339359" y="156882"/>
              <a:chExt cx="1815397" cy="251909"/>
            </a:xfrm>
          </xdr:grpSpPr>
          <xdr:sp macro="" textlink="">
            <xdr:nvSpPr>
              <xdr:cNvPr id="411660" name="Button 12" hidden="1">
                <a:extLst>
                  <a:ext uri="{63B3BB69-23CF-44E3-9099-C40C66FF867C}">
                    <a14:compatExt spid="_x0000_s411660"/>
                  </a:ext>
                </a:extLst>
              </xdr:cNvPr>
              <xdr:cNvSpPr/>
            </xdr:nvSpPr>
            <xdr:spPr bwMode="auto">
              <a:xfrm>
                <a:off x="4261460" y="156882"/>
                <a:ext cx="290654"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1</a:t>
                </a:r>
              </a:p>
            </xdr:txBody>
          </xdr:sp>
          <xdr:sp macro="" textlink="">
            <xdr:nvSpPr>
              <xdr:cNvPr id="411661" name="Button 13" hidden="1">
                <a:extLst>
                  <a:ext uri="{63B3BB69-23CF-44E3-9099-C40C66FF867C}">
                    <a14:compatExt spid="_x0000_s411661"/>
                  </a:ext>
                </a:extLst>
              </xdr:cNvPr>
              <xdr:cNvSpPr/>
            </xdr:nvSpPr>
            <xdr:spPr bwMode="auto">
              <a:xfrm>
                <a:off x="4559822" y="156882"/>
                <a:ext cx="295491"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2</a:t>
                </a:r>
              </a:p>
            </xdr:txBody>
          </xdr:sp>
          <xdr:sp macro="" textlink="">
            <xdr:nvSpPr>
              <xdr:cNvPr id="411662" name="Button 14" hidden="1">
                <a:extLst>
                  <a:ext uri="{63B3BB69-23CF-44E3-9099-C40C66FF867C}">
                    <a14:compatExt spid="_x0000_s411662"/>
                  </a:ext>
                </a:extLst>
              </xdr:cNvPr>
              <xdr:cNvSpPr/>
            </xdr:nvSpPr>
            <xdr:spPr bwMode="auto">
              <a:xfrm>
                <a:off x="4863031" y="156882"/>
                <a:ext cx="291725"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3</a:t>
                </a:r>
              </a:p>
            </xdr:txBody>
          </xdr:sp>
          <xdr:sp macro="" textlink="">
            <xdr:nvSpPr>
              <xdr:cNvPr id="411663" name="Button 15" hidden="1">
                <a:extLst>
                  <a:ext uri="{63B3BB69-23CF-44E3-9099-C40C66FF867C}">
                    <a14:compatExt spid="_x0000_s411663"/>
                  </a:ext>
                </a:extLst>
              </xdr:cNvPr>
              <xdr:cNvSpPr/>
            </xdr:nvSpPr>
            <xdr:spPr bwMode="auto">
              <a:xfrm>
                <a:off x="3339359" y="156882"/>
                <a:ext cx="914399"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Model Map</a:t>
                </a:r>
              </a:p>
            </xdr:txBody>
          </xdr:sp>
        </xdr:grp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2330826</xdr:colOff>
          <xdr:row>1</xdr:row>
          <xdr:rowOff>0</xdr:rowOff>
        </xdr:from>
        <xdr:to>
          <xdr:col>8</xdr:col>
          <xdr:colOff>46</xdr:colOff>
          <xdr:row>2</xdr:row>
          <xdr:rowOff>95026</xdr:rowOff>
        </xdr:to>
        <xdr:grpSp>
          <xdr:nvGrpSpPr>
            <xdr:cNvPr id="11" name="Group 10"/>
            <xdr:cNvGrpSpPr/>
          </xdr:nvGrpSpPr>
          <xdr:grpSpPr>
            <a:xfrm>
              <a:off x="3917579" y="152400"/>
              <a:ext cx="1927455" cy="247426"/>
              <a:chOff x="3339355" y="156882"/>
              <a:chExt cx="1815392" cy="251909"/>
            </a:xfrm>
          </xdr:grpSpPr>
          <xdr:sp macro="" textlink="">
            <xdr:nvSpPr>
              <xdr:cNvPr id="41997" name="Button 13" hidden="1">
                <a:extLst>
                  <a:ext uri="{63B3BB69-23CF-44E3-9099-C40C66FF867C}">
                    <a14:compatExt spid="_x0000_s41997"/>
                  </a:ext>
                </a:extLst>
              </xdr:cNvPr>
              <xdr:cNvSpPr/>
            </xdr:nvSpPr>
            <xdr:spPr bwMode="auto">
              <a:xfrm>
                <a:off x="4261460" y="156882"/>
                <a:ext cx="290654"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1</a:t>
                </a:r>
              </a:p>
            </xdr:txBody>
          </xdr:sp>
          <xdr:sp macro="" textlink="">
            <xdr:nvSpPr>
              <xdr:cNvPr id="41998" name="Button 14" hidden="1">
                <a:extLst>
                  <a:ext uri="{63B3BB69-23CF-44E3-9099-C40C66FF867C}">
                    <a14:compatExt spid="_x0000_s41998"/>
                  </a:ext>
                </a:extLst>
              </xdr:cNvPr>
              <xdr:cNvSpPr/>
            </xdr:nvSpPr>
            <xdr:spPr bwMode="auto">
              <a:xfrm>
                <a:off x="4559822" y="156882"/>
                <a:ext cx="295491"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2</a:t>
                </a:r>
              </a:p>
            </xdr:txBody>
          </xdr:sp>
          <xdr:sp macro="" textlink="">
            <xdr:nvSpPr>
              <xdr:cNvPr id="41999" name="Button 15" hidden="1">
                <a:extLst>
                  <a:ext uri="{63B3BB69-23CF-44E3-9099-C40C66FF867C}">
                    <a14:compatExt spid="_x0000_s41999"/>
                  </a:ext>
                </a:extLst>
              </xdr:cNvPr>
              <xdr:cNvSpPr/>
            </xdr:nvSpPr>
            <xdr:spPr bwMode="auto">
              <a:xfrm>
                <a:off x="4863021" y="156882"/>
                <a:ext cx="291726"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3</a:t>
                </a:r>
              </a:p>
            </xdr:txBody>
          </xdr:sp>
          <xdr:sp macro="" textlink="">
            <xdr:nvSpPr>
              <xdr:cNvPr id="42000" name="Button 16" hidden="1">
                <a:extLst>
                  <a:ext uri="{63B3BB69-23CF-44E3-9099-C40C66FF867C}">
                    <a14:compatExt spid="_x0000_s42000"/>
                  </a:ext>
                </a:extLst>
              </xdr:cNvPr>
              <xdr:cNvSpPr/>
            </xdr:nvSpPr>
            <xdr:spPr bwMode="auto">
              <a:xfrm>
                <a:off x="3339355" y="156882"/>
                <a:ext cx="914402"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Model Map</a:t>
                </a:r>
              </a:p>
            </xdr:txBody>
          </xdr:sp>
        </xdr:grp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2342033</xdr:colOff>
          <xdr:row>1</xdr:row>
          <xdr:rowOff>0</xdr:rowOff>
        </xdr:from>
        <xdr:to>
          <xdr:col>8</xdr:col>
          <xdr:colOff>11253</xdr:colOff>
          <xdr:row>2</xdr:row>
          <xdr:rowOff>95026</xdr:rowOff>
        </xdr:to>
        <xdr:grpSp>
          <xdr:nvGrpSpPr>
            <xdr:cNvPr id="21" name="Group 20"/>
            <xdr:cNvGrpSpPr/>
          </xdr:nvGrpSpPr>
          <xdr:grpSpPr>
            <a:xfrm>
              <a:off x="3928786" y="152400"/>
              <a:ext cx="1927455" cy="247426"/>
              <a:chOff x="3339355" y="156882"/>
              <a:chExt cx="1815392" cy="251909"/>
            </a:xfrm>
          </xdr:grpSpPr>
          <xdr:sp macro="" textlink="">
            <xdr:nvSpPr>
              <xdr:cNvPr id="43024" name="Button 16" hidden="1">
                <a:extLst>
                  <a:ext uri="{63B3BB69-23CF-44E3-9099-C40C66FF867C}">
                    <a14:compatExt spid="_x0000_s43024"/>
                  </a:ext>
                </a:extLst>
              </xdr:cNvPr>
              <xdr:cNvSpPr/>
            </xdr:nvSpPr>
            <xdr:spPr bwMode="auto">
              <a:xfrm>
                <a:off x="4261460" y="156882"/>
                <a:ext cx="290654"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1</a:t>
                </a:r>
              </a:p>
            </xdr:txBody>
          </xdr:sp>
          <xdr:sp macro="" textlink="">
            <xdr:nvSpPr>
              <xdr:cNvPr id="43025" name="Button 17" hidden="1">
                <a:extLst>
                  <a:ext uri="{63B3BB69-23CF-44E3-9099-C40C66FF867C}">
                    <a14:compatExt spid="_x0000_s43025"/>
                  </a:ext>
                </a:extLst>
              </xdr:cNvPr>
              <xdr:cNvSpPr/>
            </xdr:nvSpPr>
            <xdr:spPr bwMode="auto">
              <a:xfrm>
                <a:off x="4559822" y="156882"/>
                <a:ext cx="295491"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2</a:t>
                </a:r>
              </a:p>
            </xdr:txBody>
          </xdr:sp>
          <xdr:sp macro="" textlink="">
            <xdr:nvSpPr>
              <xdr:cNvPr id="43026" name="Button 18" hidden="1">
                <a:extLst>
                  <a:ext uri="{63B3BB69-23CF-44E3-9099-C40C66FF867C}">
                    <a14:compatExt spid="_x0000_s43026"/>
                  </a:ext>
                </a:extLst>
              </xdr:cNvPr>
              <xdr:cNvSpPr/>
            </xdr:nvSpPr>
            <xdr:spPr bwMode="auto">
              <a:xfrm>
                <a:off x="4863021" y="156882"/>
                <a:ext cx="291726"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3</a:t>
                </a:r>
              </a:p>
            </xdr:txBody>
          </xdr:sp>
          <xdr:sp macro="" textlink="">
            <xdr:nvSpPr>
              <xdr:cNvPr id="43027" name="Button 19" hidden="1">
                <a:extLst>
                  <a:ext uri="{63B3BB69-23CF-44E3-9099-C40C66FF867C}">
                    <a14:compatExt spid="_x0000_s43027"/>
                  </a:ext>
                </a:extLst>
              </xdr:cNvPr>
              <xdr:cNvSpPr/>
            </xdr:nvSpPr>
            <xdr:spPr bwMode="auto">
              <a:xfrm>
                <a:off x="3339355" y="156882"/>
                <a:ext cx="914402"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Model Map</a:t>
                </a:r>
              </a:p>
            </xdr:txBody>
          </xdr:sp>
        </xdr:grp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2342034</xdr:colOff>
          <xdr:row>1</xdr:row>
          <xdr:rowOff>0</xdr:rowOff>
        </xdr:from>
        <xdr:to>
          <xdr:col>8</xdr:col>
          <xdr:colOff>11254</xdr:colOff>
          <xdr:row>2</xdr:row>
          <xdr:rowOff>95026</xdr:rowOff>
        </xdr:to>
        <xdr:grpSp>
          <xdr:nvGrpSpPr>
            <xdr:cNvPr id="2" name="Group 1"/>
            <xdr:cNvGrpSpPr/>
          </xdr:nvGrpSpPr>
          <xdr:grpSpPr>
            <a:xfrm>
              <a:off x="3928787" y="152400"/>
              <a:ext cx="1927455" cy="247426"/>
              <a:chOff x="3339354" y="156882"/>
              <a:chExt cx="1815402" cy="251909"/>
            </a:xfrm>
          </xdr:grpSpPr>
          <xdr:sp macro="" textlink="">
            <xdr:nvSpPr>
              <xdr:cNvPr id="744449" name="Button 1" hidden="1">
                <a:extLst>
                  <a:ext uri="{63B3BB69-23CF-44E3-9099-C40C66FF867C}">
                    <a14:compatExt spid="_x0000_s744449"/>
                  </a:ext>
                </a:extLst>
              </xdr:cNvPr>
              <xdr:cNvSpPr/>
            </xdr:nvSpPr>
            <xdr:spPr bwMode="auto">
              <a:xfrm>
                <a:off x="4261460" y="156882"/>
                <a:ext cx="290654"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1</a:t>
                </a:r>
              </a:p>
            </xdr:txBody>
          </xdr:sp>
          <xdr:sp macro="" textlink="">
            <xdr:nvSpPr>
              <xdr:cNvPr id="744450" name="Button 2" hidden="1">
                <a:extLst>
                  <a:ext uri="{63B3BB69-23CF-44E3-9099-C40C66FF867C}">
                    <a14:compatExt spid="_x0000_s744450"/>
                  </a:ext>
                </a:extLst>
              </xdr:cNvPr>
              <xdr:cNvSpPr/>
            </xdr:nvSpPr>
            <xdr:spPr bwMode="auto">
              <a:xfrm>
                <a:off x="4559822" y="156882"/>
                <a:ext cx="295491"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2</a:t>
                </a:r>
              </a:p>
            </xdr:txBody>
          </xdr:sp>
          <xdr:sp macro="" textlink="">
            <xdr:nvSpPr>
              <xdr:cNvPr id="744451" name="Button 3" hidden="1">
                <a:extLst>
                  <a:ext uri="{63B3BB69-23CF-44E3-9099-C40C66FF867C}">
                    <a14:compatExt spid="_x0000_s744451"/>
                  </a:ext>
                </a:extLst>
              </xdr:cNvPr>
              <xdr:cNvSpPr/>
            </xdr:nvSpPr>
            <xdr:spPr bwMode="auto">
              <a:xfrm>
                <a:off x="4863030" y="156882"/>
                <a:ext cx="291726"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3</a:t>
                </a:r>
              </a:p>
            </xdr:txBody>
          </xdr:sp>
          <xdr:sp macro="" textlink="">
            <xdr:nvSpPr>
              <xdr:cNvPr id="744452" name="Button 4" hidden="1">
                <a:extLst>
                  <a:ext uri="{63B3BB69-23CF-44E3-9099-C40C66FF867C}">
                    <a14:compatExt spid="_x0000_s744452"/>
                  </a:ext>
                </a:extLst>
              </xdr:cNvPr>
              <xdr:cNvSpPr/>
            </xdr:nvSpPr>
            <xdr:spPr bwMode="auto">
              <a:xfrm>
                <a:off x="3339354" y="156882"/>
                <a:ext cx="914403"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Model Map</a:t>
                </a:r>
              </a:p>
            </xdr:txBody>
          </xdr:sp>
        </xdr:grp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2342035</xdr:colOff>
          <xdr:row>1</xdr:row>
          <xdr:rowOff>0</xdr:rowOff>
        </xdr:from>
        <xdr:to>
          <xdr:col>8</xdr:col>
          <xdr:colOff>11255</xdr:colOff>
          <xdr:row>2</xdr:row>
          <xdr:rowOff>95026</xdr:rowOff>
        </xdr:to>
        <xdr:grpSp>
          <xdr:nvGrpSpPr>
            <xdr:cNvPr id="2" name="Group 1"/>
            <xdr:cNvGrpSpPr/>
          </xdr:nvGrpSpPr>
          <xdr:grpSpPr>
            <a:xfrm>
              <a:off x="3928787" y="152400"/>
              <a:ext cx="1927453" cy="247426"/>
              <a:chOff x="3339350" y="156882"/>
              <a:chExt cx="1815394" cy="251909"/>
            </a:xfrm>
          </xdr:grpSpPr>
          <xdr:sp macro="" textlink="">
            <xdr:nvSpPr>
              <xdr:cNvPr id="653313" name="Button 1" hidden="1">
                <a:extLst>
                  <a:ext uri="{63B3BB69-23CF-44E3-9099-C40C66FF867C}">
                    <a14:compatExt spid="_x0000_s653313"/>
                  </a:ext>
                </a:extLst>
              </xdr:cNvPr>
              <xdr:cNvSpPr/>
            </xdr:nvSpPr>
            <xdr:spPr bwMode="auto">
              <a:xfrm>
                <a:off x="4261460" y="156882"/>
                <a:ext cx="290654"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1</a:t>
                </a:r>
              </a:p>
            </xdr:txBody>
          </xdr:sp>
          <xdr:sp macro="" textlink="">
            <xdr:nvSpPr>
              <xdr:cNvPr id="653314" name="Button 2" hidden="1">
                <a:extLst>
                  <a:ext uri="{63B3BB69-23CF-44E3-9099-C40C66FF867C}">
                    <a14:compatExt spid="_x0000_s653314"/>
                  </a:ext>
                </a:extLst>
              </xdr:cNvPr>
              <xdr:cNvSpPr/>
            </xdr:nvSpPr>
            <xdr:spPr bwMode="auto">
              <a:xfrm>
                <a:off x="4559822" y="156882"/>
                <a:ext cx="295491"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2</a:t>
                </a:r>
              </a:p>
            </xdr:txBody>
          </xdr:sp>
          <xdr:sp macro="" textlink="">
            <xdr:nvSpPr>
              <xdr:cNvPr id="653315" name="Button 3" hidden="1">
                <a:extLst>
                  <a:ext uri="{63B3BB69-23CF-44E3-9099-C40C66FF867C}">
                    <a14:compatExt spid="_x0000_s653315"/>
                  </a:ext>
                </a:extLst>
              </xdr:cNvPr>
              <xdr:cNvSpPr/>
            </xdr:nvSpPr>
            <xdr:spPr bwMode="auto">
              <a:xfrm>
                <a:off x="4863016" y="156882"/>
                <a:ext cx="291728"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3</a:t>
                </a:r>
              </a:p>
            </xdr:txBody>
          </xdr:sp>
          <xdr:sp macro="" textlink="">
            <xdr:nvSpPr>
              <xdr:cNvPr id="653316" name="Button 4" hidden="1">
                <a:extLst>
                  <a:ext uri="{63B3BB69-23CF-44E3-9099-C40C66FF867C}">
                    <a14:compatExt spid="_x0000_s653316"/>
                  </a:ext>
                </a:extLst>
              </xdr:cNvPr>
              <xdr:cNvSpPr/>
            </xdr:nvSpPr>
            <xdr:spPr bwMode="auto">
              <a:xfrm>
                <a:off x="3339350" y="156882"/>
                <a:ext cx="914401"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Model Map</a:t>
                </a:r>
              </a:p>
            </xdr:txBody>
          </xdr:sp>
        </xdr:grp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3350564</xdr:colOff>
          <xdr:row>1</xdr:row>
          <xdr:rowOff>0</xdr:rowOff>
        </xdr:from>
        <xdr:to>
          <xdr:col>8</xdr:col>
          <xdr:colOff>11254</xdr:colOff>
          <xdr:row>2</xdr:row>
          <xdr:rowOff>95026</xdr:rowOff>
        </xdr:to>
        <xdr:grpSp>
          <xdr:nvGrpSpPr>
            <xdr:cNvPr id="2" name="Group 1"/>
            <xdr:cNvGrpSpPr/>
          </xdr:nvGrpSpPr>
          <xdr:grpSpPr>
            <a:xfrm>
              <a:off x="4865597" y="152400"/>
              <a:ext cx="1949867" cy="247426"/>
              <a:chOff x="3339353" y="156882"/>
              <a:chExt cx="1815392" cy="251909"/>
            </a:xfrm>
          </xdr:grpSpPr>
          <xdr:sp macro="" textlink="">
            <xdr:nvSpPr>
              <xdr:cNvPr id="1426433" name="Button 1" hidden="1">
                <a:extLst>
                  <a:ext uri="{63B3BB69-23CF-44E3-9099-C40C66FF867C}">
                    <a14:compatExt spid="_x0000_s1426433"/>
                  </a:ext>
                </a:extLst>
              </xdr:cNvPr>
              <xdr:cNvSpPr/>
            </xdr:nvSpPr>
            <xdr:spPr bwMode="auto">
              <a:xfrm>
                <a:off x="4261460" y="156882"/>
                <a:ext cx="290654"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1</a:t>
                </a:r>
              </a:p>
            </xdr:txBody>
          </xdr:sp>
          <xdr:sp macro="" textlink="">
            <xdr:nvSpPr>
              <xdr:cNvPr id="1426434" name="Button 2" hidden="1">
                <a:extLst>
                  <a:ext uri="{63B3BB69-23CF-44E3-9099-C40C66FF867C}">
                    <a14:compatExt spid="_x0000_s1426434"/>
                  </a:ext>
                </a:extLst>
              </xdr:cNvPr>
              <xdr:cNvSpPr/>
            </xdr:nvSpPr>
            <xdr:spPr bwMode="auto">
              <a:xfrm>
                <a:off x="4559822" y="156882"/>
                <a:ext cx="295491"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2</a:t>
                </a:r>
              </a:p>
            </xdr:txBody>
          </xdr:sp>
          <xdr:sp macro="" textlink="">
            <xdr:nvSpPr>
              <xdr:cNvPr id="1426435" name="Button 3" hidden="1">
                <a:extLst>
                  <a:ext uri="{63B3BB69-23CF-44E3-9099-C40C66FF867C}">
                    <a14:compatExt spid="_x0000_s1426435"/>
                  </a:ext>
                </a:extLst>
              </xdr:cNvPr>
              <xdr:cNvSpPr/>
            </xdr:nvSpPr>
            <xdr:spPr bwMode="auto">
              <a:xfrm>
                <a:off x="4863020" y="156882"/>
                <a:ext cx="291725"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3</a:t>
                </a:r>
              </a:p>
            </xdr:txBody>
          </xdr:sp>
          <xdr:sp macro="" textlink="">
            <xdr:nvSpPr>
              <xdr:cNvPr id="1426436" name="Button 4" hidden="1">
                <a:extLst>
                  <a:ext uri="{63B3BB69-23CF-44E3-9099-C40C66FF867C}">
                    <a14:compatExt spid="_x0000_s1426436"/>
                  </a:ext>
                </a:extLst>
              </xdr:cNvPr>
              <xdr:cNvSpPr/>
            </xdr:nvSpPr>
            <xdr:spPr bwMode="auto">
              <a:xfrm>
                <a:off x="3339353" y="156882"/>
                <a:ext cx="914399"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Model Map</a:t>
                </a:r>
              </a:p>
            </xdr:txBody>
          </xdr:sp>
        </xdr:grp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2554942</xdr:colOff>
          <xdr:row>1</xdr:row>
          <xdr:rowOff>26894</xdr:rowOff>
        </xdr:from>
        <xdr:to>
          <xdr:col>9</xdr:col>
          <xdr:colOff>13491</xdr:colOff>
          <xdr:row>2</xdr:row>
          <xdr:rowOff>103990</xdr:rowOff>
        </xdr:to>
        <xdr:grpSp>
          <xdr:nvGrpSpPr>
            <xdr:cNvPr id="2" name="Group 1"/>
            <xdr:cNvGrpSpPr/>
          </xdr:nvGrpSpPr>
          <xdr:grpSpPr>
            <a:xfrm>
              <a:off x="4231342" y="197223"/>
              <a:ext cx="1949867" cy="247426"/>
              <a:chOff x="3339348" y="156882"/>
              <a:chExt cx="1815400" cy="251909"/>
            </a:xfrm>
          </xdr:grpSpPr>
          <xdr:sp macro="" textlink="">
            <xdr:nvSpPr>
              <xdr:cNvPr id="1543169" name="Button 1" hidden="1">
                <a:extLst>
                  <a:ext uri="{63B3BB69-23CF-44E3-9099-C40C66FF867C}">
                    <a14:compatExt spid="_x0000_s1543169"/>
                  </a:ext>
                </a:extLst>
              </xdr:cNvPr>
              <xdr:cNvSpPr/>
            </xdr:nvSpPr>
            <xdr:spPr bwMode="auto">
              <a:xfrm>
                <a:off x="4261460" y="156882"/>
                <a:ext cx="290654"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1</a:t>
                </a:r>
              </a:p>
            </xdr:txBody>
          </xdr:sp>
          <xdr:sp macro="" textlink="">
            <xdr:nvSpPr>
              <xdr:cNvPr id="1543170" name="Button 2" hidden="1">
                <a:extLst>
                  <a:ext uri="{63B3BB69-23CF-44E3-9099-C40C66FF867C}">
                    <a14:compatExt spid="_x0000_s1543170"/>
                  </a:ext>
                </a:extLst>
              </xdr:cNvPr>
              <xdr:cNvSpPr/>
            </xdr:nvSpPr>
            <xdr:spPr bwMode="auto">
              <a:xfrm>
                <a:off x="4559822" y="156882"/>
                <a:ext cx="295491"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2</a:t>
                </a:r>
              </a:p>
            </xdr:txBody>
          </xdr:sp>
          <xdr:sp macro="" textlink="">
            <xdr:nvSpPr>
              <xdr:cNvPr id="1543171" name="Button 3" hidden="1">
                <a:extLst>
                  <a:ext uri="{63B3BB69-23CF-44E3-9099-C40C66FF867C}">
                    <a14:compatExt spid="_x0000_s1543171"/>
                  </a:ext>
                </a:extLst>
              </xdr:cNvPr>
              <xdr:cNvSpPr/>
            </xdr:nvSpPr>
            <xdr:spPr bwMode="auto">
              <a:xfrm>
                <a:off x="4863022" y="156882"/>
                <a:ext cx="291726"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3</a:t>
                </a:r>
              </a:p>
            </xdr:txBody>
          </xdr:sp>
          <xdr:sp macro="" textlink="">
            <xdr:nvSpPr>
              <xdr:cNvPr id="1543172" name="Button 4" hidden="1">
                <a:extLst>
                  <a:ext uri="{63B3BB69-23CF-44E3-9099-C40C66FF867C}">
                    <a14:compatExt spid="_x0000_s1543172"/>
                  </a:ext>
                </a:extLst>
              </xdr:cNvPr>
              <xdr:cNvSpPr/>
            </xdr:nvSpPr>
            <xdr:spPr bwMode="auto">
              <a:xfrm>
                <a:off x="3339348" y="156882"/>
                <a:ext cx="914399"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Model Map</a:t>
                </a:r>
              </a:p>
            </xdr:txBody>
          </xdr:sp>
        </xdr:grpSp>
        <xdr:clientData/>
      </xdr:twoCellAnchor>
    </mc:Choice>
    <mc:Fallback/>
  </mc:AlternateContent>
  <xdr:twoCellAnchor editAs="oneCell">
    <xdr:from>
      <xdr:col>20</xdr:col>
      <xdr:colOff>304800</xdr:colOff>
      <xdr:row>23</xdr:row>
      <xdr:rowOff>0</xdr:rowOff>
    </xdr:from>
    <xdr:to>
      <xdr:col>25</xdr:col>
      <xdr:colOff>21815</xdr:colOff>
      <xdr:row>30</xdr:row>
      <xdr:rowOff>35559</xdr:rowOff>
    </xdr:to>
    <xdr:graphicFrame macro="">
      <xdr:nvGraphicFramePr>
        <xdr:cNvPr id="6" name="Chart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1857375</xdr:colOff>
      <xdr:row>0</xdr:row>
      <xdr:rowOff>466802</xdr:rowOff>
    </xdr:to>
    <xdr:pic>
      <xdr:nvPicPr>
        <xdr:cNvPr id="2" name="Picture 1"/>
        <xdr:cNvPicPr/>
      </xdr:nvPicPr>
      <xdr:blipFill>
        <a:blip xmlns:r="http://schemas.openxmlformats.org/officeDocument/2006/relationships" r:embed="rId1"/>
        <a:stretch>
          <a:fillRect/>
        </a:stretch>
      </xdr:blipFill>
      <xdr:spPr>
        <a:xfrm>
          <a:off x="0" y="1"/>
          <a:ext cx="1857375" cy="46680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3339358</xdr:colOff>
          <xdr:row>1</xdr:row>
          <xdr:rowOff>0</xdr:rowOff>
        </xdr:from>
        <xdr:to>
          <xdr:col>8</xdr:col>
          <xdr:colOff>48</xdr:colOff>
          <xdr:row>2</xdr:row>
          <xdr:rowOff>95026</xdr:rowOff>
        </xdr:to>
        <xdr:grpSp>
          <xdr:nvGrpSpPr>
            <xdr:cNvPr id="2" name="Group 1"/>
            <xdr:cNvGrpSpPr/>
          </xdr:nvGrpSpPr>
          <xdr:grpSpPr>
            <a:xfrm>
              <a:off x="4854393" y="152400"/>
              <a:ext cx="1949867" cy="247426"/>
              <a:chOff x="3339350" y="156882"/>
              <a:chExt cx="1815402" cy="251909"/>
            </a:xfrm>
          </xdr:grpSpPr>
          <xdr:sp macro="" textlink="">
            <xdr:nvSpPr>
              <xdr:cNvPr id="1427457" name="Button 1" hidden="1">
                <a:extLst>
                  <a:ext uri="{63B3BB69-23CF-44E3-9099-C40C66FF867C}">
                    <a14:compatExt spid="_x0000_s1427457"/>
                  </a:ext>
                </a:extLst>
              </xdr:cNvPr>
              <xdr:cNvSpPr/>
            </xdr:nvSpPr>
            <xdr:spPr bwMode="auto">
              <a:xfrm>
                <a:off x="4261460" y="156882"/>
                <a:ext cx="290654"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1</a:t>
                </a:r>
              </a:p>
            </xdr:txBody>
          </xdr:sp>
          <xdr:sp macro="" textlink="">
            <xdr:nvSpPr>
              <xdr:cNvPr id="1427458" name="Button 2" hidden="1">
                <a:extLst>
                  <a:ext uri="{63B3BB69-23CF-44E3-9099-C40C66FF867C}">
                    <a14:compatExt spid="_x0000_s1427458"/>
                  </a:ext>
                </a:extLst>
              </xdr:cNvPr>
              <xdr:cNvSpPr/>
            </xdr:nvSpPr>
            <xdr:spPr bwMode="auto">
              <a:xfrm>
                <a:off x="4559822" y="156882"/>
                <a:ext cx="295491"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2</a:t>
                </a:r>
              </a:p>
            </xdr:txBody>
          </xdr:sp>
          <xdr:sp macro="" textlink="">
            <xdr:nvSpPr>
              <xdr:cNvPr id="1427459" name="Button 3" hidden="1">
                <a:extLst>
                  <a:ext uri="{63B3BB69-23CF-44E3-9099-C40C66FF867C}">
                    <a14:compatExt spid="_x0000_s1427459"/>
                  </a:ext>
                </a:extLst>
              </xdr:cNvPr>
              <xdr:cNvSpPr/>
            </xdr:nvSpPr>
            <xdr:spPr bwMode="auto">
              <a:xfrm>
                <a:off x="4863029" y="156882"/>
                <a:ext cx="291723"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3</a:t>
                </a:r>
              </a:p>
            </xdr:txBody>
          </xdr:sp>
          <xdr:sp macro="" textlink="">
            <xdr:nvSpPr>
              <xdr:cNvPr id="1427460" name="Button 4" hidden="1">
                <a:extLst>
                  <a:ext uri="{63B3BB69-23CF-44E3-9099-C40C66FF867C}">
                    <a14:compatExt spid="_x0000_s1427460"/>
                  </a:ext>
                </a:extLst>
              </xdr:cNvPr>
              <xdr:cNvSpPr/>
            </xdr:nvSpPr>
            <xdr:spPr bwMode="auto">
              <a:xfrm>
                <a:off x="3339350" y="156882"/>
                <a:ext cx="914401"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Model Map</a:t>
                </a:r>
              </a:p>
            </xdr:txBody>
          </xdr:sp>
        </xdr:grp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2330829</xdr:colOff>
          <xdr:row>1</xdr:row>
          <xdr:rowOff>11206</xdr:rowOff>
        </xdr:from>
        <xdr:to>
          <xdr:col>8</xdr:col>
          <xdr:colOff>49</xdr:colOff>
          <xdr:row>2</xdr:row>
          <xdr:rowOff>106232</xdr:rowOff>
        </xdr:to>
        <xdr:grpSp>
          <xdr:nvGrpSpPr>
            <xdr:cNvPr id="2" name="Group 1"/>
            <xdr:cNvGrpSpPr/>
          </xdr:nvGrpSpPr>
          <xdr:grpSpPr>
            <a:xfrm>
              <a:off x="4007229" y="163606"/>
              <a:ext cx="1927455" cy="247426"/>
              <a:chOff x="3339356" y="156882"/>
              <a:chExt cx="1815390" cy="251909"/>
            </a:xfrm>
          </xdr:grpSpPr>
          <xdr:sp macro="" textlink="">
            <xdr:nvSpPr>
              <xdr:cNvPr id="1420289" name="Button 1" hidden="1">
                <a:extLst>
                  <a:ext uri="{63B3BB69-23CF-44E3-9099-C40C66FF867C}">
                    <a14:compatExt spid="_x0000_s1420289"/>
                  </a:ext>
                </a:extLst>
              </xdr:cNvPr>
              <xdr:cNvSpPr/>
            </xdr:nvSpPr>
            <xdr:spPr bwMode="auto">
              <a:xfrm>
                <a:off x="4261460" y="156882"/>
                <a:ext cx="290654"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1</a:t>
                </a:r>
              </a:p>
            </xdr:txBody>
          </xdr:sp>
          <xdr:sp macro="" textlink="">
            <xdr:nvSpPr>
              <xdr:cNvPr id="1420290" name="Button 2" hidden="1">
                <a:extLst>
                  <a:ext uri="{63B3BB69-23CF-44E3-9099-C40C66FF867C}">
                    <a14:compatExt spid="_x0000_s1420290"/>
                  </a:ext>
                </a:extLst>
              </xdr:cNvPr>
              <xdr:cNvSpPr/>
            </xdr:nvSpPr>
            <xdr:spPr bwMode="auto">
              <a:xfrm>
                <a:off x="4559822" y="156882"/>
                <a:ext cx="295491"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2</a:t>
                </a:r>
              </a:p>
            </xdr:txBody>
          </xdr:sp>
          <xdr:sp macro="" textlink="">
            <xdr:nvSpPr>
              <xdr:cNvPr id="1420291" name="Button 3" hidden="1">
                <a:extLst>
                  <a:ext uri="{63B3BB69-23CF-44E3-9099-C40C66FF867C}">
                    <a14:compatExt spid="_x0000_s1420291"/>
                  </a:ext>
                </a:extLst>
              </xdr:cNvPr>
              <xdr:cNvSpPr/>
            </xdr:nvSpPr>
            <xdr:spPr bwMode="auto">
              <a:xfrm>
                <a:off x="4863020" y="156882"/>
                <a:ext cx="291726"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3</a:t>
                </a:r>
              </a:p>
            </xdr:txBody>
          </xdr:sp>
          <xdr:sp macro="" textlink="">
            <xdr:nvSpPr>
              <xdr:cNvPr id="1420292" name="Button 4" hidden="1">
                <a:extLst>
                  <a:ext uri="{63B3BB69-23CF-44E3-9099-C40C66FF867C}">
                    <a14:compatExt spid="_x0000_s1420292"/>
                  </a:ext>
                </a:extLst>
              </xdr:cNvPr>
              <xdr:cNvSpPr/>
            </xdr:nvSpPr>
            <xdr:spPr bwMode="auto">
              <a:xfrm>
                <a:off x="3339356" y="156882"/>
                <a:ext cx="914397"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Model Map</a:t>
                </a:r>
              </a:p>
            </xdr:txBody>
          </xdr:sp>
        </xdr:grp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3350565</xdr:colOff>
          <xdr:row>1</xdr:row>
          <xdr:rowOff>0</xdr:rowOff>
        </xdr:from>
        <xdr:to>
          <xdr:col>8</xdr:col>
          <xdr:colOff>11255</xdr:colOff>
          <xdr:row>2</xdr:row>
          <xdr:rowOff>95026</xdr:rowOff>
        </xdr:to>
        <xdr:grpSp>
          <xdr:nvGrpSpPr>
            <xdr:cNvPr id="2" name="Group 1"/>
            <xdr:cNvGrpSpPr/>
          </xdr:nvGrpSpPr>
          <xdr:grpSpPr>
            <a:xfrm>
              <a:off x="4865600" y="152400"/>
              <a:ext cx="1949867" cy="247426"/>
              <a:chOff x="3339350" y="156882"/>
              <a:chExt cx="1815402" cy="251909"/>
            </a:xfrm>
          </xdr:grpSpPr>
          <xdr:sp macro="" textlink="">
            <xdr:nvSpPr>
              <xdr:cNvPr id="1544193" name="Button 1" hidden="1">
                <a:extLst>
                  <a:ext uri="{63B3BB69-23CF-44E3-9099-C40C66FF867C}">
                    <a14:compatExt spid="_x0000_s1544193"/>
                  </a:ext>
                </a:extLst>
              </xdr:cNvPr>
              <xdr:cNvSpPr/>
            </xdr:nvSpPr>
            <xdr:spPr bwMode="auto">
              <a:xfrm>
                <a:off x="4261460" y="156882"/>
                <a:ext cx="290654"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1</a:t>
                </a:r>
              </a:p>
            </xdr:txBody>
          </xdr:sp>
          <xdr:sp macro="" textlink="">
            <xdr:nvSpPr>
              <xdr:cNvPr id="1544194" name="Button 2" hidden="1">
                <a:extLst>
                  <a:ext uri="{63B3BB69-23CF-44E3-9099-C40C66FF867C}">
                    <a14:compatExt spid="_x0000_s1544194"/>
                  </a:ext>
                </a:extLst>
              </xdr:cNvPr>
              <xdr:cNvSpPr/>
            </xdr:nvSpPr>
            <xdr:spPr bwMode="auto">
              <a:xfrm>
                <a:off x="4559822" y="156882"/>
                <a:ext cx="295491"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2</a:t>
                </a:r>
              </a:p>
            </xdr:txBody>
          </xdr:sp>
          <xdr:sp macro="" textlink="">
            <xdr:nvSpPr>
              <xdr:cNvPr id="1544195" name="Button 3" hidden="1">
                <a:extLst>
                  <a:ext uri="{63B3BB69-23CF-44E3-9099-C40C66FF867C}">
                    <a14:compatExt spid="_x0000_s1544195"/>
                  </a:ext>
                </a:extLst>
              </xdr:cNvPr>
              <xdr:cNvSpPr/>
            </xdr:nvSpPr>
            <xdr:spPr bwMode="auto">
              <a:xfrm>
                <a:off x="4863026" y="156882"/>
                <a:ext cx="291726"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3</a:t>
                </a:r>
              </a:p>
            </xdr:txBody>
          </xdr:sp>
          <xdr:sp macro="" textlink="">
            <xdr:nvSpPr>
              <xdr:cNvPr id="1544196" name="Button 4" hidden="1">
                <a:extLst>
                  <a:ext uri="{63B3BB69-23CF-44E3-9099-C40C66FF867C}">
                    <a14:compatExt spid="_x0000_s1544196"/>
                  </a:ext>
                </a:extLst>
              </xdr:cNvPr>
              <xdr:cNvSpPr/>
            </xdr:nvSpPr>
            <xdr:spPr bwMode="auto">
              <a:xfrm>
                <a:off x="3339350" y="156882"/>
                <a:ext cx="914397"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Model Map</a:t>
                </a:r>
              </a:p>
            </xdr:txBody>
          </xdr:sp>
        </xdr:grp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2319621</xdr:colOff>
          <xdr:row>1</xdr:row>
          <xdr:rowOff>0</xdr:rowOff>
        </xdr:from>
        <xdr:to>
          <xdr:col>7</xdr:col>
          <xdr:colOff>706017</xdr:colOff>
          <xdr:row>2</xdr:row>
          <xdr:rowOff>95026</xdr:rowOff>
        </xdr:to>
        <xdr:grpSp>
          <xdr:nvGrpSpPr>
            <xdr:cNvPr id="2" name="Group 1"/>
            <xdr:cNvGrpSpPr/>
          </xdr:nvGrpSpPr>
          <xdr:grpSpPr>
            <a:xfrm>
              <a:off x="3906374" y="152400"/>
              <a:ext cx="1909525" cy="247426"/>
              <a:chOff x="3339347" y="156882"/>
              <a:chExt cx="1815401" cy="251909"/>
            </a:xfrm>
          </xdr:grpSpPr>
          <xdr:sp macro="" textlink="">
            <xdr:nvSpPr>
              <xdr:cNvPr id="1424385" name="Button 1" hidden="1">
                <a:extLst>
                  <a:ext uri="{63B3BB69-23CF-44E3-9099-C40C66FF867C}">
                    <a14:compatExt spid="_x0000_s1424385"/>
                  </a:ext>
                </a:extLst>
              </xdr:cNvPr>
              <xdr:cNvSpPr/>
            </xdr:nvSpPr>
            <xdr:spPr bwMode="auto">
              <a:xfrm>
                <a:off x="4261460" y="156882"/>
                <a:ext cx="290654"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1</a:t>
                </a:r>
              </a:p>
            </xdr:txBody>
          </xdr:sp>
          <xdr:sp macro="" textlink="">
            <xdr:nvSpPr>
              <xdr:cNvPr id="1424386" name="Button 2" hidden="1">
                <a:extLst>
                  <a:ext uri="{63B3BB69-23CF-44E3-9099-C40C66FF867C}">
                    <a14:compatExt spid="_x0000_s1424386"/>
                  </a:ext>
                </a:extLst>
              </xdr:cNvPr>
              <xdr:cNvSpPr/>
            </xdr:nvSpPr>
            <xdr:spPr bwMode="auto">
              <a:xfrm>
                <a:off x="4559822" y="156882"/>
                <a:ext cx="295491"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2</a:t>
                </a:r>
              </a:p>
            </xdr:txBody>
          </xdr:sp>
          <xdr:sp macro="" textlink="">
            <xdr:nvSpPr>
              <xdr:cNvPr id="1424387" name="Button 3" hidden="1">
                <a:extLst>
                  <a:ext uri="{63B3BB69-23CF-44E3-9099-C40C66FF867C}">
                    <a14:compatExt spid="_x0000_s1424387"/>
                  </a:ext>
                </a:extLst>
              </xdr:cNvPr>
              <xdr:cNvSpPr/>
            </xdr:nvSpPr>
            <xdr:spPr bwMode="auto">
              <a:xfrm>
                <a:off x="4863029" y="156882"/>
                <a:ext cx="291719"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3</a:t>
                </a:r>
              </a:p>
            </xdr:txBody>
          </xdr:sp>
          <xdr:sp macro="" textlink="">
            <xdr:nvSpPr>
              <xdr:cNvPr id="1424388" name="Button 4" hidden="1">
                <a:extLst>
                  <a:ext uri="{63B3BB69-23CF-44E3-9099-C40C66FF867C}">
                    <a14:compatExt spid="_x0000_s1424388"/>
                  </a:ext>
                </a:extLst>
              </xdr:cNvPr>
              <xdr:cNvSpPr/>
            </xdr:nvSpPr>
            <xdr:spPr bwMode="auto">
              <a:xfrm>
                <a:off x="3339347" y="156882"/>
                <a:ext cx="914417"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Model Map</a:t>
                </a:r>
              </a:p>
            </xdr:txBody>
          </xdr:sp>
        </xdr:grp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2319621</xdr:colOff>
          <xdr:row>1</xdr:row>
          <xdr:rowOff>0</xdr:rowOff>
        </xdr:from>
        <xdr:to>
          <xdr:col>7</xdr:col>
          <xdr:colOff>706017</xdr:colOff>
          <xdr:row>2</xdr:row>
          <xdr:rowOff>95026</xdr:rowOff>
        </xdr:to>
        <xdr:grpSp>
          <xdr:nvGrpSpPr>
            <xdr:cNvPr id="2" name="Group 1"/>
            <xdr:cNvGrpSpPr/>
          </xdr:nvGrpSpPr>
          <xdr:grpSpPr>
            <a:xfrm>
              <a:off x="3906374" y="152400"/>
              <a:ext cx="1909525" cy="247426"/>
              <a:chOff x="3339348" y="156882"/>
              <a:chExt cx="1815409" cy="251909"/>
            </a:xfrm>
          </xdr:grpSpPr>
          <xdr:sp macro="" textlink="">
            <xdr:nvSpPr>
              <xdr:cNvPr id="1545217" name="Button 1" hidden="1">
                <a:extLst>
                  <a:ext uri="{63B3BB69-23CF-44E3-9099-C40C66FF867C}">
                    <a14:compatExt spid="_x0000_s1545217"/>
                  </a:ext>
                </a:extLst>
              </xdr:cNvPr>
              <xdr:cNvSpPr/>
            </xdr:nvSpPr>
            <xdr:spPr bwMode="auto">
              <a:xfrm>
                <a:off x="4261460" y="156882"/>
                <a:ext cx="290654"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1</a:t>
                </a:r>
              </a:p>
            </xdr:txBody>
          </xdr:sp>
          <xdr:sp macro="" textlink="">
            <xdr:nvSpPr>
              <xdr:cNvPr id="1545218" name="Button 2" hidden="1">
                <a:extLst>
                  <a:ext uri="{63B3BB69-23CF-44E3-9099-C40C66FF867C}">
                    <a14:compatExt spid="_x0000_s1545218"/>
                  </a:ext>
                </a:extLst>
              </xdr:cNvPr>
              <xdr:cNvSpPr/>
            </xdr:nvSpPr>
            <xdr:spPr bwMode="auto">
              <a:xfrm>
                <a:off x="4559822" y="156882"/>
                <a:ext cx="295491"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2</a:t>
                </a:r>
              </a:p>
            </xdr:txBody>
          </xdr:sp>
          <xdr:sp macro="" textlink="">
            <xdr:nvSpPr>
              <xdr:cNvPr id="1545219" name="Button 3" hidden="1">
                <a:extLst>
                  <a:ext uri="{63B3BB69-23CF-44E3-9099-C40C66FF867C}">
                    <a14:compatExt spid="_x0000_s1545219"/>
                  </a:ext>
                </a:extLst>
              </xdr:cNvPr>
              <xdr:cNvSpPr/>
            </xdr:nvSpPr>
            <xdr:spPr bwMode="auto">
              <a:xfrm>
                <a:off x="4863038" y="156882"/>
                <a:ext cx="291719"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3</a:t>
                </a:r>
              </a:p>
            </xdr:txBody>
          </xdr:sp>
          <xdr:sp macro="" textlink="">
            <xdr:nvSpPr>
              <xdr:cNvPr id="1545220" name="Button 4" hidden="1">
                <a:extLst>
                  <a:ext uri="{63B3BB69-23CF-44E3-9099-C40C66FF867C}">
                    <a14:compatExt spid="_x0000_s1545220"/>
                  </a:ext>
                </a:extLst>
              </xdr:cNvPr>
              <xdr:cNvSpPr/>
            </xdr:nvSpPr>
            <xdr:spPr bwMode="auto">
              <a:xfrm>
                <a:off x="3339348" y="156882"/>
                <a:ext cx="914414"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Model Map</a:t>
                </a:r>
              </a:p>
            </xdr:txBody>
          </xdr:sp>
        </xdr:grp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2319621</xdr:colOff>
          <xdr:row>1</xdr:row>
          <xdr:rowOff>0</xdr:rowOff>
        </xdr:from>
        <xdr:to>
          <xdr:col>7</xdr:col>
          <xdr:colOff>706017</xdr:colOff>
          <xdr:row>2</xdr:row>
          <xdr:rowOff>95026</xdr:rowOff>
        </xdr:to>
        <xdr:grpSp>
          <xdr:nvGrpSpPr>
            <xdr:cNvPr id="2" name="Group 1"/>
            <xdr:cNvGrpSpPr/>
          </xdr:nvGrpSpPr>
          <xdr:grpSpPr>
            <a:xfrm>
              <a:off x="3906374" y="152400"/>
              <a:ext cx="1909525" cy="247426"/>
              <a:chOff x="3339356" y="156882"/>
              <a:chExt cx="1815380" cy="251909"/>
            </a:xfrm>
          </xdr:grpSpPr>
          <xdr:sp macro="" textlink="">
            <xdr:nvSpPr>
              <xdr:cNvPr id="1546241" name="Button 1" hidden="1">
                <a:extLst>
                  <a:ext uri="{63B3BB69-23CF-44E3-9099-C40C66FF867C}">
                    <a14:compatExt spid="_x0000_s1546241"/>
                  </a:ext>
                </a:extLst>
              </xdr:cNvPr>
              <xdr:cNvSpPr/>
            </xdr:nvSpPr>
            <xdr:spPr bwMode="auto">
              <a:xfrm>
                <a:off x="4261460" y="156882"/>
                <a:ext cx="290654"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1</a:t>
                </a:r>
              </a:p>
            </xdr:txBody>
          </xdr:sp>
          <xdr:sp macro="" textlink="">
            <xdr:nvSpPr>
              <xdr:cNvPr id="1546242" name="Button 2" hidden="1">
                <a:extLst>
                  <a:ext uri="{63B3BB69-23CF-44E3-9099-C40C66FF867C}">
                    <a14:compatExt spid="_x0000_s1546242"/>
                  </a:ext>
                </a:extLst>
              </xdr:cNvPr>
              <xdr:cNvSpPr/>
            </xdr:nvSpPr>
            <xdr:spPr bwMode="auto">
              <a:xfrm>
                <a:off x="4559822" y="156882"/>
                <a:ext cx="295491"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2</a:t>
                </a:r>
              </a:p>
            </xdr:txBody>
          </xdr:sp>
          <xdr:sp macro="" textlink="">
            <xdr:nvSpPr>
              <xdr:cNvPr id="1546243" name="Button 3" hidden="1">
                <a:extLst>
                  <a:ext uri="{63B3BB69-23CF-44E3-9099-C40C66FF867C}">
                    <a14:compatExt spid="_x0000_s1546243"/>
                  </a:ext>
                </a:extLst>
              </xdr:cNvPr>
              <xdr:cNvSpPr/>
            </xdr:nvSpPr>
            <xdr:spPr bwMode="auto">
              <a:xfrm>
                <a:off x="4863017" y="156882"/>
                <a:ext cx="291719"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3</a:t>
                </a:r>
              </a:p>
            </xdr:txBody>
          </xdr:sp>
          <xdr:sp macro="" textlink="">
            <xdr:nvSpPr>
              <xdr:cNvPr id="1546244" name="Button 4" hidden="1">
                <a:extLst>
                  <a:ext uri="{63B3BB69-23CF-44E3-9099-C40C66FF867C}">
                    <a14:compatExt spid="_x0000_s1546244"/>
                  </a:ext>
                </a:extLst>
              </xdr:cNvPr>
              <xdr:cNvSpPr/>
            </xdr:nvSpPr>
            <xdr:spPr bwMode="auto">
              <a:xfrm>
                <a:off x="3339356" y="156882"/>
                <a:ext cx="914418" cy="25190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Model Map</a:t>
                </a:r>
              </a:p>
            </xdr:txBody>
          </xdr:sp>
        </xdr:grp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2342034</xdr:colOff>
          <xdr:row>1</xdr:row>
          <xdr:rowOff>0</xdr:rowOff>
        </xdr:from>
        <xdr:to>
          <xdr:col>8</xdr:col>
          <xdr:colOff>11254</xdr:colOff>
          <xdr:row>2</xdr:row>
          <xdr:rowOff>95026</xdr:rowOff>
        </xdr:to>
        <xdr:grpSp>
          <xdr:nvGrpSpPr>
            <xdr:cNvPr id="2" name="Group 1"/>
            <xdr:cNvGrpSpPr/>
          </xdr:nvGrpSpPr>
          <xdr:grpSpPr>
            <a:xfrm>
              <a:off x="1927860" y="152400"/>
              <a:ext cx="11254" cy="247426"/>
              <a:chOff x="0" y="144795"/>
              <a:chExt cx="2758440" cy="263997"/>
            </a:xfrm>
          </xdr:grpSpPr>
          <xdr:sp macro="" textlink="">
            <xdr:nvSpPr>
              <xdr:cNvPr id="1595393" name="Button 1" hidden="1">
                <a:extLst>
                  <a:ext uri="{63B3BB69-23CF-44E3-9099-C40C66FF867C}">
                    <a14:compatExt spid="_x0000_s1595393"/>
                  </a:ext>
                </a:extLst>
              </xdr:cNvPr>
              <xdr:cNvSpPr/>
            </xdr:nvSpPr>
            <xdr:spPr bwMode="auto">
              <a:xfrm>
                <a:off x="2758440" y="144795"/>
                <a:ext cx="0" cy="251912"/>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1</a:t>
                </a:r>
              </a:p>
            </xdr:txBody>
          </xdr:sp>
          <xdr:sp macro="" textlink="">
            <xdr:nvSpPr>
              <xdr:cNvPr id="1595394" name="Button 2" hidden="1">
                <a:extLst>
                  <a:ext uri="{63B3BB69-23CF-44E3-9099-C40C66FF867C}">
                    <a14:compatExt spid="_x0000_s1595394"/>
                  </a:ext>
                </a:extLst>
              </xdr:cNvPr>
              <xdr:cNvSpPr/>
            </xdr:nvSpPr>
            <xdr:spPr bwMode="auto">
              <a:xfrm>
                <a:off x="2758440" y="144795"/>
                <a:ext cx="0" cy="251908"/>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2</a:t>
                </a:r>
              </a:p>
            </xdr:txBody>
          </xdr:sp>
          <xdr:sp macro="" textlink="">
            <xdr:nvSpPr>
              <xdr:cNvPr id="1595395" name="Button 3" hidden="1">
                <a:extLst>
                  <a:ext uri="{63B3BB69-23CF-44E3-9099-C40C66FF867C}">
                    <a14:compatExt spid="_x0000_s1595395"/>
                  </a:ext>
                </a:extLst>
              </xdr:cNvPr>
              <xdr:cNvSpPr/>
            </xdr:nvSpPr>
            <xdr:spPr bwMode="auto">
              <a:xfrm>
                <a:off x="2758440" y="144795"/>
                <a:ext cx="0" cy="251908"/>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3</a:t>
                </a:r>
              </a:p>
            </xdr:txBody>
          </xdr:sp>
          <xdr:sp macro="" textlink="">
            <xdr:nvSpPr>
              <xdr:cNvPr id="1595396" name="Button 4" hidden="1">
                <a:extLst>
                  <a:ext uri="{63B3BB69-23CF-44E3-9099-C40C66FF867C}">
                    <a14:compatExt spid="_x0000_s1595396"/>
                  </a:ext>
                </a:extLst>
              </xdr:cNvPr>
              <xdr:cNvSpPr/>
            </xdr:nvSpPr>
            <xdr:spPr bwMode="auto">
              <a:xfrm>
                <a:off x="0" y="156882"/>
                <a:ext cx="0" cy="25191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Univers 45 Light"/>
                  </a:rPr>
                  <a:t>Model Map</a:t>
                </a:r>
              </a:p>
            </xdr:txBody>
          </xdr:sp>
        </xdr:grpSp>
        <xdr:clientData/>
      </xdr:twoCellAnchor>
    </mc:Choice>
    <mc:Fallback/>
  </mc:AlternateContent>
  <xdr:twoCellAnchor editAs="oneCell">
    <xdr:from>
      <xdr:col>10</xdr:col>
      <xdr:colOff>140970</xdr:colOff>
      <xdr:row>293</xdr:row>
      <xdr:rowOff>7620</xdr:rowOff>
    </xdr:from>
    <xdr:to>
      <xdr:col>17</xdr:col>
      <xdr:colOff>337906</xdr:colOff>
      <xdr:row>308</xdr:row>
      <xdr:rowOff>83820</xdr:rowOff>
    </xdr:to>
    <xdr:graphicFrame macro="">
      <xdr:nvGraphicFramePr>
        <xdr:cNvPr id="3" name="Char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83820</xdr:colOff>
      <xdr:row>308</xdr:row>
      <xdr:rowOff>144780</xdr:rowOff>
    </xdr:from>
    <xdr:to>
      <xdr:col>17</xdr:col>
      <xdr:colOff>1975130</xdr:colOff>
      <xdr:row>325</xdr:row>
      <xdr:rowOff>60961</xdr:rowOff>
    </xdr:to>
    <xdr:graphicFrame macro="">
      <xdr:nvGraphicFramePr>
        <xdr:cNvPr id="8" name="Chart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53340</xdr:colOff>
      <xdr:row>326</xdr:row>
      <xdr:rowOff>30480</xdr:rowOff>
    </xdr:from>
    <xdr:to>
      <xdr:col>16</xdr:col>
      <xdr:colOff>757845</xdr:colOff>
      <xdr:row>342</xdr:row>
      <xdr:rowOff>99060</xdr:rowOff>
    </xdr:to>
    <xdr:graphicFrame macro="">
      <xdr:nvGraphicFramePr>
        <xdr:cNvPr id="9" name="Chart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0</xdr:colOff>
      <xdr:row>349</xdr:row>
      <xdr:rowOff>0</xdr:rowOff>
    </xdr:from>
    <xdr:to>
      <xdr:col>17</xdr:col>
      <xdr:colOff>293456</xdr:colOff>
      <xdr:row>366</xdr:row>
      <xdr:rowOff>53340</xdr:rowOff>
    </xdr:to>
    <xdr:graphicFrame macro="">
      <xdr:nvGraphicFramePr>
        <xdr:cNvPr id="10" name="Chart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114300</xdr:colOff>
      <xdr:row>394</xdr:row>
      <xdr:rowOff>30480</xdr:rowOff>
    </xdr:from>
    <xdr:to>
      <xdr:col>17</xdr:col>
      <xdr:colOff>2394679</xdr:colOff>
      <xdr:row>411</xdr:row>
      <xdr:rowOff>33617</xdr:rowOff>
    </xdr:to>
    <xdr:graphicFrame macro="">
      <xdr:nvGraphicFramePr>
        <xdr:cNvPr id="11" name="Chart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11</xdr:col>
      <xdr:colOff>143436</xdr:colOff>
      <xdr:row>413</xdr:row>
      <xdr:rowOff>0</xdr:rowOff>
    </xdr:from>
    <xdr:to>
      <xdr:col>17</xdr:col>
      <xdr:colOff>72027</xdr:colOff>
      <xdr:row>433</xdr:row>
      <xdr:rowOff>44824</xdr:rowOff>
    </xdr:to>
    <xdr:graphicFrame macro="">
      <xdr:nvGraphicFramePr>
        <xdr:cNvPr id="12" name="Chart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14</xdr:col>
      <xdr:colOff>0</xdr:colOff>
      <xdr:row>434</xdr:row>
      <xdr:rowOff>0</xdr:rowOff>
    </xdr:from>
    <xdr:to>
      <xdr:col>17</xdr:col>
      <xdr:colOff>1523309</xdr:colOff>
      <xdr:row>452</xdr:row>
      <xdr:rowOff>80681</xdr:rowOff>
    </xdr:to>
    <xdr:graphicFrame macro="">
      <xdr:nvGraphicFramePr>
        <xdr:cNvPr id="13" name="Chart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14</xdr:col>
      <xdr:colOff>224118</xdr:colOff>
      <xdr:row>452</xdr:row>
      <xdr:rowOff>125506</xdr:rowOff>
    </xdr:from>
    <xdr:to>
      <xdr:col>17</xdr:col>
      <xdr:colOff>1747427</xdr:colOff>
      <xdr:row>471</xdr:row>
      <xdr:rowOff>53788</xdr:rowOff>
    </xdr:to>
    <xdr:graphicFrame macro="">
      <xdr:nvGraphicFramePr>
        <xdr:cNvPr id="14" name="Chart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14</xdr:col>
      <xdr:colOff>0</xdr:colOff>
      <xdr:row>474</xdr:row>
      <xdr:rowOff>0</xdr:rowOff>
    </xdr:from>
    <xdr:to>
      <xdr:col>17</xdr:col>
      <xdr:colOff>1523309</xdr:colOff>
      <xdr:row>492</xdr:row>
      <xdr:rowOff>80682</xdr:rowOff>
    </xdr:to>
    <xdr:graphicFrame macro="">
      <xdr:nvGraphicFramePr>
        <xdr:cNvPr id="15" name="Chart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91786</xdr:colOff>
      <xdr:row>60</xdr:row>
      <xdr:rowOff>16452</xdr:rowOff>
    </xdr:from>
    <xdr:to>
      <xdr:col>25</xdr:col>
      <xdr:colOff>1463255</xdr:colOff>
      <xdr:row>77</xdr:row>
      <xdr:rowOff>3134</xdr:rowOff>
    </xdr:to>
    <xdr:graphicFrame macro="">
      <xdr:nvGraphicFramePr>
        <xdr:cNvPr id="3" name="Chart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606512</xdr:colOff>
      <xdr:row>59</xdr:row>
      <xdr:rowOff>110233</xdr:rowOff>
    </xdr:from>
    <xdr:to>
      <xdr:col>22</xdr:col>
      <xdr:colOff>144895</xdr:colOff>
      <xdr:row>76</xdr:row>
      <xdr:rowOff>102977</xdr:rowOff>
    </xdr:to>
    <xdr:graphicFrame macro="">
      <xdr:nvGraphicFramePr>
        <xdr:cNvPr id="5" name="Chart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o\kfiles\TEMP\Emdiscountrate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ww.fas.kworld.kpmg.com/Admin/Valuations/Your%20own%20directory/Matt%20Warren/other/Earnings-based/CoCo-CoTrans%20v4%20011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robuh0001\OFFICE\Documents%20and%20Settings\rsebaratnam\My%20Documents\_Longhorn\Paris\European%20TS%20Report%20Working%20Group%20-%20Excel%20template.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robuh0001\OFFICE\DOCUME~1\tkane\LOCALS~1\Temp\notes6317D2\May%202005%20Monthly%20pack%20(millions).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Raport%20Activitate-%20RO_MD_CE_%2003.2019_18_190403_1835.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INV0004_122018.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
      <sheetName val="CoE"/>
    </sheetNames>
    <sheetDataSet>
      <sheetData sheetId="0"/>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sheetName val="Multiples"/>
      <sheetName val="Operating Results"/>
      <sheetName val="Margins"/>
      <sheetName val="Market Cap"/>
      <sheetName val="Betas"/>
      <sheetName val="Share Prices"/>
      <sheetName val="Prices"/>
      <sheetName val="CoTrans"/>
      <sheetName val="PCPI"/>
      <sheetName val="LT prices"/>
    </sheetNames>
    <sheetDataSet>
      <sheetData sheetId="0" refreshError="1"/>
      <sheetData sheetId="1" refreshError="1"/>
      <sheetData sheetId="2" refreshError="1"/>
      <sheetData sheetId="3" refreshError="1"/>
      <sheetData sheetId="4" refreshError="1"/>
      <sheetData sheetId="5" refreshError="1"/>
      <sheetData sheetId="6">
        <row r="3">
          <cell r="I3">
            <v>36893</v>
          </cell>
        </row>
      </sheetData>
      <sheetData sheetId="7"/>
      <sheetData sheetId="8" refreshError="1"/>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ulti Waterfall"/>
      <sheetName val="Sales by geographic"/>
      <sheetName val="Index&gt;&gt;&gt;"/>
      <sheetName val="Format rules"/>
      <sheetName val="1. Overview&gt;&gt;&gt;"/>
      <sheetName val="1.1 Market share"/>
      <sheetName val="1.2 PEST"/>
      <sheetName val="1.3 5 forces"/>
      <sheetName val="1.4 SWOT"/>
      <sheetName val="1.5 Mgt org"/>
      <sheetName val="1.6 Co org"/>
      <sheetName val="1.7 Employees"/>
      <sheetName val="1.8 Contracts"/>
      <sheetName val="1.9 key milestones"/>
      <sheetName val="1.10 Carve out"/>
      <sheetName val="1.11 Related parties"/>
      <sheetName val="1.12 KPIs"/>
      <sheetName val="2. Trading&gt;&gt;&gt;"/>
      <sheetName val="2.1 P&amp;L"/>
      <sheetName val="2.2a Seasonality"/>
      <sheetName val="2.2b MA sales"/>
      <sheetName val="2.3 Sales mix"/>
      <sheetName val="2.4 Customers"/>
      <sheetName val="2.5 CAGR"/>
      <sheetName val="2.6 USP"/>
      <sheetName val="2.6b COS"/>
      <sheetName val="2.7 SG&amp;A"/>
      <sheetName val="2.7b Labour"/>
      <sheetName val="2.8a Norm"/>
      <sheetName val="2.8b Norm"/>
      <sheetName val="2.8c Norm"/>
      <sheetName val="2.9 Current"/>
      <sheetName val="2.10 LTM"/>
      <sheetName val="2.11 Portf"/>
      <sheetName val="2.12 Run rate"/>
      <sheetName val="2.13a Bridge EBITDA 1"/>
      <sheetName val="2.13b Bridge EBITDA 2"/>
      <sheetName val="2.13c Bridge EBITDA 3"/>
      <sheetName val="2.13d Bridge EBITDA 4"/>
      <sheetName val="2.13e Bridge EBITDA 5"/>
      <sheetName val="2.13f Bridge EBITDA 6"/>
      <sheetName val="3. Balance sheet&gt;&gt;&gt;"/>
      <sheetName val="3.1 BS"/>
      <sheetName val="3.2 IA"/>
      <sheetName val="3.3 Fixed assets"/>
      <sheetName val="3.4 Stock"/>
      <sheetName val="3.5 Aging"/>
      <sheetName val="3.6 Equity"/>
      <sheetName val="3.7a Net debt"/>
      <sheetName val="3.7b Net debt details 1"/>
      <sheetName val="3.7c Net debt details 2"/>
      <sheetName val="3.7d Net debt details 3"/>
      <sheetName val="3.7e Net debt details 4"/>
      <sheetName val="3.8 Adjusted net debt"/>
      <sheetName val="3.9a Provisions"/>
      <sheetName val="3.9b Provisions detail 1"/>
      <sheetName val="3.9c Provisions detail 2"/>
      <sheetName val="3.9d Provisions detail 3"/>
      <sheetName val="3.10 Off BS "/>
      <sheetName val="4. Cash flow&gt;&gt;&gt;"/>
      <sheetName val="4.1 CF"/>
      <sheetName val="4.2a WC"/>
      <sheetName val="4.2b Norm WC"/>
      <sheetName val="4.2c Norm WC"/>
      <sheetName val="4.3a Mon WC"/>
      <sheetName val="4.3b Mon WC 2"/>
      <sheetName val="4.4 Capex"/>
      <sheetName val="4.5a Mly FCF"/>
      <sheetName val="4.5b Mly FCF"/>
      <sheetName val="4.5c Cash"/>
      <sheetName val="5. BP&gt;&gt;&gt;"/>
      <sheetName val="5.1 P&amp;L"/>
      <sheetName val="5.2 Sales mix"/>
      <sheetName val="5.3 COS"/>
      <sheetName val="5.4 SG&amp;A"/>
      <sheetName val="5.5 CF"/>
      <sheetName val="5.6 Capex"/>
      <sheetName val="5.7 Budget accuracy"/>
      <sheetName val="5.8 Sensitivit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6">
          <cell r="C6" t="str">
            <v>M€</v>
          </cell>
          <cell r="D6" t="str">
            <v>FY03</v>
          </cell>
          <cell r="E6" t="str">
            <v>FY04</v>
          </cell>
          <cell r="F6" t="str">
            <v>FY05</v>
          </cell>
        </row>
        <row r="8">
          <cell r="C8" t="str">
            <v>Party 1</v>
          </cell>
          <cell r="D8">
            <v>1</v>
          </cell>
          <cell r="E8">
            <v>2</v>
          </cell>
          <cell r="F8">
            <v>3</v>
          </cell>
        </row>
        <row r="9">
          <cell r="C9" t="str">
            <v>Party 2</v>
          </cell>
          <cell r="D9">
            <v>4</v>
          </cell>
          <cell r="E9">
            <v>5</v>
          </cell>
          <cell r="F9">
            <v>6</v>
          </cell>
        </row>
        <row r="10">
          <cell r="C10" t="str">
            <v>Party 3</v>
          </cell>
          <cell r="D10">
            <v>7</v>
          </cell>
          <cell r="E10">
            <v>8</v>
          </cell>
          <cell r="F10">
            <v>9</v>
          </cell>
        </row>
        <row r="11">
          <cell r="C11" t="str">
            <v>Sales</v>
          </cell>
          <cell r="D11">
            <v>12</v>
          </cell>
          <cell r="E11">
            <v>15</v>
          </cell>
          <cell r="F11">
            <v>18</v>
          </cell>
        </row>
        <row r="13">
          <cell r="C13" t="str">
            <v>Party 1</v>
          </cell>
          <cell r="D13">
            <v>-1</v>
          </cell>
          <cell r="E13">
            <v>-2</v>
          </cell>
          <cell r="F13">
            <v>-3</v>
          </cell>
        </row>
        <row r="14">
          <cell r="C14" t="str">
            <v>Party 2</v>
          </cell>
          <cell r="D14">
            <v>-4</v>
          </cell>
          <cell r="E14">
            <v>-5</v>
          </cell>
          <cell r="F14">
            <v>-6</v>
          </cell>
        </row>
        <row r="15">
          <cell r="C15" t="str">
            <v>Party 3</v>
          </cell>
          <cell r="D15">
            <v>-7</v>
          </cell>
          <cell r="E15">
            <v>-8</v>
          </cell>
          <cell r="F15">
            <v>-9</v>
          </cell>
        </row>
        <row r="16">
          <cell r="C16" t="str">
            <v>Purchases</v>
          </cell>
          <cell r="D16">
            <v>-12</v>
          </cell>
          <cell r="E16">
            <v>-15</v>
          </cell>
          <cell r="F16">
            <v>-18</v>
          </cell>
        </row>
        <row r="18">
          <cell r="C18" t="str">
            <v>Party 1</v>
          </cell>
          <cell r="D18">
            <v>1</v>
          </cell>
          <cell r="E18">
            <v>2</v>
          </cell>
          <cell r="F18">
            <v>3</v>
          </cell>
        </row>
        <row r="19">
          <cell r="C19" t="str">
            <v>Party 2</v>
          </cell>
          <cell r="D19">
            <v>-4</v>
          </cell>
          <cell r="E19">
            <v>-5</v>
          </cell>
          <cell r="F19">
            <v>-6</v>
          </cell>
        </row>
        <row r="20">
          <cell r="C20" t="str">
            <v>Party 3</v>
          </cell>
          <cell r="D20">
            <v>7</v>
          </cell>
          <cell r="E20">
            <v>8</v>
          </cell>
          <cell r="F20">
            <v>9</v>
          </cell>
        </row>
        <row r="21">
          <cell r="C21" t="str">
            <v>Others</v>
          </cell>
          <cell r="D21">
            <v>4</v>
          </cell>
          <cell r="E21">
            <v>5</v>
          </cell>
          <cell r="F21">
            <v>6</v>
          </cell>
        </row>
        <row r="23">
          <cell r="C23" t="str">
            <v xml:space="preserve">Source: </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NTH"/>
      <sheetName val="One off costs Mthly"/>
      <sheetName val="One off costs YTD)"/>
      <sheetName val="Bank Financial Summary (2)"/>
      <sheetName val="Japan PHPS 2004"/>
      <sheetName val="Germany LMF 2004"/>
      <sheetName val="Validation sheet"/>
      <sheetName val="COVER"/>
      <sheetName val="CONTENTS PAGE"/>
      <sheetName val="Bank Financial Summary"/>
      <sheetName val="Reported Financial Summ excl LM"/>
      <sheetName val="Reported Financial Summary"/>
      <sheetName val="Key comments"/>
      <sheetName val="KPIs"/>
      <sheetName val="P&amp;L summary"/>
      <sheetName val="P&amp;L detail"/>
      <sheetName val="P&amp;L detail old format"/>
      <sheetName val="P&amp;L detail by month inc NBD old"/>
      <sheetName val="LTM P&amp;L Incl NBD old format"/>
      <sheetName val="P&amp;L since Oct-04 old format"/>
      <sheetName val="Singapore Q1 P&amp;L"/>
      <sheetName val="Sales by product group"/>
      <sheetName val="Sales by product group Asia"/>
      <sheetName val="Sales by product group Europe"/>
      <sheetName val="Sales by product group USA"/>
      <sheetName val="Sales by product by region"/>
      <sheetName val="Monthly Sales by product group"/>
      <sheetName val="P&amp;L by product"/>
      <sheetName val="Trading profit rec Bud to Act"/>
      <sheetName val="Trading profit rec Pr Yr to Act"/>
      <sheetName val="Sales and EBITDA by country"/>
      <sheetName val="Sales and EBITDA at Actual Rate"/>
      <sheetName val="Sales by country monthly"/>
      <sheetName val="EBITDA by country monthly "/>
      <sheetName val="Overheads Summary"/>
      <sheetName val="Overheads and Expenses"/>
      <sheetName val="Overheads by country MTD"/>
      <sheetName val="Overheads by country YTD"/>
      <sheetName val="One off costs"/>
      <sheetName val="Interest and Taxation "/>
      <sheetName val="Cash Flow Summary"/>
      <sheetName val="P&amp;L TABLE"/>
      <sheetName val="Operating CF by country"/>
      <sheetName val="Operating CF by country orig"/>
      <sheetName val="Treasury report"/>
      <sheetName val="Balance sheet"/>
      <sheetName val="CapEX Approved Summary sheet"/>
      <sheetName val="Cap Ex Analysis"/>
      <sheetName val="Debt Analysis summary"/>
      <sheetName val="Debt Analysis by country"/>
      <sheetName val="Working Capital Days"/>
      <sheetName val="Working Capital Trend"/>
      <sheetName val="Working Capital as % of sales"/>
      <sheetName val="Stock Analysis"/>
      <sheetName val="Debtors Analysis"/>
      <sheetName val="Creditors Analysis"/>
      <sheetName val="PHPS Tolling Adjust LC"/>
      <sheetName val="Exchange rates"/>
      <sheetName val="FEB 04 AISTOT"/>
      <sheetName val="PHPS, TOLLING BUDGET YTD"/>
      <sheetName val="P&amp;L budget YTD"/>
      <sheetName val="P&amp;L budget incl NBD YTD"/>
      <sheetName val="Headcount "/>
      <sheetName val="Customers"/>
      <sheetName val="Customers by Product type"/>
      <sheetName val="Exchange rates (2)"/>
      <sheetName val="PHPS,TOLLING BUDGET, MTH"/>
      <sheetName val="Sales by country reconciliation"/>
      <sheetName val="Sales by country early"/>
      <sheetName val="Sales and EBITDA by coun early"/>
      <sheetName val="Sales and EBITDA coun exc exc "/>
      <sheetName val="EBITDA by country reconciliatio"/>
      <sheetName val="EBITDA by country early"/>
      <sheetName val="P&amp;L budget incl NBD"/>
      <sheetName val="BS budget"/>
      <sheetName val="CF budget"/>
      <sheetName val="CF budget YTD"/>
      <sheetName val="2005 Opco Sales &amp; EBITDA BUD"/>
      <sheetName val="2005 Opco Sales &amp; EBITDA Euros"/>
      <sheetName val="2005 Opco Sales &amp; EBITDA EuYTD"/>
      <sheetName val="2005 Opco Sales &amp; EBITDA BU YTD"/>
      <sheetName val="2005 CAPEX LC"/>
      <sheetName val="2005 CAPEX Euro"/>
      <sheetName val="Exceptions 2004"/>
      <sheetName val="2004 P&amp;L"/>
      <sheetName val="P&amp;L budget"/>
      <sheetName val="2004 P&amp;L YTD"/>
      <sheetName val="2004 Opco Sales &amp; EBITDA "/>
      <sheetName val="2004 Opco Sales &amp; EBITDA YTD"/>
      <sheetName val="TOTAL PHPS, Tolling P&amp;L"/>
      <sheetName val="Japan PHPS budget"/>
      <sheetName val="Japan Intra group"/>
      <sheetName val="USA PHPS budget"/>
      <sheetName val="Singapore PHPS budge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row r="1">
          <cell r="AI1" t="str">
            <v>A11-Operating Income Statement</v>
          </cell>
        </row>
        <row r="3">
          <cell r="AI3" t="str">
            <v>AZISTOT</v>
          </cell>
        </row>
        <row r="4">
          <cell r="AI4" t="str">
            <v>adm</v>
          </cell>
        </row>
        <row r="5">
          <cell r="AI5">
            <v>38534.705297222223</v>
          </cell>
        </row>
        <row r="10">
          <cell r="AI10" t="str">
            <v>Check</v>
          </cell>
        </row>
        <row r="11">
          <cell r="H11" t="str">
            <v>CHAZ_ADTG</v>
          </cell>
          <cell r="I11" t="str">
            <v>CN02_ADTG</v>
          </cell>
          <cell r="J11" t="str">
            <v>CN06_ADTG</v>
          </cell>
          <cell r="K11" t="str">
            <v>CN10_ADTG</v>
          </cell>
          <cell r="L11" t="str">
            <v>DE39_ADTG</v>
          </cell>
          <cell r="M11" t="str">
            <v>FRZZ_ADTG</v>
          </cell>
          <cell r="N11" t="str">
            <v>HKZZ_ADTG</v>
          </cell>
          <cell r="O11" t="str">
            <v>JPZZ_ADTG</v>
          </cell>
          <cell r="P11" t="str">
            <v>KR03_ADTG</v>
          </cell>
          <cell r="Q11" t="str">
            <v>KR07_ADTG</v>
          </cell>
          <cell r="R11" t="str">
            <v>TW02_ADTG</v>
          </cell>
          <cell r="S11" t="str">
            <v>USZZ_ADTG</v>
          </cell>
          <cell r="U11" t="str">
            <v>ZZ10_ADTG</v>
          </cell>
          <cell r="W11" t="str">
            <v>LX00_ADTG</v>
          </cell>
          <cell r="X11" t="str">
            <v>LX01_ADTG</v>
          </cell>
          <cell r="Y11" t="str">
            <v>LX02_ADTG</v>
          </cell>
          <cell r="Z11" t="str">
            <v>ZZ03_ADTG</v>
          </cell>
          <cell r="AA11" t="str">
            <v>LX03_ADTG</v>
          </cell>
          <cell r="AB11" t="str">
            <v>KRAZ_ADTG</v>
          </cell>
          <cell r="AC11" t="str">
            <v>DEAZ_ADTG</v>
          </cell>
          <cell r="AD11" t="str">
            <v>GBAZ_ADTG</v>
          </cell>
          <cell r="AF11" t="str">
            <v>ZZ20_ADTG</v>
          </cell>
          <cell r="AH11" t="str">
            <v>_KONS</v>
          </cell>
          <cell r="AI11" t="str">
            <v>EXCEL</v>
          </cell>
        </row>
        <row r="13">
          <cell r="AI13">
            <v>0</v>
          </cell>
        </row>
        <row r="14">
          <cell r="AI14">
            <v>0</v>
          </cell>
        </row>
        <row r="15">
          <cell r="AI15">
            <v>0</v>
          </cell>
        </row>
        <row r="17">
          <cell r="AI17">
            <v>0</v>
          </cell>
        </row>
        <row r="18">
          <cell r="AI18">
            <v>0</v>
          </cell>
        </row>
        <row r="19">
          <cell r="AI19">
            <v>0</v>
          </cell>
        </row>
        <row r="20">
          <cell r="AI20">
            <v>0</v>
          </cell>
        </row>
        <row r="21">
          <cell r="AI21">
            <v>0</v>
          </cell>
        </row>
        <row r="22">
          <cell r="AI22">
            <v>0</v>
          </cell>
        </row>
        <row r="23">
          <cell r="AI23">
            <v>0</v>
          </cell>
        </row>
        <row r="24">
          <cell r="AI24">
            <v>0</v>
          </cell>
        </row>
        <row r="25">
          <cell r="AI25">
            <v>0</v>
          </cell>
        </row>
        <row r="26">
          <cell r="AI26">
            <v>0</v>
          </cell>
        </row>
        <row r="27">
          <cell r="AI27">
            <v>0</v>
          </cell>
        </row>
        <row r="28">
          <cell r="AI28">
            <v>0</v>
          </cell>
        </row>
        <row r="29">
          <cell r="AI29">
            <v>0</v>
          </cell>
        </row>
        <row r="30">
          <cell r="AI30">
            <v>0</v>
          </cell>
        </row>
        <row r="31">
          <cell r="AI31">
            <v>0</v>
          </cell>
        </row>
        <row r="32">
          <cell r="AI32">
            <v>0</v>
          </cell>
        </row>
        <row r="33">
          <cell r="AI33">
            <v>0</v>
          </cell>
        </row>
        <row r="34">
          <cell r="AI34">
            <v>0</v>
          </cell>
        </row>
        <row r="35">
          <cell r="AI35">
            <v>0</v>
          </cell>
        </row>
        <row r="36">
          <cell r="AI36">
            <v>0</v>
          </cell>
        </row>
        <row r="37">
          <cell r="AI37">
            <v>0</v>
          </cell>
        </row>
        <row r="38">
          <cell r="AI38">
            <v>0</v>
          </cell>
        </row>
        <row r="39">
          <cell r="AI39">
            <v>0</v>
          </cell>
        </row>
        <row r="40">
          <cell r="AI40">
            <v>0</v>
          </cell>
        </row>
        <row r="41">
          <cell r="AI41">
            <v>0</v>
          </cell>
        </row>
        <row r="42">
          <cell r="AI42">
            <v>0</v>
          </cell>
        </row>
        <row r="43">
          <cell r="AI43">
            <v>0</v>
          </cell>
        </row>
        <row r="44">
          <cell r="AI44">
            <v>0</v>
          </cell>
        </row>
        <row r="45">
          <cell r="AI45">
            <v>0</v>
          </cell>
        </row>
        <row r="46">
          <cell r="AI46">
            <v>0</v>
          </cell>
        </row>
        <row r="47">
          <cell r="AI47">
            <v>0</v>
          </cell>
        </row>
        <row r="48">
          <cell r="AI48">
            <v>0</v>
          </cell>
        </row>
        <row r="49">
          <cell r="AI49">
            <v>0</v>
          </cell>
        </row>
        <row r="50">
          <cell r="AI50">
            <v>0</v>
          </cell>
        </row>
        <row r="51">
          <cell r="AI51">
            <v>0</v>
          </cell>
        </row>
        <row r="52">
          <cell r="AI52">
            <v>0</v>
          </cell>
        </row>
        <row r="53">
          <cell r="AI53">
            <v>0</v>
          </cell>
        </row>
        <row r="54">
          <cell r="AI54">
            <v>0</v>
          </cell>
        </row>
        <row r="55">
          <cell r="AI55">
            <v>0</v>
          </cell>
        </row>
        <row r="56">
          <cell r="AI56">
            <v>0</v>
          </cell>
        </row>
        <row r="57">
          <cell r="AI57">
            <v>0</v>
          </cell>
        </row>
        <row r="58">
          <cell r="AI58">
            <v>0</v>
          </cell>
        </row>
        <row r="59">
          <cell r="AI59">
            <v>0</v>
          </cell>
        </row>
        <row r="60">
          <cell r="AI60">
            <v>0</v>
          </cell>
        </row>
        <row r="61">
          <cell r="AI61">
            <v>0</v>
          </cell>
        </row>
        <row r="62">
          <cell r="AI62">
            <v>0</v>
          </cell>
        </row>
        <row r="63">
          <cell r="AI63">
            <v>0</v>
          </cell>
        </row>
        <row r="64">
          <cell r="AI64">
            <v>0</v>
          </cell>
        </row>
        <row r="65">
          <cell r="AI65">
            <v>0</v>
          </cell>
        </row>
        <row r="66">
          <cell r="AI66">
            <v>0</v>
          </cell>
        </row>
        <row r="67">
          <cell r="AI67">
            <v>0</v>
          </cell>
        </row>
        <row r="68">
          <cell r="AI68">
            <v>0</v>
          </cell>
        </row>
        <row r="69">
          <cell r="AI69">
            <v>0</v>
          </cell>
        </row>
        <row r="70">
          <cell r="AI70">
            <v>0</v>
          </cell>
        </row>
        <row r="71">
          <cell r="AI71">
            <v>0</v>
          </cell>
        </row>
        <row r="72">
          <cell r="AH72">
            <v>0</v>
          </cell>
          <cell r="AI72">
            <v>0</v>
          </cell>
        </row>
        <row r="73">
          <cell r="AI73">
            <v>0</v>
          </cell>
        </row>
      </sheetData>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row r="11">
          <cell r="H11" t="str">
            <v>CH02_ADTG</v>
          </cell>
          <cell r="I11" t="str">
            <v>CN02_ADTG</v>
          </cell>
          <cell r="J11" t="str">
            <v>DE00_ADTG</v>
          </cell>
          <cell r="K11" t="str">
            <v>DE01_ADTG</v>
          </cell>
          <cell r="L11" t="str">
            <v>DE26_ADTG</v>
          </cell>
          <cell r="M11" t="str">
            <v>DE39_ADTG</v>
          </cell>
          <cell r="N11" t="str">
            <v>FR05_ADTG</v>
          </cell>
          <cell r="O11" t="str">
            <v>GB02_ADTG</v>
          </cell>
          <cell r="P11" t="str">
            <v>HK01_ADTG</v>
          </cell>
          <cell r="Q11" t="str">
            <v>IT02_ADTG</v>
          </cell>
          <cell r="R11" t="str">
            <v>JP01_ADTG</v>
          </cell>
          <cell r="S11" t="str">
            <v>KR01_ADTG</v>
          </cell>
          <cell r="T11" t="str">
            <v>KR03_ADTG</v>
          </cell>
          <cell r="U11" t="str">
            <v>KR07_ADTG</v>
          </cell>
          <cell r="V11" t="str">
            <v>MY01_ADTG</v>
          </cell>
          <cell r="W11" t="str">
            <v>SG01_ADTG</v>
          </cell>
          <cell r="X11" t="str">
            <v>TW02_ADTG</v>
          </cell>
          <cell r="Y11" t="str">
            <v>US01_ADTG</v>
          </cell>
          <cell r="Z11" t="str">
            <v>EXCEL</v>
          </cell>
          <cell r="AA11" t="str">
            <v>BUCHGES_ADTG</v>
          </cell>
          <cell r="AC11" t="str">
            <v>_ADTG</v>
          </cell>
          <cell r="AD11" t="str">
            <v>_IC</v>
          </cell>
          <cell r="AE11" t="str">
            <v>_KONS</v>
          </cell>
          <cell r="AF11" t="str">
            <v>EXCEL</v>
          </cell>
        </row>
        <row r="72">
          <cell r="AE72">
            <v>3911.87</v>
          </cell>
        </row>
      </sheetData>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nituri 2019"/>
      <sheetName val="Predictii Clienti 2020"/>
    </sheetNames>
    <sheetDataSet>
      <sheetData sheetId="0">
        <row r="33">
          <cell r="G33">
            <v>7840953.7999999989</v>
          </cell>
        </row>
      </sheetData>
      <sheetData sheetId="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aia1"/>
    </sheetNames>
    <sheetDataSet>
      <sheetData sheetId="0">
        <row r="120">
          <cell r="Z120">
            <v>470282.7900000001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4.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8.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2.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26.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4.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38.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2.xml"/><Relationship Id="rId2" Type="http://schemas.openxmlformats.org/officeDocument/2006/relationships/drawing" Target="../drawings/drawing13.xml"/><Relationship Id="rId1" Type="http://schemas.openxmlformats.org/officeDocument/2006/relationships/printerSettings" Target="../printerSettings/printerSettings12.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6.xml"/><Relationship Id="rId2" Type="http://schemas.openxmlformats.org/officeDocument/2006/relationships/drawing" Target="../drawings/drawing14.xml"/><Relationship Id="rId1" Type="http://schemas.openxmlformats.org/officeDocument/2006/relationships/printerSettings" Target="../printerSettings/printerSettings13.bin"/><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trlProp" Target="../ctrlProps/ctrlProp50.xml"/><Relationship Id="rId2" Type="http://schemas.openxmlformats.org/officeDocument/2006/relationships/drawing" Target="../drawings/drawing15.xml"/><Relationship Id="rId1" Type="http://schemas.openxmlformats.org/officeDocument/2006/relationships/printerSettings" Target="../printerSettings/printerSettings14.bin"/><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trlProp" Target="../ctrlProps/ctrlProp54.xml"/><Relationship Id="rId2" Type="http://schemas.openxmlformats.org/officeDocument/2006/relationships/drawing" Target="../drawings/drawing16.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trlProp" Target="../ctrlProps/ctrlProp58.xml"/><Relationship Id="rId2" Type="http://schemas.openxmlformats.org/officeDocument/2006/relationships/drawing" Target="../drawings/drawing17.xml"/><Relationship Id="rId1" Type="http://schemas.openxmlformats.org/officeDocument/2006/relationships/printerSettings" Target="../printerSettings/printerSettings16.bin"/><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Disclaimer">
    <tabColor theme="1"/>
    <pageSetUpPr autoPageBreaks="0"/>
  </sheetPr>
  <dimension ref="A1:V45"/>
  <sheetViews>
    <sheetView showGridLines="0" showRowColHeaders="0" zoomScale="77" zoomScaleNormal="77" workbookViewId="0"/>
  </sheetViews>
  <sheetFormatPr defaultColWidth="0" defaultRowHeight="12" customHeight="1" zeroHeight="1" x14ac:dyDescent="0.25"/>
  <cols>
    <col min="1" max="2" width="2.6640625" style="169" customWidth="1"/>
    <col min="3" max="3" width="4.6640625" style="169" customWidth="1"/>
    <col min="4" max="19" width="15.6640625" style="169" customWidth="1"/>
    <col min="20" max="20" width="4.6640625" style="169" customWidth="1"/>
    <col min="21" max="22" width="0" style="169" hidden="1" customWidth="1"/>
    <col min="23" max="16384" width="9.109375" style="169" hidden="1"/>
  </cols>
  <sheetData>
    <row r="1" spans="1:20" ht="12" customHeight="1" x14ac:dyDescent="0.25">
      <c r="A1" s="83" t="s">
        <v>102</v>
      </c>
      <c r="B1" s="83"/>
      <c r="C1" s="83"/>
      <c r="D1" s="83"/>
      <c r="E1" s="83"/>
      <c r="F1" s="83"/>
      <c r="G1" s="83"/>
      <c r="H1" s="83"/>
      <c r="I1" s="83"/>
      <c r="J1" s="83"/>
      <c r="K1" s="83"/>
      <c r="L1" s="83"/>
      <c r="M1" s="83"/>
      <c r="N1" s="83"/>
      <c r="O1" s="83"/>
      <c r="P1" s="83"/>
      <c r="Q1" s="83"/>
      <c r="R1" s="83"/>
      <c r="S1" s="83"/>
      <c r="T1" s="83"/>
    </row>
    <row r="2" spans="1:20" ht="12" customHeight="1" x14ac:dyDescent="0.25">
      <c r="A2" s="83"/>
      <c r="B2" s="83"/>
      <c r="C2" s="170"/>
      <c r="D2" s="171"/>
      <c r="E2" s="171"/>
      <c r="F2" s="171"/>
      <c r="G2" s="171"/>
      <c r="H2" s="171"/>
      <c r="I2" s="171"/>
      <c r="J2" s="171"/>
      <c r="K2" s="171"/>
      <c r="L2" s="171"/>
      <c r="M2" s="171"/>
      <c r="N2" s="171"/>
      <c r="O2" s="171"/>
      <c r="P2" s="171"/>
      <c r="Q2" s="171"/>
      <c r="R2" s="171"/>
      <c r="S2" s="171"/>
      <c r="T2" s="172"/>
    </row>
    <row r="3" spans="1:20" ht="12" customHeight="1" x14ac:dyDescent="0.25">
      <c r="A3" s="83"/>
      <c r="B3" s="83"/>
      <c r="C3" s="173"/>
      <c r="D3" s="174"/>
      <c r="E3" s="174"/>
      <c r="F3" s="174"/>
      <c r="G3" s="174"/>
      <c r="H3" s="174"/>
      <c r="I3" s="174"/>
      <c r="J3" s="174"/>
      <c r="K3" s="174"/>
      <c r="L3" s="174"/>
      <c r="M3" s="174"/>
      <c r="N3" s="174"/>
      <c r="O3" s="174"/>
      <c r="P3" s="174"/>
      <c r="Q3" s="174"/>
      <c r="R3" s="174"/>
      <c r="S3" s="174"/>
      <c r="T3" s="175"/>
    </row>
    <row r="4" spans="1:20" ht="12" customHeight="1" x14ac:dyDescent="0.25">
      <c r="A4" s="83"/>
      <c r="B4" s="83"/>
      <c r="C4" s="173"/>
      <c r="D4" s="174"/>
      <c r="E4" s="174"/>
      <c r="F4" s="174"/>
      <c r="G4" s="174"/>
      <c r="H4" s="174"/>
      <c r="I4" s="174"/>
      <c r="J4" s="174"/>
      <c r="K4" s="174"/>
      <c r="L4" s="174"/>
      <c r="M4" s="174"/>
      <c r="N4" s="174"/>
      <c r="O4" s="174"/>
      <c r="P4" s="174"/>
      <c r="Q4" s="174"/>
      <c r="R4" s="174"/>
      <c r="S4" s="174"/>
      <c r="T4" s="175"/>
    </row>
    <row r="5" spans="1:20" ht="12" customHeight="1" x14ac:dyDescent="0.25">
      <c r="A5" s="83"/>
      <c r="B5" s="83"/>
      <c r="C5" s="173"/>
      <c r="D5" s="174"/>
      <c r="E5" s="174"/>
      <c r="F5" s="174"/>
      <c r="G5" s="174"/>
      <c r="H5" s="174"/>
      <c r="I5" s="174"/>
      <c r="J5" s="174"/>
      <c r="K5" s="174"/>
      <c r="L5" s="174"/>
      <c r="M5" s="174"/>
      <c r="N5" s="174"/>
      <c r="O5" s="174"/>
      <c r="P5" s="174"/>
      <c r="Q5" s="174"/>
      <c r="R5" s="176"/>
      <c r="S5" s="177"/>
      <c r="T5" s="175"/>
    </row>
    <row r="6" spans="1:20" ht="12" customHeight="1" x14ac:dyDescent="0.25">
      <c r="A6" s="83"/>
      <c r="B6" s="83"/>
      <c r="C6" s="173"/>
      <c r="D6" s="902" t="s">
        <v>722</v>
      </c>
      <c r="E6" s="903"/>
      <c r="F6" s="903"/>
      <c r="G6" s="903"/>
      <c r="H6" s="903"/>
      <c r="I6" s="903"/>
      <c r="J6" s="903"/>
      <c r="K6" s="903"/>
      <c r="L6" s="903"/>
      <c r="M6" s="903"/>
      <c r="N6" s="903"/>
      <c r="O6" s="903"/>
      <c r="P6" s="903"/>
      <c r="Q6" s="903"/>
      <c r="R6" s="903"/>
      <c r="S6" s="904"/>
      <c r="T6" s="178"/>
    </row>
    <row r="7" spans="1:20" ht="12" customHeight="1" x14ac:dyDescent="0.25">
      <c r="A7" s="83"/>
      <c r="B7" s="83"/>
      <c r="C7" s="173"/>
      <c r="D7" s="905"/>
      <c r="E7" s="906"/>
      <c r="F7" s="906"/>
      <c r="G7" s="906"/>
      <c r="H7" s="906"/>
      <c r="I7" s="906"/>
      <c r="J7" s="906"/>
      <c r="K7" s="906"/>
      <c r="L7" s="906"/>
      <c r="M7" s="906"/>
      <c r="N7" s="906"/>
      <c r="O7" s="906"/>
      <c r="P7" s="906"/>
      <c r="Q7" s="906"/>
      <c r="R7" s="906"/>
      <c r="S7" s="907"/>
      <c r="T7" s="175"/>
    </row>
    <row r="8" spans="1:20" ht="12" customHeight="1" x14ac:dyDescent="0.25">
      <c r="A8" s="83"/>
      <c r="B8" s="83"/>
      <c r="C8" s="173"/>
      <c r="D8" s="905"/>
      <c r="E8" s="906"/>
      <c r="F8" s="906"/>
      <c r="G8" s="906"/>
      <c r="H8" s="906"/>
      <c r="I8" s="906"/>
      <c r="J8" s="906"/>
      <c r="K8" s="906"/>
      <c r="L8" s="906"/>
      <c r="M8" s="906"/>
      <c r="N8" s="906"/>
      <c r="O8" s="906"/>
      <c r="P8" s="906"/>
      <c r="Q8" s="906"/>
      <c r="R8" s="906"/>
      <c r="S8" s="907"/>
      <c r="T8" s="175"/>
    </row>
    <row r="9" spans="1:20" ht="12" customHeight="1" x14ac:dyDescent="0.25">
      <c r="A9" s="83"/>
      <c r="B9" s="83"/>
      <c r="C9" s="173"/>
      <c r="D9" s="905"/>
      <c r="E9" s="906"/>
      <c r="F9" s="906"/>
      <c r="G9" s="906"/>
      <c r="H9" s="906"/>
      <c r="I9" s="906"/>
      <c r="J9" s="906"/>
      <c r="K9" s="906"/>
      <c r="L9" s="906"/>
      <c r="M9" s="906"/>
      <c r="N9" s="906"/>
      <c r="O9" s="906"/>
      <c r="P9" s="906"/>
      <c r="Q9" s="906"/>
      <c r="R9" s="906"/>
      <c r="S9" s="907"/>
      <c r="T9" s="175"/>
    </row>
    <row r="10" spans="1:20" ht="12" customHeight="1" x14ac:dyDescent="0.25">
      <c r="A10" s="83"/>
      <c r="B10" s="83"/>
      <c r="C10" s="173"/>
      <c r="D10" s="905"/>
      <c r="E10" s="906"/>
      <c r="F10" s="906"/>
      <c r="G10" s="906"/>
      <c r="H10" s="906"/>
      <c r="I10" s="906"/>
      <c r="J10" s="906"/>
      <c r="K10" s="906"/>
      <c r="L10" s="906"/>
      <c r="M10" s="906"/>
      <c r="N10" s="906"/>
      <c r="O10" s="906"/>
      <c r="P10" s="906"/>
      <c r="Q10" s="906"/>
      <c r="R10" s="906"/>
      <c r="S10" s="907"/>
      <c r="T10" s="175"/>
    </row>
    <row r="11" spans="1:20" ht="12" customHeight="1" x14ac:dyDescent="0.25">
      <c r="A11" s="83"/>
      <c r="B11" s="83"/>
      <c r="C11" s="173"/>
      <c r="D11" s="905"/>
      <c r="E11" s="906"/>
      <c r="F11" s="906"/>
      <c r="G11" s="906"/>
      <c r="H11" s="906"/>
      <c r="I11" s="906"/>
      <c r="J11" s="906"/>
      <c r="K11" s="906"/>
      <c r="L11" s="906"/>
      <c r="M11" s="906"/>
      <c r="N11" s="906"/>
      <c r="O11" s="906"/>
      <c r="P11" s="906"/>
      <c r="Q11" s="906"/>
      <c r="R11" s="906"/>
      <c r="S11" s="907"/>
      <c r="T11" s="175"/>
    </row>
    <row r="12" spans="1:20" ht="12" customHeight="1" x14ac:dyDescent="0.25">
      <c r="A12" s="83"/>
      <c r="B12" s="83"/>
      <c r="C12" s="173"/>
      <c r="D12" s="905"/>
      <c r="E12" s="906"/>
      <c r="F12" s="906"/>
      <c r="G12" s="906"/>
      <c r="H12" s="906"/>
      <c r="I12" s="906"/>
      <c r="J12" s="906"/>
      <c r="K12" s="906"/>
      <c r="L12" s="906"/>
      <c r="M12" s="906"/>
      <c r="N12" s="906"/>
      <c r="O12" s="906"/>
      <c r="P12" s="906"/>
      <c r="Q12" s="906"/>
      <c r="R12" s="906"/>
      <c r="S12" s="907"/>
      <c r="T12" s="175"/>
    </row>
    <row r="13" spans="1:20" ht="12" customHeight="1" x14ac:dyDescent="0.25">
      <c r="A13" s="83"/>
      <c r="B13" s="83"/>
      <c r="C13" s="173"/>
      <c r="D13" s="905"/>
      <c r="E13" s="906"/>
      <c r="F13" s="906"/>
      <c r="G13" s="906"/>
      <c r="H13" s="906"/>
      <c r="I13" s="906"/>
      <c r="J13" s="906"/>
      <c r="K13" s="906"/>
      <c r="L13" s="906"/>
      <c r="M13" s="906"/>
      <c r="N13" s="906"/>
      <c r="O13" s="906"/>
      <c r="P13" s="906"/>
      <c r="Q13" s="906"/>
      <c r="R13" s="906"/>
      <c r="S13" s="907"/>
      <c r="T13" s="175"/>
    </row>
    <row r="14" spans="1:20" ht="12" customHeight="1" x14ac:dyDescent="0.25">
      <c r="A14" s="83"/>
      <c r="B14" s="83"/>
      <c r="C14" s="173"/>
      <c r="D14" s="905"/>
      <c r="E14" s="906"/>
      <c r="F14" s="906"/>
      <c r="G14" s="906"/>
      <c r="H14" s="906"/>
      <c r="I14" s="906"/>
      <c r="J14" s="906"/>
      <c r="K14" s="906"/>
      <c r="L14" s="906"/>
      <c r="M14" s="906"/>
      <c r="N14" s="906"/>
      <c r="O14" s="906"/>
      <c r="P14" s="906"/>
      <c r="Q14" s="906"/>
      <c r="R14" s="906"/>
      <c r="S14" s="907"/>
      <c r="T14" s="175"/>
    </row>
    <row r="15" spans="1:20" ht="12" customHeight="1" x14ac:dyDescent="0.25">
      <c r="A15" s="83"/>
      <c r="B15" s="83"/>
      <c r="C15" s="173"/>
      <c r="D15" s="905"/>
      <c r="E15" s="906"/>
      <c r="F15" s="906"/>
      <c r="G15" s="906"/>
      <c r="H15" s="906"/>
      <c r="I15" s="906"/>
      <c r="J15" s="906"/>
      <c r="K15" s="906"/>
      <c r="L15" s="906"/>
      <c r="M15" s="906"/>
      <c r="N15" s="906"/>
      <c r="O15" s="906"/>
      <c r="P15" s="906"/>
      <c r="Q15" s="906"/>
      <c r="R15" s="906"/>
      <c r="S15" s="907"/>
      <c r="T15" s="175"/>
    </row>
    <row r="16" spans="1:20" ht="12" customHeight="1" x14ac:dyDescent="0.25">
      <c r="A16" s="83"/>
      <c r="B16" s="83"/>
      <c r="C16" s="173"/>
      <c r="D16" s="905"/>
      <c r="E16" s="906"/>
      <c r="F16" s="906"/>
      <c r="G16" s="906"/>
      <c r="H16" s="906"/>
      <c r="I16" s="906"/>
      <c r="J16" s="906"/>
      <c r="K16" s="906"/>
      <c r="L16" s="906"/>
      <c r="M16" s="906"/>
      <c r="N16" s="906"/>
      <c r="O16" s="906"/>
      <c r="P16" s="906"/>
      <c r="Q16" s="906"/>
      <c r="R16" s="906"/>
      <c r="S16" s="907"/>
      <c r="T16" s="175"/>
    </row>
    <row r="17" spans="1:20" ht="12" customHeight="1" x14ac:dyDescent="0.25">
      <c r="A17" s="83"/>
      <c r="B17" s="83"/>
      <c r="C17" s="173"/>
      <c r="D17" s="905"/>
      <c r="E17" s="906"/>
      <c r="F17" s="906"/>
      <c r="G17" s="906"/>
      <c r="H17" s="906"/>
      <c r="I17" s="906"/>
      <c r="J17" s="906"/>
      <c r="K17" s="906"/>
      <c r="L17" s="906"/>
      <c r="M17" s="906"/>
      <c r="N17" s="906"/>
      <c r="O17" s="906"/>
      <c r="P17" s="906"/>
      <c r="Q17" s="906"/>
      <c r="R17" s="906"/>
      <c r="S17" s="907"/>
      <c r="T17" s="175"/>
    </row>
    <row r="18" spans="1:20" ht="12" customHeight="1" x14ac:dyDescent="0.25">
      <c r="A18" s="83"/>
      <c r="B18" s="83"/>
      <c r="C18" s="173"/>
      <c r="D18" s="905"/>
      <c r="E18" s="906"/>
      <c r="F18" s="906"/>
      <c r="G18" s="906"/>
      <c r="H18" s="906"/>
      <c r="I18" s="906"/>
      <c r="J18" s="906"/>
      <c r="K18" s="906"/>
      <c r="L18" s="906"/>
      <c r="M18" s="906"/>
      <c r="N18" s="906"/>
      <c r="O18" s="906"/>
      <c r="P18" s="906"/>
      <c r="Q18" s="906"/>
      <c r="R18" s="906"/>
      <c r="S18" s="907"/>
      <c r="T18" s="175"/>
    </row>
    <row r="19" spans="1:20" ht="12" customHeight="1" x14ac:dyDescent="0.25">
      <c r="A19" s="83"/>
      <c r="B19" s="83"/>
      <c r="C19" s="173"/>
      <c r="D19" s="905"/>
      <c r="E19" s="906"/>
      <c r="F19" s="906"/>
      <c r="G19" s="906"/>
      <c r="H19" s="906"/>
      <c r="I19" s="906"/>
      <c r="J19" s="906"/>
      <c r="K19" s="906"/>
      <c r="L19" s="906"/>
      <c r="M19" s="906"/>
      <c r="N19" s="906"/>
      <c r="O19" s="906"/>
      <c r="P19" s="906"/>
      <c r="Q19" s="906"/>
      <c r="R19" s="906"/>
      <c r="S19" s="907"/>
      <c r="T19" s="175"/>
    </row>
    <row r="20" spans="1:20" ht="12" customHeight="1" x14ac:dyDescent="0.25">
      <c r="A20" s="83"/>
      <c r="B20" s="83"/>
      <c r="C20" s="173"/>
      <c r="D20" s="905"/>
      <c r="E20" s="906"/>
      <c r="F20" s="906"/>
      <c r="G20" s="906"/>
      <c r="H20" s="906"/>
      <c r="I20" s="906"/>
      <c r="J20" s="906"/>
      <c r="K20" s="906"/>
      <c r="L20" s="906"/>
      <c r="M20" s="906"/>
      <c r="N20" s="906"/>
      <c r="O20" s="906"/>
      <c r="P20" s="906"/>
      <c r="Q20" s="906"/>
      <c r="R20" s="906"/>
      <c r="S20" s="907"/>
      <c r="T20" s="175"/>
    </row>
    <row r="21" spans="1:20" ht="12" customHeight="1" x14ac:dyDescent="0.25">
      <c r="A21" s="83"/>
      <c r="B21" s="83"/>
      <c r="C21" s="173"/>
      <c r="D21" s="905"/>
      <c r="E21" s="906"/>
      <c r="F21" s="906"/>
      <c r="G21" s="906"/>
      <c r="H21" s="906"/>
      <c r="I21" s="906"/>
      <c r="J21" s="906"/>
      <c r="K21" s="906"/>
      <c r="L21" s="906"/>
      <c r="M21" s="906"/>
      <c r="N21" s="906"/>
      <c r="O21" s="906"/>
      <c r="P21" s="906"/>
      <c r="Q21" s="906"/>
      <c r="R21" s="906"/>
      <c r="S21" s="907"/>
      <c r="T21" s="175"/>
    </row>
    <row r="22" spans="1:20" ht="12" customHeight="1" x14ac:dyDescent="0.25">
      <c r="A22" s="83"/>
      <c r="B22" s="83"/>
      <c r="C22" s="173"/>
      <c r="D22" s="905"/>
      <c r="E22" s="906"/>
      <c r="F22" s="906"/>
      <c r="G22" s="906"/>
      <c r="H22" s="906"/>
      <c r="I22" s="906"/>
      <c r="J22" s="906"/>
      <c r="K22" s="906"/>
      <c r="L22" s="906"/>
      <c r="M22" s="906"/>
      <c r="N22" s="906"/>
      <c r="O22" s="906"/>
      <c r="P22" s="906"/>
      <c r="Q22" s="906"/>
      <c r="R22" s="906"/>
      <c r="S22" s="907"/>
      <c r="T22" s="175"/>
    </row>
    <row r="23" spans="1:20" ht="12" customHeight="1" x14ac:dyDescent="0.25">
      <c r="A23" s="83"/>
      <c r="B23" s="83"/>
      <c r="C23" s="173"/>
      <c r="D23" s="905"/>
      <c r="E23" s="906"/>
      <c r="F23" s="906"/>
      <c r="G23" s="906"/>
      <c r="H23" s="906"/>
      <c r="I23" s="906"/>
      <c r="J23" s="906"/>
      <c r="K23" s="906"/>
      <c r="L23" s="906"/>
      <c r="M23" s="906"/>
      <c r="N23" s="906"/>
      <c r="O23" s="906"/>
      <c r="P23" s="906"/>
      <c r="Q23" s="906"/>
      <c r="R23" s="906"/>
      <c r="S23" s="907"/>
      <c r="T23" s="175"/>
    </row>
    <row r="24" spans="1:20" ht="12" customHeight="1" x14ac:dyDescent="0.25">
      <c r="A24" s="83"/>
      <c r="B24" s="83"/>
      <c r="C24" s="173"/>
      <c r="D24" s="905"/>
      <c r="E24" s="906"/>
      <c r="F24" s="906"/>
      <c r="G24" s="906"/>
      <c r="H24" s="906"/>
      <c r="I24" s="906"/>
      <c r="J24" s="906"/>
      <c r="K24" s="906"/>
      <c r="L24" s="906"/>
      <c r="M24" s="906"/>
      <c r="N24" s="906"/>
      <c r="O24" s="906"/>
      <c r="P24" s="906"/>
      <c r="Q24" s="906"/>
      <c r="R24" s="906"/>
      <c r="S24" s="907"/>
      <c r="T24" s="175"/>
    </row>
    <row r="25" spans="1:20" ht="12" customHeight="1" x14ac:dyDescent="0.25">
      <c r="A25" s="83"/>
      <c r="B25" s="83"/>
      <c r="C25" s="173"/>
      <c r="D25" s="905"/>
      <c r="E25" s="906"/>
      <c r="F25" s="906"/>
      <c r="G25" s="906"/>
      <c r="H25" s="906"/>
      <c r="I25" s="906"/>
      <c r="J25" s="906"/>
      <c r="K25" s="906"/>
      <c r="L25" s="906"/>
      <c r="M25" s="906"/>
      <c r="N25" s="906"/>
      <c r="O25" s="906"/>
      <c r="P25" s="906"/>
      <c r="Q25" s="906"/>
      <c r="R25" s="906"/>
      <c r="S25" s="907"/>
      <c r="T25" s="175"/>
    </row>
    <row r="26" spans="1:20" ht="12" customHeight="1" x14ac:dyDescent="0.25">
      <c r="A26" s="83"/>
      <c r="B26" s="83"/>
      <c r="C26" s="173"/>
      <c r="D26" s="905"/>
      <c r="E26" s="906"/>
      <c r="F26" s="906"/>
      <c r="G26" s="906"/>
      <c r="H26" s="906"/>
      <c r="I26" s="906"/>
      <c r="J26" s="906"/>
      <c r="K26" s="906"/>
      <c r="L26" s="906"/>
      <c r="M26" s="906"/>
      <c r="N26" s="906"/>
      <c r="O26" s="906"/>
      <c r="P26" s="906"/>
      <c r="Q26" s="906"/>
      <c r="R26" s="906"/>
      <c r="S26" s="907"/>
      <c r="T26" s="175"/>
    </row>
    <row r="27" spans="1:20" ht="12" customHeight="1" x14ac:dyDescent="0.25">
      <c r="A27" s="83"/>
      <c r="B27" s="83"/>
      <c r="C27" s="173"/>
      <c r="D27" s="905"/>
      <c r="E27" s="906"/>
      <c r="F27" s="906"/>
      <c r="G27" s="906"/>
      <c r="H27" s="906"/>
      <c r="I27" s="906"/>
      <c r="J27" s="906"/>
      <c r="K27" s="906"/>
      <c r="L27" s="906"/>
      <c r="M27" s="906"/>
      <c r="N27" s="906"/>
      <c r="O27" s="906"/>
      <c r="P27" s="906"/>
      <c r="Q27" s="906"/>
      <c r="R27" s="906"/>
      <c r="S27" s="907"/>
      <c r="T27" s="175"/>
    </row>
    <row r="28" spans="1:20" ht="12" customHeight="1" x14ac:dyDescent="0.25">
      <c r="A28" s="83"/>
      <c r="B28" s="83"/>
      <c r="C28" s="173"/>
      <c r="D28" s="905"/>
      <c r="E28" s="906"/>
      <c r="F28" s="906"/>
      <c r="G28" s="906"/>
      <c r="H28" s="906"/>
      <c r="I28" s="906"/>
      <c r="J28" s="906"/>
      <c r="K28" s="906"/>
      <c r="L28" s="906"/>
      <c r="M28" s="906"/>
      <c r="N28" s="906"/>
      <c r="O28" s="906"/>
      <c r="P28" s="906"/>
      <c r="Q28" s="906"/>
      <c r="R28" s="906"/>
      <c r="S28" s="907"/>
      <c r="T28" s="175"/>
    </row>
    <row r="29" spans="1:20" ht="12" customHeight="1" x14ac:dyDescent="0.25">
      <c r="A29" s="83"/>
      <c r="B29" s="83"/>
      <c r="C29" s="173"/>
      <c r="D29" s="905"/>
      <c r="E29" s="906"/>
      <c r="F29" s="906"/>
      <c r="G29" s="906"/>
      <c r="H29" s="906"/>
      <c r="I29" s="906"/>
      <c r="J29" s="906"/>
      <c r="K29" s="906"/>
      <c r="L29" s="906"/>
      <c r="M29" s="906"/>
      <c r="N29" s="906"/>
      <c r="O29" s="906"/>
      <c r="P29" s="906"/>
      <c r="Q29" s="906"/>
      <c r="R29" s="906"/>
      <c r="S29" s="907"/>
      <c r="T29" s="175"/>
    </row>
    <row r="30" spans="1:20" ht="12" customHeight="1" x14ac:dyDescent="0.25">
      <c r="A30" s="83"/>
      <c r="B30" s="83"/>
      <c r="C30" s="173"/>
      <c r="D30" s="905"/>
      <c r="E30" s="906"/>
      <c r="F30" s="906"/>
      <c r="G30" s="906"/>
      <c r="H30" s="906"/>
      <c r="I30" s="906"/>
      <c r="J30" s="906"/>
      <c r="K30" s="906"/>
      <c r="L30" s="906"/>
      <c r="M30" s="906"/>
      <c r="N30" s="906"/>
      <c r="O30" s="906"/>
      <c r="P30" s="906"/>
      <c r="Q30" s="906"/>
      <c r="R30" s="906"/>
      <c r="S30" s="907"/>
      <c r="T30" s="175"/>
    </row>
    <row r="31" spans="1:20" ht="12" customHeight="1" x14ac:dyDescent="0.25">
      <c r="A31" s="83"/>
      <c r="B31" s="83"/>
      <c r="C31" s="173"/>
      <c r="D31" s="905"/>
      <c r="E31" s="906"/>
      <c r="F31" s="906"/>
      <c r="G31" s="906"/>
      <c r="H31" s="906"/>
      <c r="I31" s="906"/>
      <c r="J31" s="906"/>
      <c r="K31" s="906"/>
      <c r="L31" s="906"/>
      <c r="M31" s="906"/>
      <c r="N31" s="906"/>
      <c r="O31" s="906"/>
      <c r="P31" s="906"/>
      <c r="Q31" s="906"/>
      <c r="R31" s="906"/>
      <c r="S31" s="907"/>
      <c r="T31" s="175"/>
    </row>
    <row r="32" spans="1:20" ht="12" customHeight="1" x14ac:dyDescent="0.25">
      <c r="A32" s="83"/>
      <c r="B32" s="83"/>
      <c r="C32" s="173"/>
      <c r="D32" s="908"/>
      <c r="E32" s="909"/>
      <c r="F32" s="909"/>
      <c r="G32" s="909"/>
      <c r="H32" s="909"/>
      <c r="I32" s="909"/>
      <c r="J32" s="909"/>
      <c r="K32" s="909"/>
      <c r="L32" s="909"/>
      <c r="M32" s="909"/>
      <c r="N32" s="909"/>
      <c r="O32" s="909"/>
      <c r="P32" s="909"/>
      <c r="Q32" s="909"/>
      <c r="R32" s="909"/>
      <c r="S32" s="910"/>
      <c r="T32" s="175"/>
    </row>
    <row r="33" spans="1:20" ht="12" customHeight="1" x14ac:dyDescent="0.25">
      <c r="A33" s="83"/>
      <c r="B33" s="83"/>
      <c r="C33" s="173"/>
      <c r="D33" s="179"/>
      <c r="E33" s="179"/>
      <c r="F33" s="179"/>
      <c r="G33" s="179"/>
      <c r="H33" s="179"/>
      <c r="I33" s="179"/>
      <c r="J33" s="179"/>
      <c r="K33" s="179"/>
      <c r="L33" s="179"/>
      <c r="M33" s="179"/>
      <c r="N33" s="179"/>
      <c r="O33" s="179"/>
      <c r="P33" s="179"/>
      <c r="Q33" s="179"/>
      <c r="R33" s="179"/>
      <c r="S33" s="179"/>
      <c r="T33" s="175"/>
    </row>
    <row r="34" spans="1:20" ht="12" customHeight="1" x14ac:dyDescent="0.25">
      <c r="A34" s="83"/>
      <c r="B34" s="83"/>
      <c r="C34" s="173"/>
      <c r="D34" s="911" t="s">
        <v>101</v>
      </c>
      <c r="E34" s="912"/>
      <c r="F34" s="912"/>
      <c r="G34" s="912"/>
      <c r="H34" s="912"/>
      <c r="I34" s="912"/>
      <c r="J34" s="912"/>
      <c r="K34" s="912"/>
      <c r="L34" s="912"/>
      <c r="M34" s="912"/>
      <c r="N34" s="912"/>
      <c r="O34" s="912"/>
      <c r="P34" s="912"/>
      <c r="Q34" s="912"/>
      <c r="R34" s="912"/>
      <c r="S34" s="913"/>
      <c r="T34" s="175"/>
    </row>
    <row r="35" spans="1:20" ht="12" customHeight="1" x14ac:dyDescent="0.25">
      <c r="A35" s="83"/>
      <c r="B35" s="83"/>
      <c r="C35" s="173"/>
      <c r="D35" s="914" t="s">
        <v>171</v>
      </c>
      <c r="E35" s="915"/>
      <c r="F35" s="915"/>
      <c r="G35" s="915"/>
      <c r="H35" s="915"/>
      <c r="I35" s="915"/>
      <c r="J35" s="915"/>
      <c r="K35" s="915"/>
      <c r="L35" s="180" t="s">
        <v>100</v>
      </c>
      <c r="M35" s="181"/>
      <c r="N35" s="181"/>
      <c r="O35" s="181"/>
      <c r="P35" s="182"/>
      <c r="Q35" s="182"/>
      <c r="R35" s="183"/>
      <c r="S35" s="184"/>
      <c r="T35" s="175"/>
    </row>
    <row r="36" spans="1:20" ht="12" customHeight="1" x14ac:dyDescent="0.25">
      <c r="A36" s="83"/>
      <c r="B36" s="83"/>
      <c r="C36" s="173"/>
      <c r="D36" s="916"/>
      <c r="E36" s="917"/>
      <c r="F36" s="917"/>
      <c r="G36" s="917"/>
      <c r="H36" s="917"/>
      <c r="I36" s="917"/>
      <c r="J36" s="917"/>
      <c r="K36" s="917"/>
      <c r="L36" s="185" t="s">
        <v>99</v>
      </c>
      <c r="M36" s="186"/>
      <c r="N36" s="186"/>
      <c r="O36" s="186"/>
      <c r="P36" s="187"/>
      <c r="Q36" s="187"/>
      <c r="R36" s="187"/>
      <c r="S36" s="431" t="s">
        <v>97</v>
      </c>
      <c r="T36" s="175"/>
    </row>
    <row r="37" spans="1:20" ht="12" customHeight="1" x14ac:dyDescent="0.25">
      <c r="A37" s="83"/>
      <c r="B37" s="83"/>
      <c r="C37" s="173"/>
      <c r="D37" s="916"/>
      <c r="E37" s="917"/>
      <c r="F37" s="917"/>
      <c r="G37" s="917"/>
      <c r="H37" s="917"/>
      <c r="I37" s="917"/>
      <c r="J37" s="917"/>
      <c r="K37" s="917"/>
      <c r="L37" s="185" t="s">
        <v>137</v>
      </c>
      <c r="M37" s="186"/>
      <c r="N37" s="186"/>
      <c r="O37" s="186"/>
      <c r="P37" s="187"/>
      <c r="Q37" s="187"/>
      <c r="R37" s="187"/>
      <c r="S37" s="188" t="s">
        <v>97</v>
      </c>
      <c r="T37" s="175"/>
    </row>
    <row r="38" spans="1:20" ht="12" customHeight="1" x14ac:dyDescent="0.25">
      <c r="A38" s="83"/>
      <c r="B38" s="83"/>
      <c r="C38" s="173"/>
      <c r="D38" s="916"/>
      <c r="E38" s="917"/>
      <c r="F38" s="917"/>
      <c r="G38" s="917"/>
      <c r="H38" s="917"/>
      <c r="I38" s="917"/>
      <c r="J38" s="917"/>
      <c r="K38" s="917"/>
      <c r="L38" s="185" t="s">
        <v>98</v>
      </c>
      <c r="M38" s="186"/>
      <c r="N38" s="186"/>
      <c r="O38" s="186"/>
      <c r="P38" s="187"/>
      <c r="Q38" s="187"/>
      <c r="R38" s="187"/>
      <c r="S38" s="189" t="s">
        <v>97</v>
      </c>
      <c r="T38" s="175"/>
    </row>
    <row r="39" spans="1:20" ht="12" customHeight="1" x14ac:dyDescent="0.25">
      <c r="A39" s="83"/>
      <c r="B39" s="83"/>
      <c r="C39" s="173"/>
      <c r="D39" s="916"/>
      <c r="E39" s="917"/>
      <c r="F39" s="917"/>
      <c r="G39" s="917"/>
      <c r="H39" s="917"/>
      <c r="I39" s="917"/>
      <c r="J39" s="917"/>
      <c r="K39" s="917"/>
      <c r="L39" s="185" t="s">
        <v>136</v>
      </c>
      <c r="M39" s="186"/>
      <c r="N39" s="186"/>
      <c r="O39" s="186"/>
      <c r="P39" s="187"/>
      <c r="Q39" s="187"/>
      <c r="R39" s="187"/>
      <c r="S39" s="190" t="s">
        <v>97</v>
      </c>
      <c r="T39" s="175"/>
    </row>
    <row r="40" spans="1:20" ht="12" customHeight="1" x14ac:dyDescent="0.25">
      <c r="A40" s="83"/>
      <c r="B40" s="83"/>
      <c r="C40" s="173"/>
      <c r="D40" s="918"/>
      <c r="E40" s="919"/>
      <c r="F40" s="919"/>
      <c r="G40" s="919"/>
      <c r="H40" s="919"/>
      <c r="I40" s="919"/>
      <c r="J40" s="919"/>
      <c r="K40" s="919"/>
      <c r="L40" s="191" t="s">
        <v>96</v>
      </c>
      <c r="M40" s="192"/>
      <c r="N40" s="192"/>
      <c r="O40" s="192"/>
      <c r="P40" s="193"/>
      <c r="Q40" s="193"/>
      <c r="R40" s="193"/>
      <c r="S40" s="194" t="s">
        <v>95</v>
      </c>
      <c r="T40" s="175"/>
    </row>
    <row r="41" spans="1:20" ht="12" customHeight="1" x14ac:dyDescent="0.25">
      <c r="A41" s="83"/>
      <c r="B41" s="83"/>
      <c r="C41" s="195"/>
      <c r="D41" s="196"/>
      <c r="E41" s="196"/>
      <c r="F41" s="196"/>
      <c r="G41" s="196"/>
      <c r="H41" s="196"/>
      <c r="I41" s="196"/>
      <c r="J41" s="196"/>
      <c r="K41" s="196"/>
      <c r="L41" s="196"/>
      <c r="M41" s="196"/>
      <c r="N41" s="196"/>
      <c r="O41" s="196"/>
      <c r="P41" s="196"/>
      <c r="Q41" s="196"/>
      <c r="R41" s="196"/>
      <c r="S41" s="196"/>
      <c r="T41" s="197"/>
    </row>
    <row r="42" spans="1:20" ht="12" customHeight="1" x14ac:dyDescent="0.25">
      <c r="A42" s="83"/>
      <c r="B42" s="83"/>
      <c r="C42" s="83"/>
      <c r="D42" s="83"/>
      <c r="E42" s="83"/>
      <c r="F42" s="83"/>
      <c r="G42" s="83"/>
      <c r="H42" s="83"/>
      <c r="I42" s="83"/>
      <c r="J42" s="83"/>
      <c r="K42" s="83"/>
      <c r="L42" s="83"/>
      <c r="M42" s="83"/>
      <c r="N42" s="83"/>
      <c r="O42" s="83"/>
      <c r="P42" s="83"/>
      <c r="Q42" s="83"/>
      <c r="R42" s="83"/>
      <c r="S42" s="83"/>
      <c r="T42" s="83"/>
    </row>
    <row r="43" spans="1:20" ht="12" customHeight="1" x14ac:dyDescent="0.25">
      <c r="A43" s="83"/>
      <c r="B43" s="83"/>
      <c r="C43" s="83"/>
      <c r="D43" s="83"/>
      <c r="E43" s="83"/>
      <c r="F43" s="83"/>
      <c r="G43" s="83"/>
      <c r="H43" s="83"/>
      <c r="I43" s="83"/>
      <c r="J43" s="83"/>
      <c r="K43" s="198">
        <f ca="1">NOW()</f>
        <v>43566.919186226849</v>
      </c>
      <c r="L43" s="83"/>
      <c r="M43" s="83"/>
      <c r="N43" s="83"/>
      <c r="O43" s="83"/>
      <c r="P43" s="83"/>
      <c r="Q43" s="83"/>
      <c r="R43" s="83"/>
      <c r="S43" s="83"/>
      <c r="T43" s="83"/>
    </row>
    <row r="44" spans="1:20" ht="12" customHeight="1" x14ac:dyDescent="0.25">
      <c r="A44" s="83"/>
      <c r="B44" s="83"/>
      <c r="C44" s="83"/>
      <c r="D44" s="83"/>
      <c r="E44" s="83"/>
      <c r="F44" s="83"/>
      <c r="G44" s="83"/>
      <c r="H44" s="83"/>
      <c r="I44" s="83"/>
      <c r="J44" s="83"/>
      <c r="K44" s="900">
        <v>43565.575949074075</v>
      </c>
      <c r="L44" s="901"/>
      <c r="M44" s="83"/>
      <c r="N44" s="83"/>
      <c r="O44" s="83"/>
      <c r="P44" s="83"/>
      <c r="Q44" s="83"/>
      <c r="R44" s="83"/>
      <c r="S44" s="83"/>
      <c r="T44" s="83"/>
    </row>
    <row r="45" spans="1:20" ht="12" customHeight="1" x14ac:dyDescent="0.25">
      <c r="A45" s="83"/>
      <c r="B45" s="83"/>
      <c r="C45" s="83"/>
      <c r="D45" s="83"/>
      <c r="E45" s="83"/>
      <c r="F45" s="83"/>
      <c r="G45" s="83"/>
      <c r="H45" s="83"/>
      <c r="I45" s="83"/>
      <c r="J45" s="83"/>
      <c r="K45" s="83"/>
      <c r="L45" s="83"/>
      <c r="M45" s="83"/>
      <c r="N45" s="83"/>
      <c r="O45" s="83"/>
      <c r="P45" s="83"/>
      <c r="Q45" s="83"/>
      <c r="R45" s="83"/>
      <c r="S45" s="83"/>
      <c r="T45" s="83"/>
    </row>
  </sheetData>
  <mergeCells count="4">
    <mergeCell ref="K44:L44"/>
    <mergeCell ref="D6:S32"/>
    <mergeCell ref="D34:S34"/>
    <mergeCell ref="D35:K40"/>
  </mergeCells>
  <printOptions horizontalCentered="1" verticalCentered="1"/>
  <pageMargins left="1.5748031496062993" right="1.5354330708661419" top="0.70866141732283472" bottom="0.78740157480314965" header="0.51181102362204722" footer="0.51181102362204722"/>
  <pageSetup paperSize="9" scale="75" orientation="landscape" r:id="rId1"/>
  <headerFooter alignWithMargins="0">
    <oddFooter>&amp;C&amp;7&amp;B&amp;"Arial"Document Classification: KPMG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ShowModel">
                <anchor moveWithCells="1" sizeWithCells="1">
                  <from>
                    <xdr:col>5</xdr:col>
                    <xdr:colOff>365760</xdr:colOff>
                    <xdr:row>41</xdr:row>
                    <xdr:rowOff>137160</xdr:rowOff>
                  </from>
                  <to>
                    <xdr:col>9</xdr:col>
                    <xdr:colOff>274320</xdr:colOff>
                    <xdr:row>44</xdr:row>
                    <xdr:rowOff>0</xdr:rowOff>
                  </to>
                </anchor>
              </controlPr>
            </control>
          </mc:Choice>
        </mc:AlternateContent>
        <mc:AlternateContent xmlns:mc="http://schemas.openxmlformats.org/markup-compatibility/2006">
          <mc:Choice Requires="x14">
            <control shapeId="35842" r:id="rId5" name="Button 2">
              <controlPr defaultSize="0" print="0" autoFill="0" autoPict="0" macro="[0]!ExitModel">
                <anchor moveWithCells="1" sizeWithCells="1">
                  <from>
                    <xdr:col>12</xdr:col>
                    <xdr:colOff>297180</xdr:colOff>
                    <xdr:row>41</xdr:row>
                    <xdr:rowOff>137160</xdr:rowOff>
                  </from>
                  <to>
                    <xdr:col>16</xdr:col>
                    <xdr:colOff>213360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AB50"/>
  <sheetViews>
    <sheetView showGridLines="0" showRowColHeaders="0" zoomScale="87" zoomScaleNormal="87" workbookViewId="0"/>
  </sheetViews>
  <sheetFormatPr defaultColWidth="0" defaultRowHeight="12" customHeight="1" zeroHeight="1" x14ac:dyDescent="0.25"/>
  <cols>
    <col min="1" max="27" width="9.109375" style="28" customWidth="1"/>
    <col min="28" max="16384" width="9.109375" style="28" hidden="1"/>
  </cols>
  <sheetData>
    <row r="1" spans="1:19" ht="12" customHeight="1" x14ac:dyDescent="0.25">
      <c r="A1" s="239"/>
    </row>
    <row r="2" spans="1:19" ht="12" customHeight="1" x14ac:dyDescent="0.25">
      <c r="S2" s="28" t="s">
        <v>102</v>
      </c>
    </row>
    <row r="3" spans="1:19" ht="12" customHeight="1" x14ac:dyDescent="0.25"/>
    <row r="4" spans="1:19" ht="12" customHeight="1" x14ac:dyDescent="0.25"/>
    <row r="5" spans="1:19" ht="12" customHeight="1" x14ac:dyDescent="0.25"/>
    <row r="6" spans="1:19" ht="12" customHeight="1" x14ac:dyDescent="0.25"/>
    <row r="7" spans="1:19" ht="12" customHeight="1" x14ac:dyDescent="0.25"/>
    <row r="8" spans="1:19" ht="12" customHeight="1" x14ac:dyDescent="0.25"/>
    <row r="9" spans="1:19" ht="12" customHeight="1" x14ac:dyDescent="0.25"/>
    <row r="10" spans="1:19" ht="12" customHeight="1" x14ac:dyDescent="0.25"/>
    <row r="11" spans="1:19" ht="12" customHeight="1" x14ac:dyDescent="0.25"/>
    <row r="12" spans="1:19" ht="12" customHeight="1" x14ac:dyDescent="0.25"/>
    <row r="13" spans="1:19" ht="12" customHeight="1" x14ac:dyDescent="0.25"/>
    <row r="14" spans="1:19" ht="12" customHeight="1" x14ac:dyDescent="0.25"/>
    <row r="15" spans="1:19" ht="12" customHeight="1" x14ac:dyDescent="0.25"/>
    <row r="16" spans="1:19"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spans="28:28" ht="12" customHeight="1" x14ac:dyDescent="0.25"/>
    <row r="50" spans="28:28" ht="12" customHeight="1" x14ac:dyDescent="0.25">
      <c r="AB50" s="239" t="s">
        <v>209</v>
      </c>
    </row>
  </sheetData>
  <pageMargins left="0.7" right="0.7" top="0.75" bottom="0.75" header="0.3" footer="0.3"/>
  <pageSetup paperSize="9" orientation="portrait" r:id="rId1"/>
  <headerFooter>
    <oddFooter>&amp;C&amp;7&amp;B&amp;"Arial"Document Classification: KPMG Confidential</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outlinePr summaryBelow="0" summaryRight="0"/>
  </sheetPr>
  <dimension ref="A1:R210"/>
  <sheetViews>
    <sheetView showGridLines="0" zoomScale="85" zoomScaleNormal="85" workbookViewId="0">
      <pane xSplit="8" ySplit="4" topLeftCell="I5" activePane="bottomRight" state="frozen"/>
      <selection activeCell="L7" sqref="L7"/>
      <selection pane="topRight" activeCell="L7" sqref="L7"/>
      <selection pane="bottomLeft" activeCell="L7" sqref="L7"/>
      <selection pane="bottomRight" activeCell="N18" sqref="N18"/>
    </sheetView>
  </sheetViews>
  <sheetFormatPr defaultColWidth="0" defaultRowHeight="12" customHeight="1" outlineLevelRow="3" x14ac:dyDescent="0.25"/>
  <cols>
    <col min="1" max="1" width="3.6640625" style="28" customWidth="1"/>
    <col min="2" max="2" width="5.6640625" style="28" customWidth="1"/>
    <col min="3" max="3" width="6.6640625" style="28" customWidth="1"/>
    <col min="4" max="4" width="5.6640625" style="28" customWidth="1"/>
    <col min="5" max="5" width="3" style="28" customWidth="1"/>
    <col min="6" max="6" width="75.44140625" style="28" customWidth="1"/>
    <col min="7" max="7" width="15.109375" style="28" customWidth="1"/>
    <col min="8" max="8" width="15.5546875" style="77" customWidth="1"/>
    <col min="9" max="11" width="12.109375" style="28" customWidth="1"/>
    <col min="12" max="12" width="3" style="28" customWidth="1"/>
    <col min="13" max="13" width="14.88671875" style="28" bestFit="1" customWidth="1"/>
    <col min="14" max="15" width="16.44140625" style="28" bestFit="1" customWidth="1"/>
    <col min="16" max="16" width="16.5546875" style="28" bestFit="1" customWidth="1"/>
    <col min="17" max="17" width="2.6640625" style="28" customWidth="1"/>
    <col min="18" max="18" width="35.44140625" style="28" customWidth="1"/>
    <col min="19" max="16384" width="9.109375" style="28" hidden="1"/>
  </cols>
  <sheetData>
    <row r="1" spans="1:18" ht="12" customHeight="1" thickBot="1" x14ac:dyDescent="0.3">
      <c r="A1" s="1" t="str">
        <f ca="1">MID(CELL("filename"),SEARCH("[",CELL("filename"))+1, SEARCH("]",CELL("filename"))-SEARCH("[",CELL("filename"))-1)</f>
        <v>Project Horeco_190409_1810.xlsm</v>
      </c>
      <c r="B1" s="1"/>
      <c r="C1" s="1"/>
      <c r="D1" s="1"/>
      <c r="E1" s="1"/>
      <c r="F1" s="1"/>
      <c r="G1" s="1"/>
      <c r="H1" s="149"/>
      <c r="I1" s="150"/>
      <c r="J1" s="150"/>
      <c r="K1" s="150"/>
      <c r="L1" s="151"/>
      <c r="M1" s="151"/>
      <c r="N1" s="151"/>
      <c r="O1" s="151"/>
      <c r="P1" s="151"/>
      <c r="Q1" s="152"/>
      <c r="R1" s="152"/>
    </row>
    <row r="2" spans="1:18" ht="12" customHeight="1" thickBot="1" x14ac:dyDescent="0.3">
      <c r="A2" s="1" t="str">
        <f ca="1">RIGHT(CELL("filename",A2),LEN(CELL("filename",A2))-FIND("]",CELL("filename",A2)))</f>
        <v>0.2.Parameters</v>
      </c>
      <c r="B2" s="1"/>
      <c r="C2" s="1"/>
      <c r="D2" s="1"/>
      <c r="E2" s="1"/>
      <c r="F2" s="1"/>
      <c r="G2" s="8"/>
      <c r="H2" s="153">
        <v>1</v>
      </c>
      <c r="I2" s="920" t="s">
        <v>158</v>
      </c>
      <c r="J2" s="921"/>
      <c r="K2" s="921"/>
      <c r="L2" s="154"/>
      <c r="M2" s="922" t="s">
        <v>157</v>
      </c>
      <c r="N2" s="922"/>
      <c r="O2" s="922"/>
      <c r="P2" s="922"/>
      <c r="Q2" s="152"/>
      <c r="R2" s="152"/>
    </row>
    <row r="3" spans="1:18" ht="12" customHeight="1" x14ac:dyDescent="0.25">
      <c r="A3" s="1"/>
      <c r="B3" s="1"/>
      <c r="C3" s="1"/>
      <c r="D3" s="1"/>
      <c r="E3" s="1"/>
      <c r="F3" s="1"/>
      <c r="G3" s="1"/>
      <c r="H3" s="155"/>
      <c r="I3" s="156" t="s">
        <v>124</v>
      </c>
      <c r="J3" s="156" t="s">
        <v>125</v>
      </c>
      <c r="K3" s="156" t="s">
        <v>126</v>
      </c>
      <c r="L3" s="83"/>
      <c r="M3" s="156" t="s">
        <v>262</v>
      </c>
      <c r="N3" s="156" t="s">
        <v>263</v>
      </c>
      <c r="O3" s="156" t="s">
        <v>264</v>
      </c>
      <c r="P3" s="156" t="s">
        <v>265</v>
      </c>
      <c r="Q3" s="152"/>
      <c r="R3" s="152" t="s">
        <v>11</v>
      </c>
    </row>
    <row r="4" spans="1:18" ht="12" customHeight="1" x14ac:dyDescent="0.25">
      <c r="A4" s="1"/>
      <c r="B4" s="1"/>
      <c r="C4" s="1"/>
      <c r="D4" s="1"/>
      <c r="E4" s="1"/>
      <c r="F4" s="1"/>
      <c r="G4" s="83" t="s">
        <v>8</v>
      </c>
      <c r="H4" s="157" t="s">
        <v>127</v>
      </c>
      <c r="I4" s="158">
        <v>1</v>
      </c>
      <c r="J4" s="159">
        <v>2</v>
      </c>
      <c r="K4" s="158">
        <v>3</v>
      </c>
      <c r="L4" s="1"/>
      <c r="M4" s="1"/>
      <c r="N4" s="1"/>
      <c r="O4" s="1"/>
      <c r="P4" s="1"/>
      <c r="Q4" s="152"/>
      <c r="R4" s="152"/>
    </row>
    <row r="5" spans="1:18" ht="12" customHeight="1" x14ac:dyDescent="0.25">
      <c r="B5" s="27"/>
      <c r="C5" s="27"/>
      <c r="D5" s="27"/>
      <c r="G5" s="10"/>
      <c r="H5" s="160"/>
      <c r="I5" s="161"/>
      <c r="J5" s="161"/>
      <c r="K5" s="161"/>
      <c r="L5" s="10"/>
      <c r="M5" s="10"/>
      <c r="N5" s="10"/>
      <c r="O5" s="10"/>
      <c r="P5" s="10"/>
      <c r="Q5" s="10"/>
    </row>
    <row r="6" spans="1:18" ht="12" customHeight="1" x14ac:dyDescent="0.25">
      <c r="A6" s="14">
        <f ca="1">MAX($A$1:A5)+1</f>
        <v>1</v>
      </c>
      <c r="B6" s="15" t="s">
        <v>130</v>
      </c>
      <c r="C6" s="15"/>
      <c r="D6" s="15"/>
      <c r="E6" s="15"/>
      <c r="F6" s="16"/>
      <c r="G6" s="17"/>
      <c r="H6" s="162"/>
      <c r="I6" s="163"/>
      <c r="J6" s="163"/>
      <c r="K6" s="163"/>
      <c r="L6" s="17"/>
      <c r="M6" s="17"/>
      <c r="N6" s="17"/>
      <c r="O6" s="17"/>
      <c r="P6" s="17"/>
      <c r="Q6" s="10"/>
    </row>
    <row r="7" spans="1:18" ht="12" customHeight="1" outlineLevel="1" x14ac:dyDescent="0.25">
      <c r="B7" s="27"/>
      <c r="C7" s="27"/>
      <c r="D7" s="27"/>
    </row>
    <row r="8" spans="1:18" ht="12" customHeight="1" outlineLevel="1" x14ac:dyDescent="0.25">
      <c r="A8" s="53"/>
      <c r="B8" s="25">
        <f ca="1">MAX($A$1:B7)+0.1</f>
        <v>1.1000000000000001</v>
      </c>
      <c r="C8" s="9" t="s">
        <v>36</v>
      </c>
      <c r="D8" s="27"/>
      <c r="G8" s="10" t="s">
        <v>33</v>
      </c>
      <c r="H8" s="241">
        <f t="shared" ref="H8:H14" si="0">CHOOSE($H$2,CHOOSE($I8,M8,N8,O8,P8),CHOOSE($J8,M8,N8,O8,P8),CHOOSE($K8,M8,N8,O8,P8))</f>
        <v>12</v>
      </c>
      <c r="I8" s="240">
        <v>1</v>
      </c>
      <c r="J8" s="240">
        <v>2</v>
      </c>
      <c r="K8" s="242">
        <v>3</v>
      </c>
      <c r="L8" s="243"/>
      <c r="M8" s="244">
        <v>12</v>
      </c>
      <c r="N8" s="244">
        <v>12</v>
      </c>
      <c r="O8" s="244">
        <v>12</v>
      </c>
      <c r="P8" s="245">
        <v>12</v>
      </c>
    </row>
    <row r="9" spans="1:18" ht="12" customHeight="1" outlineLevel="1" x14ac:dyDescent="0.25">
      <c r="A9" s="53"/>
      <c r="B9" s="25">
        <f ca="1">MAX($A$1:B8)+0.1</f>
        <v>1.2000000000000002</v>
      </c>
      <c r="C9" s="9" t="s">
        <v>35</v>
      </c>
      <c r="D9" s="27"/>
      <c r="G9" s="10" t="s">
        <v>33</v>
      </c>
      <c r="H9" s="241">
        <f t="shared" si="0"/>
        <v>3</v>
      </c>
      <c r="I9" s="240">
        <v>1</v>
      </c>
      <c r="J9" s="240">
        <v>2</v>
      </c>
      <c r="K9" s="242">
        <v>3</v>
      </c>
      <c r="L9" s="243"/>
      <c r="M9" s="244">
        <v>3</v>
      </c>
      <c r="N9" s="244">
        <v>3</v>
      </c>
      <c r="O9" s="244">
        <v>3</v>
      </c>
      <c r="P9" s="245">
        <v>3</v>
      </c>
    </row>
    <row r="10" spans="1:18" ht="12" customHeight="1" outlineLevel="1" x14ac:dyDescent="0.25">
      <c r="A10" s="53"/>
      <c r="B10" s="25">
        <f ca="1">MAX($A$1:B9)+0.1</f>
        <v>1.3000000000000003</v>
      </c>
      <c r="C10" s="86" t="s">
        <v>34</v>
      </c>
      <c r="D10" s="27"/>
      <c r="G10" s="10" t="s">
        <v>33</v>
      </c>
      <c r="H10" s="246">
        <f t="shared" si="0"/>
        <v>1</v>
      </c>
      <c r="I10" s="247">
        <v>1</v>
      </c>
      <c r="J10" s="247">
        <v>2</v>
      </c>
      <c r="K10" s="248">
        <v>3</v>
      </c>
      <c r="L10" s="243"/>
      <c r="M10" s="249">
        <v>1</v>
      </c>
      <c r="N10" s="249">
        <v>1</v>
      </c>
      <c r="O10" s="249">
        <v>1</v>
      </c>
      <c r="P10" s="250">
        <v>1</v>
      </c>
    </row>
    <row r="11" spans="1:18" ht="12" customHeight="1" outlineLevel="1" x14ac:dyDescent="0.25">
      <c r="A11" s="53"/>
      <c r="B11" s="25">
        <f ca="1">MAX($A$1:B10)+0.1</f>
        <v>1.4000000000000004</v>
      </c>
      <c r="C11" s="9" t="s">
        <v>32</v>
      </c>
      <c r="D11" s="27"/>
      <c r="G11" s="10" t="s">
        <v>22</v>
      </c>
      <c r="H11" s="251">
        <f t="shared" si="0"/>
        <v>42370</v>
      </c>
      <c r="I11" s="240">
        <v>1</v>
      </c>
      <c r="J11" s="240">
        <v>2</v>
      </c>
      <c r="K11" s="242">
        <v>3</v>
      </c>
      <c r="L11" s="210"/>
      <c r="M11" s="252">
        <v>42370</v>
      </c>
      <c r="N11" s="252">
        <v>42370</v>
      </c>
      <c r="O11" s="252">
        <v>42370</v>
      </c>
      <c r="P11" s="252">
        <v>42370</v>
      </c>
    </row>
    <row r="12" spans="1:18" ht="12" customHeight="1" outlineLevel="1" x14ac:dyDescent="0.25">
      <c r="A12" s="53"/>
      <c r="B12" s="25">
        <f ca="1">MAX($A$1:B11)+0.1</f>
        <v>1.5000000000000004</v>
      </c>
      <c r="C12" s="9" t="s">
        <v>31</v>
      </c>
      <c r="D12" s="27"/>
      <c r="G12" s="10" t="s">
        <v>14</v>
      </c>
      <c r="H12" s="253">
        <f t="shared" si="0"/>
        <v>24</v>
      </c>
      <c r="I12" s="254">
        <v>1</v>
      </c>
      <c r="J12" s="254">
        <v>2</v>
      </c>
      <c r="K12" s="255">
        <v>3</v>
      </c>
      <c r="L12" s="243"/>
      <c r="M12" s="256">
        <v>24</v>
      </c>
      <c r="N12" s="256">
        <v>24</v>
      </c>
      <c r="O12" s="256">
        <v>24</v>
      </c>
      <c r="P12" s="257">
        <v>24</v>
      </c>
    </row>
    <row r="13" spans="1:18" ht="12" customHeight="1" outlineLevel="1" x14ac:dyDescent="0.25">
      <c r="A13" s="53"/>
      <c r="B13" s="25">
        <f ca="1">MAX($A$1:B12)+0.1</f>
        <v>1.6000000000000005</v>
      </c>
      <c r="C13" s="9" t="s">
        <v>30</v>
      </c>
      <c r="D13" s="27"/>
      <c r="G13" s="10" t="s">
        <v>22</v>
      </c>
      <c r="H13" s="258">
        <f t="shared" si="0"/>
        <v>43466</v>
      </c>
      <c r="I13" s="259">
        <v>1</v>
      </c>
      <c r="J13" s="259">
        <v>2</v>
      </c>
      <c r="K13" s="259">
        <v>3</v>
      </c>
      <c r="L13" s="210"/>
      <c r="M13" s="260">
        <v>43466</v>
      </c>
      <c r="N13" s="260">
        <v>43466</v>
      </c>
      <c r="O13" s="260">
        <v>43466</v>
      </c>
      <c r="P13" s="260">
        <v>43466</v>
      </c>
    </row>
    <row r="14" spans="1:18" ht="12" customHeight="1" outlineLevel="1" x14ac:dyDescent="0.25">
      <c r="A14" s="53"/>
      <c r="B14" s="25">
        <f ca="1">MAX($A$1:B13)+0.1</f>
        <v>1.7000000000000006</v>
      </c>
      <c r="C14" s="9" t="s">
        <v>29</v>
      </c>
      <c r="D14" s="27"/>
      <c r="G14" s="10" t="s">
        <v>12</v>
      </c>
      <c r="H14" s="253">
        <f t="shared" si="0"/>
        <v>1000</v>
      </c>
      <c r="I14" s="261">
        <v>1</v>
      </c>
      <c r="J14" s="261">
        <v>2</v>
      </c>
      <c r="K14" s="262">
        <v>3</v>
      </c>
      <c r="L14" s="243"/>
      <c r="M14" s="263">
        <v>1000</v>
      </c>
      <c r="N14" s="263">
        <v>1000</v>
      </c>
      <c r="O14" s="263">
        <v>1000</v>
      </c>
      <c r="P14" s="264">
        <v>1000</v>
      </c>
    </row>
    <row r="15" spans="1:18" ht="12" customHeight="1" outlineLevel="1" x14ac:dyDescent="0.25">
      <c r="A15" s="53"/>
      <c r="B15" s="25">
        <f ca="1">MAX($A$1:B14)+0.1</f>
        <v>1.8000000000000007</v>
      </c>
      <c r="C15" s="9" t="s">
        <v>29</v>
      </c>
      <c r="D15" s="27"/>
      <c r="G15" s="10" t="s">
        <v>12</v>
      </c>
      <c r="H15" s="265" t="str">
        <f>IF(H14=1,"",IF(H14=1000,"thd",IF(H14=1000000,"mn","clarify")))</f>
        <v>thd</v>
      </c>
      <c r="I15" s="210"/>
      <c r="J15" s="210"/>
      <c r="K15" s="210"/>
      <c r="L15" s="210"/>
      <c r="M15" s="210"/>
      <c r="N15" s="210"/>
      <c r="O15" s="210"/>
      <c r="P15" s="210"/>
    </row>
    <row r="16" spans="1:18" ht="12" customHeight="1" x14ac:dyDescent="0.25">
      <c r="B16" s="164"/>
      <c r="C16" s="9"/>
      <c r="D16" s="27"/>
      <c r="H16" s="269"/>
      <c r="I16" s="210"/>
      <c r="J16" s="210"/>
      <c r="K16" s="210"/>
      <c r="L16" s="210"/>
      <c r="M16" s="210"/>
      <c r="N16" s="210"/>
      <c r="O16" s="210"/>
      <c r="P16" s="210"/>
    </row>
    <row r="17" spans="1:18" ht="12" customHeight="1" x14ac:dyDescent="0.25">
      <c r="A17" s="14">
        <f ca="1">MAX($A$1:A16)+1</f>
        <v>2</v>
      </c>
      <c r="B17" s="15" t="s">
        <v>59</v>
      </c>
      <c r="C17" s="15"/>
      <c r="D17" s="15"/>
      <c r="E17" s="15"/>
      <c r="F17" s="16"/>
      <c r="G17" s="17"/>
      <c r="H17" s="266"/>
      <c r="I17" s="267"/>
      <c r="J17" s="267"/>
      <c r="K17" s="267"/>
      <c r="L17" s="268"/>
      <c r="M17" s="268"/>
      <c r="N17" s="268"/>
      <c r="O17" s="268"/>
      <c r="P17" s="268"/>
      <c r="Q17" s="10"/>
    </row>
    <row r="18" spans="1:18" ht="12" customHeight="1" outlineLevel="1" x14ac:dyDescent="0.25">
      <c r="B18" s="27"/>
      <c r="C18" s="27"/>
      <c r="D18" s="27"/>
      <c r="H18" s="269"/>
      <c r="I18" s="210"/>
      <c r="J18" s="210"/>
      <c r="K18" s="210"/>
      <c r="L18" s="210"/>
      <c r="M18" s="210"/>
      <c r="N18" s="210"/>
      <c r="O18" s="210"/>
      <c r="P18" s="210"/>
    </row>
    <row r="19" spans="1:18" ht="12" customHeight="1" outlineLevel="1" x14ac:dyDescent="0.25">
      <c r="A19" s="53"/>
      <c r="B19" s="164">
        <f ca="1">MAX($A$1:B18)+0.01</f>
        <v>2.0099999999999998</v>
      </c>
      <c r="C19" s="9" t="str">
        <f>'1.2.Historical IS'!F24</f>
        <v>Salaries</v>
      </c>
      <c r="D19" s="27"/>
      <c r="H19" s="269"/>
      <c r="I19" s="210"/>
      <c r="J19" s="210"/>
      <c r="K19" s="210"/>
      <c r="L19" s="210"/>
      <c r="M19" s="210"/>
      <c r="N19" s="210"/>
      <c r="O19" s="210"/>
      <c r="P19" s="210"/>
    </row>
    <row r="20" spans="1:18" ht="12" customHeight="1" outlineLevel="1" x14ac:dyDescent="0.25">
      <c r="A20" s="53"/>
      <c r="B20" s="164"/>
      <c r="C20" s="9"/>
      <c r="D20" s="27" t="s">
        <v>164</v>
      </c>
      <c r="H20" s="269"/>
      <c r="I20" s="210"/>
      <c r="J20" s="210"/>
      <c r="K20" s="210"/>
      <c r="L20" s="210"/>
      <c r="M20" s="210"/>
      <c r="N20" s="210"/>
      <c r="O20" s="210"/>
      <c r="P20" s="210"/>
    </row>
    <row r="21" spans="1:18" ht="12" customHeight="1" outlineLevel="3" x14ac:dyDescent="0.25">
      <c r="A21" s="47"/>
      <c r="B21" s="165"/>
      <c r="C21" s="43"/>
      <c r="D21" s="27"/>
      <c r="F21" s="239" t="s">
        <v>254</v>
      </c>
      <c r="G21" s="28" t="s">
        <v>12</v>
      </c>
      <c r="H21" s="270">
        <f t="shared" ref="H21" si="1">CHOOSE($H$2,CHOOSE($I21,M21,N21,O21,P21),CHOOSE($J21,M21,N21,O21,P21),CHOOSE($K21,M21,N21,O21,P21))</f>
        <v>1</v>
      </c>
      <c r="I21" s="240">
        <v>1</v>
      </c>
      <c r="J21" s="240">
        <v>2</v>
      </c>
      <c r="K21" s="242">
        <v>3</v>
      </c>
      <c r="L21" s="271"/>
      <c r="M21" s="400">
        <v>1</v>
      </c>
      <c r="N21" s="400">
        <v>1</v>
      </c>
      <c r="O21" s="400">
        <v>1</v>
      </c>
      <c r="P21" s="401">
        <v>1</v>
      </c>
      <c r="Q21" s="40"/>
      <c r="R21" s="40"/>
    </row>
    <row r="22" spans="1:18" ht="12" customHeight="1" outlineLevel="3" x14ac:dyDescent="0.25">
      <c r="A22" s="47"/>
      <c r="B22" s="165"/>
      <c r="C22" s="43"/>
      <c r="D22" s="27" t="s">
        <v>165</v>
      </c>
      <c r="G22" s="28" t="s">
        <v>12</v>
      </c>
      <c r="H22" s="270" t="str">
        <f>CHOOSE($H$2,CHOOSE($I22,M22,N22,O22,P22),CHOOSE($J22,M22,N22,O22,P22),CHOOSE($K22,M22,N22,O22,P22))</f>
        <v>Last</v>
      </c>
      <c r="I22" s="240">
        <v>1</v>
      </c>
      <c r="J22" s="240">
        <v>2</v>
      </c>
      <c r="K22" s="242">
        <v>3</v>
      </c>
      <c r="L22" s="271"/>
      <c r="M22" s="274" t="s">
        <v>135</v>
      </c>
      <c r="N22" s="274" t="s">
        <v>135</v>
      </c>
      <c r="O22" s="274" t="s">
        <v>135</v>
      </c>
      <c r="P22" s="275" t="s">
        <v>135</v>
      </c>
      <c r="Q22" s="40"/>
      <c r="R22" s="40"/>
    </row>
    <row r="23" spans="1:18" ht="12" customHeight="1" outlineLevel="1" x14ac:dyDescent="0.25">
      <c r="A23" s="53"/>
      <c r="B23" s="164">
        <f ca="1">MAX($A$1:B22)+0.01</f>
        <v>2.0199999999999996</v>
      </c>
      <c r="C23" s="9" t="str">
        <f>'1.2.Historical IS'!F25</f>
        <v>Social security contributions</v>
      </c>
      <c r="D23" s="27"/>
      <c r="H23" s="269"/>
      <c r="I23" s="210"/>
      <c r="J23" s="210"/>
      <c r="K23" s="210"/>
      <c r="L23" s="210"/>
      <c r="M23" s="210"/>
      <c r="N23" s="210"/>
      <c r="O23" s="210"/>
      <c r="P23" s="210"/>
    </row>
    <row r="24" spans="1:18" ht="12" customHeight="1" outlineLevel="1" x14ac:dyDescent="0.25">
      <c r="A24" s="53"/>
      <c r="B24" s="164"/>
      <c r="C24" s="9"/>
      <c r="D24" s="27" t="s">
        <v>164</v>
      </c>
      <c r="H24" s="269"/>
      <c r="I24" s="210"/>
      <c r="J24" s="210"/>
      <c r="K24" s="210"/>
      <c r="L24" s="210"/>
      <c r="M24" s="210"/>
      <c r="N24" s="210"/>
      <c r="O24" s="210"/>
      <c r="P24" s="210"/>
    </row>
    <row r="25" spans="1:18" ht="12" customHeight="1" outlineLevel="3" x14ac:dyDescent="0.25">
      <c r="A25" s="47"/>
      <c r="B25" s="165"/>
      <c r="C25" s="43"/>
      <c r="D25" s="27"/>
      <c r="F25" s="239" t="s">
        <v>293</v>
      </c>
      <c r="G25" s="28" t="s">
        <v>12</v>
      </c>
      <c r="H25" s="270">
        <f t="shared" ref="H25" si="2">CHOOSE($H$2,CHOOSE($I25,M25,N25,O25,P25),CHOOSE($J25,M25,N25,O25,P25),CHOOSE($K25,M25,N25,O25,P25))</f>
        <v>1</v>
      </c>
      <c r="I25" s="240">
        <v>1</v>
      </c>
      <c r="J25" s="240">
        <v>2</v>
      </c>
      <c r="K25" s="242">
        <v>3</v>
      </c>
      <c r="L25" s="271"/>
      <c r="M25" s="272">
        <v>1</v>
      </c>
      <c r="N25" s="272">
        <v>1</v>
      </c>
      <c r="O25" s="272">
        <v>1</v>
      </c>
      <c r="P25" s="273">
        <v>1</v>
      </c>
      <c r="Q25" s="40"/>
      <c r="R25" s="40"/>
    </row>
    <row r="26" spans="1:18" ht="12" customHeight="1" outlineLevel="3" x14ac:dyDescent="0.25">
      <c r="A26" s="47"/>
      <c r="B26" s="165"/>
      <c r="C26" s="43"/>
      <c r="D26" s="27" t="s">
        <v>165</v>
      </c>
      <c r="G26" s="28" t="s">
        <v>12</v>
      </c>
      <c r="H26" s="270" t="str">
        <f>CHOOSE($H$2,CHOOSE($I26,M26,N26,O26,P26),CHOOSE($J26,M26,N26,O26,P26),CHOOSE($K26,M26,N26,O26,P26))</f>
        <v>Last</v>
      </c>
      <c r="I26" s="240">
        <v>1</v>
      </c>
      <c r="J26" s="240">
        <v>2</v>
      </c>
      <c r="K26" s="242">
        <v>3</v>
      </c>
      <c r="L26" s="271"/>
      <c r="M26" s="274" t="s">
        <v>135</v>
      </c>
      <c r="N26" s="274" t="s">
        <v>116</v>
      </c>
      <c r="O26" s="274" t="s">
        <v>135</v>
      </c>
      <c r="P26" s="275" t="s">
        <v>135</v>
      </c>
      <c r="Q26" s="40"/>
      <c r="R26" s="40"/>
    </row>
    <row r="27" spans="1:18" ht="12" customHeight="1" outlineLevel="1" x14ac:dyDescent="0.25">
      <c r="A27" s="53"/>
      <c r="B27" s="164">
        <f ca="1">MAX($A$1:B26)+0.01</f>
        <v>2.0299999999999994</v>
      </c>
      <c r="C27" s="9" t="str">
        <f>'1.2.Historical IS'!F26</f>
        <v>Meal tickets</v>
      </c>
      <c r="D27" s="27"/>
      <c r="H27" s="269"/>
      <c r="I27" s="210"/>
      <c r="J27" s="210"/>
      <c r="K27" s="210"/>
      <c r="L27" s="210"/>
      <c r="M27" s="210"/>
      <c r="N27" s="210"/>
      <c r="O27" s="210"/>
      <c r="P27" s="210"/>
    </row>
    <row r="28" spans="1:18" ht="12" customHeight="1" outlineLevel="1" x14ac:dyDescent="0.25">
      <c r="A28" s="53"/>
      <c r="B28" s="164"/>
      <c r="C28" s="9"/>
      <c r="D28" s="27" t="s">
        <v>164</v>
      </c>
      <c r="H28" s="269"/>
      <c r="I28" s="210"/>
      <c r="J28" s="210"/>
      <c r="K28" s="210"/>
      <c r="L28" s="210"/>
      <c r="M28" s="210"/>
      <c r="N28" s="210"/>
      <c r="O28" s="210"/>
      <c r="P28" s="210"/>
    </row>
    <row r="29" spans="1:18" ht="12" customHeight="1" outlineLevel="3" x14ac:dyDescent="0.25">
      <c r="A29" s="47"/>
      <c r="B29" s="165"/>
      <c r="C29" s="43"/>
      <c r="D29" s="27"/>
      <c r="F29" s="239" t="s">
        <v>293</v>
      </c>
      <c r="G29" s="28" t="s">
        <v>12</v>
      </c>
      <c r="H29" s="270">
        <f t="shared" ref="H29" si="3">CHOOSE($H$2,CHOOSE($I29,M29,N29,O29,P29),CHOOSE($J29,M29,N29,O29,P29),CHOOSE($K29,M29,N29,O29,P29))</f>
        <v>1</v>
      </c>
      <c r="I29" s="240">
        <v>1</v>
      </c>
      <c r="J29" s="240">
        <v>2</v>
      </c>
      <c r="K29" s="242">
        <v>3</v>
      </c>
      <c r="L29" s="271"/>
      <c r="M29" s="272">
        <v>1</v>
      </c>
      <c r="N29" s="272">
        <v>1</v>
      </c>
      <c r="O29" s="272">
        <v>1</v>
      </c>
      <c r="P29" s="273">
        <v>1</v>
      </c>
      <c r="Q29" s="40"/>
      <c r="R29" s="40"/>
    </row>
    <row r="30" spans="1:18" ht="12" customHeight="1" outlineLevel="3" x14ac:dyDescent="0.25">
      <c r="A30" s="47"/>
      <c r="B30" s="165"/>
      <c r="C30" s="43"/>
      <c r="D30" s="27" t="s">
        <v>165</v>
      </c>
      <c r="G30" s="28" t="s">
        <v>12</v>
      </c>
      <c r="H30" s="270" t="str">
        <f>CHOOSE($H$2,CHOOSE($I30,M30,N30,O30,P30),CHOOSE($J30,M30,N30,O30,P30),CHOOSE($K30,M30,N30,O30,P30))</f>
        <v>Last</v>
      </c>
      <c r="I30" s="240">
        <v>1</v>
      </c>
      <c r="J30" s="240">
        <v>2</v>
      </c>
      <c r="K30" s="242">
        <v>3</v>
      </c>
      <c r="L30" s="271"/>
      <c r="M30" s="274" t="s">
        <v>135</v>
      </c>
      <c r="N30" s="274" t="s">
        <v>135</v>
      </c>
      <c r="O30" s="274" t="s">
        <v>135</v>
      </c>
      <c r="P30" s="275" t="s">
        <v>135</v>
      </c>
      <c r="Q30" s="40"/>
      <c r="R30" s="40"/>
    </row>
    <row r="31" spans="1:18" ht="12" customHeight="1" outlineLevel="3" x14ac:dyDescent="0.25">
      <c r="A31" s="47"/>
      <c r="B31" s="164">
        <f ca="1">MAX($A$1:B28)+0.01</f>
        <v>2.0399999999999991</v>
      </c>
      <c r="C31" s="27" t="str">
        <f>'1.2.Historical IS'!F28</f>
        <v>Raw materials, of which:</v>
      </c>
      <c r="D31" s="27"/>
      <c r="H31" s="269"/>
      <c r="I31" s="210"/>
      <c r="J31" s="210"/>
      <c r="K31" s="210"/>
      <c r="L31" s="210"/>
      <c r="M31" s="210"/>
      <c r="N31" s="210"/>
      <c r="O31" s="210"/>
      <c r="P31" s="210"/>
      <c r="Q31" s="40"/>
      <c r="R31" s="40"/>
    </row>
    <row r="32" spans="1:18" ht="12" customHeight="1" outlineLevel="3" x14ac:dyDescent="0.25">
      <c r="A32" s="47"/>
      <c r="B32" s="164"/>
      <c r="D32" s="27" t="s">
        <v>164</v>
      </c>
      <c r="H32" s="269"/>
      <c r="I32" s="210"/>
      <c r="J32" s="210"/>
      <c r="K32" s="210"/>
      <c r="L32" s="210"/>
      <c r="M32" s="210"/>
      <c r="N32" s="210"/>
      <c r="O32" s="210"/>
      <c r="P32" s="210"/>
      <c r="Q32" s="40"/>
      <c r="R32" s="40"/>
    </row>
    <row r="33" spans="1:18" ht="12" customHeight="1" outlineLevel="3" x14ac:dyDescent="0.25">
      <c r="A33" s="47"/>
      <c r="B33" s="165"/>
      <c r="D33" s="27"/>
      <c r="F33" s="239" t="s">
        <v>294</v>
      </c>
      <c r="G33" s="28" t="s">
        <v>12</v>
      </c>
      <c r="H33" s="270">
        <f t="shared" ref="H33" si="4">CHOOSE($H$2,CHOOSE($I33,M33,N33,O33,P33),CHOOSE($J33,M33,N33,O33,P33),CHOOSE($K33,M33,N33,O33,P33))</f>
        <v>1</v>
      </c>
      <c r="I33" s="240">
        <v>1</v>
      </c>
      <c r="J33" s="240">
        <v>2</v>
      </c>
      <c r="K33" s="242">
        <v>3</v>
      </c>
      <c r="L33" s="271"/>
      <c r="M33" s="272">
        <v>1</v>
      </c>
      <c r="N33" s="272">
        <v>1</v>
      </c>
      <c r="O33" s="272">
        <v>1</v>
      </c>
      <c r="P33" s="273">
        <v>1</v>
      </c>
      <c r="Q33" s="40"/>
      <c r="R33" s="40"/>
    </row>
    <row r="34" spans="1:18" ht="12" customHeight="1" outlineLevel="3" x14ac:dyDescent="0.25">
      <c r="A34" s="47"/>
      <c r="B34" s="165"/>
      <c r="D34" s="27" t="s">
        <v>165</v>
      </c>
      <c r="G34" s="28" t="s">
        <v>12</v>
      </c>
      <c r="H34" s="270" t="str">
        <f>CHOOSE($H$2,CHOOSE($I34,M34,N34,O34,P34),CHOOSE($J34,M34,N34,O34,P34),CHOOSE($K34,M34,N34,O34,P34))</f>
        <v>Average</v>
      </c>
      <c r="I34" s="240">
        <v>1</v>
      </c>
      <c r="J34" s="240">
        <v>2</v>
      </c>
      <c r="K34" s="242">
        <v>3</v>
      </c>
      <c r="L34" s="271"/>
      <c r="M34" s="274" t="s">
        <v>116</v>
      </c>
      <c r="N34" s="274" t="s">
        <v>135</v>
      </c>
      <c r="O34" s="274" t="s">
        <v>135</v>
      </c>
      <c r="P34" s="275" t="s">
        <v>135</v>
      </c>
      <c r="Q34" s="40"/>
      <c r="R34" s="40"/>
    </row>
    <row r="35" spans="1:18" ht="12" customHeight="1" outlineLevel="1" x14ac:dyDescent="0.25">
      <c r="A35" s="53"/>
      <c r="B35" s="164">
        <f ca="1">MAX($A$1:B32)+0.01</f>
        <v>2.0499999999999989</v>
      </c>
      <c r="C35" s="27" t="str">
        <f>'1.2.Historical IS'!F31</f>
        <v>Consumables</v>
      </c>
      <c r="D35" s="27"/>
      <c r="H35" s="269"/>
      <c r="I35" s="210"/>
      <c r="J35" s="210"/>
      <c r="K35" s="210"/>
      <c r="L35" s="210"/>
      <c r="M35" s="210"/>
      <c r="N35" s="210"/>
      <c r="O35" s="210"/>
      <c r="P35" s="210"/>
    </row>
    <row r="36" spans="1:18" ht="12" customHeight="1" outlineLevel="1" x14ac:dyDescent="0.25">
      <c r="A36" s="53"/>
      <c r="B36" s="164"/>
      <c r="D36" s="27" t="s">
        <v>164</v>
      </c>
      <c r="H36" s="269"/>
      <c r="I36" s="210"/>
      <c r="J36" s="210"/>
      <c r="K36" s="210"/>
      <c r="L36" s="210"/>
      <c r="M36" s="210"/>
      <c r="N36" s="210"/>
      <c r="O36" s="210"/>
      <c r="P36" s="210"/>
    </row>
    <row r="37" spans="1:18" ht="12" customHeight="1" outlineLevel="3" x14ac:dyDescent="0.25">
      <c r="A37" s="47"/>
      <c r="B37" s="165"/>
      <c r="D37" s="27"/>
      <c r="F37" s="239" t="s">
        <v>294</v>
      </c>
      <c r="G37" s="28" t="s">
        <v>12</v>
      </c>
      <c r="H37" s="270">
        <f t="shared" ref="H37" si="5">CHOOSE($H$2,CHOOSE($I37,M37,N37,O37,P37),CHOOSE($J37,M37,N37,O37,P37),CHOOSE($K37,M37,N37,O37,P37))</f>
        <v>1</v>
      </c>
      <c r="I37" s="240">
        <v>1</v>
      </c>
      <c r="J37" s="240">
        <v>2</v>
      </c>
      <c r="K37" s="242">
        <v>3</v>
      </c>
      <c r="L37" s="271"/>
      <c r="M37" s="272">
        <v>1</v>
      </c>
      <c r="N37" s="272">
        <v>1</v>
      </c>
      <c r="O37" s="272">
        <v>1</v>
      </c>
      <c r="P37" s="273">
        <v>1</v>
      </c>
      <c r="Q37" s="40"/>
      <c r="R37" s="40"/>
    </row>
    <row r="38" spans="1:18" ht="12" customHeight="1" outlineLevel="3" x14ac:dyDescent="0.25">
      <c r="A38" s="47"/>
      <c r="B38" s="165"/>
      <c r="D38" s="27" t="s">
        <v>165</v>
      </c>
      <c r="G38" s="28" t="s">
        <v>12</v>
      </c>
      <c r="H38" s="270" t="str">
        <f>CHOOSE($H$2,CHOOSE($I38,M38,N38,O38,P38),CHOOSE($J38,M38,N38,O38,P38),CHOOSE($K38,M38,N38,O38,P38))</f>
        <v>Average</v>
      </c>
      <c r="I38" s="240">
        <v>1</v>
      </c>
      <c r="J38" s="240">
        <v>2</v>
      </c>
      <c r="K38" s="242">
        <v>3</v>
      </c>
      <c r="L38" s="271"/>
      <c r="M38" s="274" t="s">
        <v>116</v>
      </c>
      <c r="N38" s="274" t="s">
        <v>135</v>
      </c>
      <c r="O38" s="274" t="s">
        <v>135</v>
      </c>
      <c r="P38" s="275" t="s">
        <v>135</v>
      </c>
      <c r="Q38" s="40"/>
      <c r="R38" s="40"/>
    </row>
    <row r="39" spans="1:18" ht="12" customHeight="1" outlineLevel="1" x14ac:dyDescent="0.25">
      <c r="A39" s="53"/>
      <c r="B39" s="164">
        <f ca="1">MAX($A$1:B38)+0.01</f>
        <v>2.0599999999999987</v>
      </c>
      <c r="C39" s="9" t="str">
        <f>'1.2.Historical IS'!F32</f>
        <v>Goods purchased for resale, of which:</v>
      </c>
      <c r="D39" s="27"/>
      <c r="H39" s="269"/>
      <c r="I39" s="210"/>
      <c r="J39" s="210"/>
      <c r="K39" s="210"/>
      <c r="L39" s="210"/>
      <c r="M39" s="210"/>
      <c r="N39" s="210"/>
      <c r="O39" s="210"/>
      <c r="P39" s="210"/>
    </row>
    <row r="40" spans="1:18" ht="12" customHeight="1" outlineLevel="1" x14ac:dyDescent="0.25">
      <c r="A40" s="53"/>
      <c r="B40" s="164"/>
      <c r="C40" s="9"/>
      <c r="D40" s="27" t="s">
        <v>164</v>
      </c>
      <c r="H40" s="269"/>
      <c r="I40" s="210"/>
      <c r="J40" s="210"/>
      <c r="K40" s="210"/>
      <c r="L40" s="210"/>
      <c r="M40" s="210"/>
      <c r="N40" s="210"/>
      <c r="O40" s="210"/>
      <c r="P40" s="210"/>
    </row>
    <row r="41" spans="1:18" ht="12" customHeight="1" outlineLevel="3" x14ac:dyDescent="0.25">
      <c r="A41" s="47"/>
      <c r="B41" s="165"/>
      <c r="C41" s="43"/>
      <c r="D41" s="27"/>
      <c r="F41" s="239" t="s">
        <v>294</v>
      </c>
      <c r="G41" s="28" t="s">
        <v>12</v>
      </c>
      <c r="H41" s="270">
        <f t="shared" ref="H41" si="6">CHOOSE($H$2,CHOOSE($I41,M41,N41,O41,P41),CHOOSE($J41,M41,N41,O41,P41),CHOOSE($K41,M41,N41,O41,P41))</f>
        <v>1</v>
      </c>
      <c r="I41" s="240">
        <v>1</v>
      </c>
      <c r="J41" s="240">
        <v>2</v>
      </c>
      <c r="K41" s="242">
        <v>3</v>
      </c>
      <c r="L41" s="271"/>
      <c r="M41" s="272">
        <v>1</v>
      </c>
      <c r="N41" s="272">
        <v>1</v>
      </c>
      <c r="O41" s="272">
        <v>1</v>
      </c>
      <c r="P41" s="273">
        <v>1</v>
      </c>
      <c r="Q41" s="40"/>
      <c r="R41" s="40"/>
    </row>
    <row r="42" spans="1:18" ht="12" customHeight="1" outlineLevel="3" x14ac:dyDescent="0.25">
      <c r="A42" s="47"/>
      <c r="B42" s="165"/>
      <c r="C42" s="43"/>
      <c r="D42" s="27" t="s">
        <v>165</v>
      </c>
      <c r="G42" s="28" t="s">
        <v>12</v>
      </c>
      <c r="H42" s="270" t="str">
        <f>CHOOSE($H$2,CHOOSE($I42,M42,N42,O42,P42),CHOOSE($J42,M42,N42,O42,P42),CHOOSE($K42,M42,N42,O42,P42))</f>
        <v>Last</v>
      </c>
      <c r="I42" s="240">
        <v>1</v>
      </c>
      <c r="J42" s="240">
        <v>2</v>
      </c>
      <c r="K42" s="242">
        <v>3</v>
      </c>
      <c r="L42" s="271"/>
      <c r="M42" s="274" t="s">
        <v>135</v>
      </c>
      <c r="N42" s="274" t="s">
        <v>116</v>
      </c>
      <c r="O42" s="274" t="s">
        <v>135</v>
      </c>
      <c r="P42" s="275" t="s">
        <v>135</v>
      </c>
      <c r="Q42" s="40"/>
      <c r="R42" s="40"/>
    </row>
    <row r="43" spans="1:18" ht="12" customHeight="1" outlineLevel="1" x14ac:dyDescent="0.25">
      <c r="A43" s="53"/>
      <c r="B43" s="164">
        <f ca="1">MAX($A$1:B42)+0.01</f>
        <v>2.0699999999999985</v>
      </c>
      <c r="C43" s="9" t="str">
        <f>'1.2.Historical IS'!F35</f>
        <v>Trade discounts offered</v>
      </c>
      <c r="D43" s="27"/>
      <c r="H43" s="269"/>
      <c r="I43" s="210"/>
      <c r="J43" s="210"/>
      <c r="K43" s="210"/>
      <c r="L43" s="210"/>
      <c r="M43" s="210"/>
      <c r="N43" s="210"/>
      <c r="O43" s="210"/>
      <c r="P43" s="210"/>
    </row>
    <row r="44" spans="1:18" ht="12" customHeight="1" outlineLevel="1" x14ac:dyDescent="0.25">
      <c r="A44" s="53"/>
      <c r="B44" s="164"/>
      <c r="C44" s="9"/>
      <c r="D44" s="27" t="s">
        <v>164</v>
      </c>
      <c r="H44" s="269"/>
      <c r="I44" s="210"/>
      <c r="J44" s="210"/>
      <c r="K44" s="210"/>
      <c r="L44" s="210"/>
      <c r="M44" s="210"/>
      <c r="N44" s="210"/>
      <c r="O44" s="210"/>
      <c r="P44" s="210"/>
    </row>
    <row r="45" spans="1:18" ht="12" customHeight="1" outlineLevel="3" x14ac:dyDescent="0.25">
      <c r="A45" s="47"/>
      <c r="B45" s="165"/>
      <c r="C45" s="43"/>
      <c r="D45" s="27"/>
      <c r="F45" s="239" t="s">
        <v>294</v>
      </c>
      <c r="G45" s="28" t="s">
        <v>12</v>
      </c>
      <c r="H45" s="270">
        <f t="shared" ref="H45" si="7">CHOOSE($H$2,CHOOSE($I45,M45,N45,O45,P45),CHOOSE($J45,M45,N45,O45,P45),CHOOSE($K45,M45,N45,O45,P45))</f>
        <v>1</v>
      </c>
      <c r="I45" s="240">
        <v>1</v>
      </c>
      <c r="J45" s="240">
        <v>2</v>
      </c>
      <c r="K45" s="242">
        <v>3</v>
      </c>
      <c r="L45" s="271"/>
      <c r="M45" s="272">
        <v>1</v>
      </c>
      <c r="N45" s="272">
        <v>1</v>
      </c>
      <c r="O45" s="272">
        <v>1</v>
      </c>
      <c r="P45" s="273">
        <v>1</v>
      </c>
      <c r="Q45" s="40"/>
      <c r="R45" s="40"/>
    </row>
    <row r="46" spans="1:18" ht="12" customHeight="1" outlineLevel="3" x14ac:dyDescent="0.25">
      <c r="A46" s="47"/>
      <c r="B46" s="165"/>
      <c r="C46" s="43"/>
      <c r="D46" s="27" t="s">
        <v>165</v>
      </c>
      <c r="G46" s="28" t="s">
        <v>12</v>
      </c>
      <c r="H46" s="270" t="str">
        <f>CHOOSE($H$2,CHOOSE($I46,M46,N46,O46,P46),CHOOSE($J46,M46,N46,O46,P46),CHOOSE($K46,M46,N46,O46,P46))</f>
        <v>Last</v>
      </c>
      <c r="I46" s="240">
        <v>1</v>
      </c>
      <c r="J46" s="240">
        <v>2</v>
      </c>
      <c r="K46" s="242">
        <v>3</v>
      </c>
      <c r="L46" s="271"/>
      <c r="M46" s="274" t="s">
        <v>135</v>
      </c>
      <c r="N46" s="274" t="s">
        <v>116</v>
      </c>
      <c r="O46" s="274" t="s">
        <v>135</v>
      </c>
      <c r="P46" s="275" t="s">
        <v>135</v>
      </c>
      <c r="Q46" s="40"/>
      <c r="R46" s="40"/>
    </row>
    <row r="47" spans="1:18" ht="12" customHeight="1" outlineLevel="1" x14ac:dyDescent="0.25">
      <c r="A47" s="53"/>
      <c r="B47" s="164">
        <f ca="1">MAX($A$1:B46)+0.01</f>
        <v>2.0799999999999983</v>
      </c>
      <c r="C47" s="9" t="str">
        <f>'1.2.Historical IS'!F37</f>
        <v>Maintenance and repair</v>
      </c>
      <c r="D47" s="27"/>
      <c r="H47" s="269"/>
      <c r="I47" s="210"/>
      <c r="J47" s="210"/>
      <c r="K47" s="210"/>
      <c r="L47" s="210"/>
      <c r="M47" s="210"/>
      <c r="N47" s="210"/>
      <c r="O47" s="210"/>
      <c r="P47" s="210"/>
    </row>
    <row r="48" spans="1:18" ht="12" customHeight="1" outlineLevel="1" x14ac:dyDescent="0.25">
      <c r="A48" s="53"/>
      <c r="B48" s="164"/>
      <c r="C48" s="9"/>
      <c r="D48" s="27" t="s">
        <v>164</v>
      </c>
      <c r="H48" s="269"/>
      <c r="I48" s="210"/>
      <c r="J48" s="210"/>
      <c r="K48" s="210"/>
      <c r="L48" s="210"/>
      <c r="M48" s="210"/>
      <c r="N48" s="210"/>
      <c r="O48" s="210"/>
      <c r="P48" s="210"/>
    </row>
    <row r="49" spans="1:18" ht="12" customHeight="1" outlineLevel="3" x14ac:dyDescent="0.25">
      <c r="A49" s="47"/>
      <c r="B49" s="165"/>
      <c r="C49" s="43"/>
      <c r="D49" s="27"/>
      <c r="F49" s="239" t="s">
        <v>294</v>
      </c>
      <c r="G49" s="28" t="s">
        <v>12</v>
      </c>
      <c r="H49" s="270">
        <f t="shared" ref="H49" si="8">CHOOSE($H$2,CHOOSE($I49,M49,N49,O49,P49),CHOOSE($J49,M49,N49,O49,P49),CHOOSE($K49,M49,N49,O49,P49))</f>
        <v>1</v>
      </c>
      <c r="I49" s="240">
        <v>1</v>
      </c>
      <c r="J49" s="240">
        <v>2</v>
      </c>
      <c r="K49" s="242">
        <v>3</v>
      </c>
      <c r="L49" s="271"/>
      <c r="M49" s="272">
        <v>1</v>
      </c>
      <c r="N49" s="272">
        <v>1</v>
      </c>
      <c r="O49" s="272">
        <v>1</v>
      </c>
      <c r="P49" s="273">
        <v>1</v>
      </c>
      <c r="Q49" s="40"/>
      <c r="R49" s="40"/>
    </row>
    <row r="50" spans="1:18" ht="12" customHeight="1" outlineLevel="3" x14ac:dyDescent="0.25">
      <c r="A50" s="47"/>
      <c r="B50" s="165"/>
      <c r="C50" s="43"/>
      <c r="D50" s="27" t="s">
        <v>165</v>
      </c>
      <c r="G50" s="28" t="s">
        <v>12</v>
      </c>
      <c r="H50" s="270" t="str">
        <f>CHOOSE($H$2,CHOOSE($I50,M50,N50,O50,P50),CHOOSE($J50,M50,N50,O50,P50),CHOOSE($K50,M50,N50,O50,P50))</f>
        <v>Average</v>
      </c>
      <c r="I50" s="240">
        <v>1</v>
      </c>
      <c r="J50" s="240">
        <v>2</v>
      </c>
      <c r="K50" s="242">
        <v>3</v>
      </c>
      <c r="L50" s="271"/>
      <c r="M50" s="274" t="s">
        <v>116</v>
      </c>
      <c r="N50" s="274" t="s">
        <v>135</v>
      </c>
      <c r="O50" s="274" t="s">
        <v>135</v>
      </c>
      <c r="P50" s="275" t="s">
        <v>135</v>
      </c>
      <c r="Q50" s="40"/>
      <c r="R50" s="40"/>
    </row>
    <row r="51" spans="1:18" ht="12" customHeight="1" outlineLevel="1" x14ac:dyDescent="0.25">
      <c r="A51" s="53"/>
      <c r="B51" s="164">
        <f ca="1">MAX($A$1:B50)+0.01</f>
        <v>2.0899999999999981</v>
      </c>
      <c r="C51" s="9" t="str">
        <f>'1.2.Historical IS'!F38</f>
        <v>Royalties and rental expenses</v>
      </c>
      <c r="D51" s="27"/>
      <c r="H51" s="269"/>
      <c r="I51" s="210"/>
      <c r="J51" s="210"/>
      <c r="K51" s="210"/>
      <c r="L51" s="210"/>
      <c r="M51" s="210"/>
      <c r="N51" s="210"/>
      <c r="O51" s="210"/>
      <c r="P51" s="210"/>
    </row>
    <row r="52" spans="1:18" ht="12" customHeight="1" outlineLevel="1" x14ac:dyDescent="0.25">
      <c r="A52" s="53"/>
      <c r="B52" s="164"/>
      <c r="C52" s="9"/>
      <c r="D52" s="27" t="s">
        <v>164</v>
      </c>
      <c r="H52" s="269"/>
      <c r="I52" s="210"/>
      <c r="J52" s="210"/>
      <c r="K52" s="210"/>
      <c r="L52" s="210"/>
      <c r="M52" s="210"/>
      <c r="N52" s="210"/>
      <c r="O52" s="210"/>
      <c r="P52" s="210"/>
    </row>
    <row r="53" spans="1:18" ht="12" customHeight="1" outlineLevel="3" x14ac:dyDescent="0.25">
      <c r="A53" s="47"/>
      <c r="B53" s="165"/>
      <c r="C53" s="43"/>
      <c r="D53" s="27"/>
      <c r="F53" s="239" t="s">
        <v>294</v>
      </c>
      <c r="G53" s="28" t="s">
        <v>12</v>
      </c>
      <c r="H53" s="270">
        <f t="shared" ref="H53" si="9">CHOOSE($H$2,CHOOSE($I53,M53,N53,O53,P53),CHOOSE($J53,M53,N53,O53,P53),CHOOSE($K53,M53,N53,O53,P53))</f>
        <v>1</v>
      </c>
      <c r="I53" s="240">
        <v>1</v>
      </c>
      <c r="J53" s="240">
        <v>2</v>
      </c>
      <c r="K53" s="242">
        <v>3</v>
      </c>
      <c r="L53" s="271"/>
      <c r="M53" s="272">
        <v>1</v>
      </c>
      <c r="N53" s="272">
        <v>1</v>
      </c>
      <c r="O53" s="272">
        <v>1</v>
      </c>
      <c r="P53" s="273">
        <v>1</v>
      </c>
      <c r="Q53" s="40"/>
      <c r="R53" s="40"/>
    </row>
    <row r="54" spans="1:18" ht="12" customHeight="1" outlineLevel="3" x14ac:dyDescent="0.25">
      <c r="A54" s="47"/>
      <c r="B54" s="165"/>
      <c r="C54" s="43"/>
      <c r="D54" s="27" t="s">
        <v>165</v>
      </c>
      <c r="G54" s="28" t="s">
        <v>12</v>
      </c>
      <c r="H54" s="270" t="str">
        <f>CHOOSE($H$2,CHOOSE($I54,M54,N54,O54,P54),CHOOSE($J54,M54,N54,O54,P54),CHOOSE($K54,M54,N54,O54,P54))</f>
        <v>Last</v>
      </c>
      <c r="I54" s="240">
        <v>1</v>
      </c>
      <c r="J54" s="240">
        <v>2</v>
      </c>
      <c r="K54" s="242">
        <v>3</v>
      </c>
      <c r="L54" s="271"/>
      <c r="M54" s="274" t="s">
        <v>135</v>
      </c>
      <c r="N54" s="274" t="s">
        <v>116</v>
      </c>
      <c r="O54" s="274" t="s">
        <v>135</v>
      </c>
      <c r="P54" s="275" t="s">
        <v>135</v>
      </c>
      <c r="Q54" s="40"/>
      <c r="R54" s="40"/>
    </row>
    <row r="55" spans="1:18" ht="12" customHeight="1" outlineLevel="1" x14ac:dyDescent="0.25">
      <c r="A55" s="53"/>
      <c r="B55" s="164">
        <f ca="1">MAX($A$1:B54)+0.01</f>
        <v>2.0999999999999979</v>
      </c>
      <c r="C55" s="9" t="str">
        <f>'1.2.Historical IS'!F39</f>
        <v>Insurance premiums</v>
      </c>
      <c r="D55" s="27"/>
      <c r="H55" s="269"/>
      <c r="I55" s="210"/>
      <c r="J55" s="210"/>
      <c r="K55" s="210"/>
      <c r="L55" s="210"/>
      <c r="M55" s="210"/>
      <c r="N55" s="210"/>
      <c r="O55" s="210"/>
      <c r="P55" s="210"/>
    </row>
    <row r="56" spans="1:18" ht="12" customHeight="1" outlineLevel="1" x14ac:dyDescent="0.25">
      <c r="A56" s="53"/>
      <c r="B56" s="164"/>
      <c r="C56" s="9"/>
      <c r="D56" s="27" t="s">
        <v>164</v>
      </c>
      <c r="H56" s="269"/>
      <c r="I56" s="210"/>
      <c r="J56" s="210"/>
      <c r="K56" s="210"/>
      <c r="L56" s="210"/>
      <c r="M56" s="210"/>
      <c r="N56" s="210"/>
      <c r="O56" s="210"/>
      <c r="P56" s="210"/>
    </row>
    <row r="57" spans="1:18" ht="12" customHeight="1" outlineLevel="3" x14ac:dyDescent="0.25">
      <c r="A57" s="47"/>
      <c r="B57" s="165"/>
      <c r="C57" s="43"/>
      <c r="D57" s="27"/>
      <c r="F57" s="239" t="s">
        <v>294</v>
      </c>
      <c r="G57" s="28" t="s">
        <v>12</v>
      </c>
      <c r="H57" s="270">
        <f t="shared" ref="H57" si="10">CHOOSE($H$2,CHOOSE($I57,M57,N57,O57,P57),CHOOSE($J57,M57,N57,O57,P57),CHOOSE($K57,M57,N57,O57,P57))</f>
        <v>1</v>
      </c>
      <c r="I57" s="240">
        <v>1</v>
      </c>
      <c r="J57" s="240">
        <v>2</v>
      </c>
      <c r="K57" s="242">
        <v>3</v>
      </c>
      <c r="L57" s="271"/>
      <c r="M57" s="272">
        <v>1</v>
      </c>
      <c r="N57" s="272">
        <v>1</v>
      </c>
      <c r="O57" s="272">
        <v>1</v>
      </c>
      <c r="P57" s="273">
        <v>1</v>
      </c>
      <c r="Q57" s="40"/>
      <c r="R57" s="40"/>
    </row>
    <row r="58" spans="1:18" ht="12" customHeight="1" outlineLevel="3" x14ac:dyDescent="0.25">
      <c r="A58" s="47"/>
      <c r="B58" s="165"/>
      <c r="C58" s="43"/>
      <c r="D58" s="27" t="s">
        <v>165</v>
      </c>
      <c r="G58" s="28" t="s">
        <v>12</v>
      </c>
      <c r="H58" s="270" t="str">
        <f>CHOOSE($H$2,CHOOSE($I58,M58,N58,O58,P58),CHOOSE($J58,M58,N58,O58,P58),CHOOSE($K58,M58,N58,O58,P58))</f>
        <v>Average</v>
      </c>
      <c r="I58" s="240">
        <v>1</v>
      </c>
      <c r="J58" s="240">
        <v>2</v>
      </c>
      <c r="K58" s="242">
        <v>3</v>
      </c>
      <c r="L58" s="271"/>
      <c r="M58" s="274" t="s">
        <v>116</v>
      </c>
      <c r="N58" s="274" t="s">
        <v>135</v>
      </c>
      <c r="O58" s="274" t="s">
        <v>135</v>
      </c>
      <c r="P58" s="275" t="s">
        <v>135</v>
      </c>
      <c r="Q58" s="40"/>
      <c r="R58" s="40"/>
    </row>
    <row r="59" spans="1:18" ht="12" customHeight="1" outlineLevel="1" x14ac:dyDescent="0.25">
      <c r="A59" s="53"/>
      <c r="B59" s="164">
        <f ca="1">MAX($A$1:B58)+0.01</f>
        <v>2.1099999999999977</v>
      </c>
      <c r="C59" s="9" t="str">
        <f>'1.2.Historical IS'!F40</f>
        <v>Entertaining, promotion and advertising</v>
      </c>
      <c r="D59" s="27"/>
      <c r="H59" s="269"/>
      <c r="I59" s="210"/>
      <c r="J59" s="210"/>
      <c r="K59" s="210"/>
      <c r="L59" s="210"/>
      <c r="M59" s="210"/>
      <c r="N59" s="210"/>
      <c r="O59" s="210"/>
      <c r="P59" s="210"/>
    </row>
    <row r="60" spans="1:18" ht="12" customHeight="1" outlineLevel="1" x14ac:dyDescent="0.25">
      <c r="A60" s="53"/>
      <c r="B60" s="164"/>
      <c r="C60" s="9"/>
      <c r="D60" s="27" t="s">
        <v>164</v>
      </c>
      <c r="H60" s="269"/>
      <c r="I60" s="210"/>
      <c r="J60" s="210"/>
      <c r="K60" s="210"/>
      <c r="L60" s="210"/>
      <c r="M60" s="210"/>
      <c r="N60" s="210"/>
      <c r="O60" s="210"/>
      <c r="P60" s="210"/>
    </row>
    <row r="61" spans="1:18" ht="12" customHeight="1" outlineLevel="3" x14ac:dyDescent="0.25">
      <c r="A61" s="47"/>
      <c r="B61" s="165"/>
      <c r="C61" s="43"/>
      <c r="D61" s="27"/>
      <c r="F61" s="239" t="s">
        <v>294</v>
      </c>
      <c r="G61" s="28" t="s">
        <v>12</v>
      </c>
      <c r="H61" s="270">
        <f t="shared" ref="H61" si="11">CHOOSE($H$2,CHOOSE($I61,M61,N61,O61,P61),CHOOSE($J61,M61,N61,O61,P61),CHOOSE($K61,M61,N61,O61,P61))</f>
        <v>1</v>
      </c>
      <c r="I61" s="240">
        <v>1</v>
      </c>
      <c r="J61" s="240">
        <v>2</v>
      </c>
      <c r="K61" s="242">
        <v>3</v>
      </c>
      <c r="L61" s="271"/>
      <c r="M61" s="272">
        <v>1</v>
      </c>
      <c r="N61" s="272">
        <v>1</v>
      </c>
      <c r="O61" s="272">
        <v>1</v>
      </c>
      <c r="P61" s="273">
        <v>1</v>
      </c>
      <c r="Q61" s="40"/>
      <c r="R61" s="40"/>
    </row>
    <row r="62" spans="1:18" ht="12" customHeight="1" outlineLevel="3" x14ac:dyDescent="0.25">
      <c r="A62" s="47"/>
      <c r="B62" s="165"/>
      <c r="C62" s="43"/>
      <c r="D62" s="27" t="s">
        <v>165</v>
      </c>
      <c r="G62" s="28" t="s">
        <v>12</v>
      </c>
      <c r="H62" s="270" t="str">
        <f>CHOOSE($H$2,CHOOSE($I62,M62,N62,O62,P62),CHOOSE($J62,M62,N62,O62,P62),CHOOSE($K62,M62,N62,O62,P62))</f>
        <v>Average</v>
      </c>
      <c r="I62" s="240">
        <v>1</v>
      </c>
      <c r="J62" s="240">
        <v>2</v>
      </c>
      <c r="K62" s="242">
        <v>3</v>
      </c>
      <c r="L62" s="271"/>
      <c r="M62" s="274" t="s">
        <v>116</v>
      </c>
      <c r="N62" s="274" t="s">
        <v>135</v>
      </c>
      <c r="O62" s="274" t="s">
        <v>135</v>
      </c>
      <c r="P62" s="275" t="s">
        <v>135</v>
      </c>
      <c r="Q62" s="40"/>
      <c r="R62" s="40"/>
    </row>
    <row r="63" spans="1:18" ht="12" customHeight="1" outlineLevel="1" x14ac:dyDescent="0.25">
      <c r="A63" s="53"/>
      <c r="B63" s="164">
        <f ca="1">MAX($A$1:B62)+0.01</f>
        <v>2.1199999999999974</v>
      </c>
      <c r="C63" s="9" t="str">
        <f>'1.2.Historical IS'!F41</f>
        <v>Travel &amp; transport</v>
      </c>
      <c r="D63" s="27"/>
      <c r="H63" s="269"/>
      <c r="I63" s="210"/>
      <c r="J63" s="210"/>
      <c r="K63" s="210"/>
      <c r="L63" s="210"/>
      <c r="M63" s="210"/>
      <c r="N63" s="210"/>
      <c r="O63" s="210"/>
      <c r="P63" s="210"/>
    </row>
    <row r="64" spans="1:18" ht="12" customHeight="1" outlineLevel="1" x14ac:dyDescent="0.25">
      <c r="A64" s="53"/>
      <c r="B64" s="164"/>
      <c r="C64" s="9"/>
      <c r="D64" s="27" t="s">
        <v>164</v>
      </c>
      <c r="H64" s="269"/>
      <c r="I64" s="210"/>
      <c r="J64" s="210"/>
      <c r="K64" s="210"/>
      <c r="L64" s="210"/>
      <c r="M64" s="210"/>
      <c r="N64" s="210"/>
      <c r="O64" s="210"/>
      <c r="P64" s="210"/>
    </row>
    <row r="65" spans="1:18" ht="12" customHeight="1" outlineLevel="3" x14ac:dyDescent="0.25">
      <c r="A65" s="47"/>
      <c r="B65" s="165"/>
      <c r="C65" s="43"/>
      <c r="D65" s="27"/>
      <c r="F65" s="239" t="s">
        <v>294</v>
      </c>
      <c r="G65" s="28" t="s">
        <v>12</v>
      </c>
      <c r="H65" s="270">
        <f t="shared" ref="H65" si="12">CHOOSE($H$2,CHOOSE($I65,M65,N65,O65,P65),CHOOSE($J65,M65,N65,O65,P65),CHOOSE($K65,M65,N65,O65,P65))</f>
        <v>1</v>
      </c>
      <c r="I65" s="240">
        <v>1</v>
      </c>
      <c r="J65" s="240">
        <v>2</v>
      </c>
      <c r="K65" s="242">
        <v>3</v>
      </c>
      <c r="L65" s="271"/>
      <c r="M65" s="272">
        <v>1</v>
      </c>
      <c r="N65" s="272">
        <v>1</v>
      </c>
      <c r="O65" s="272">
        <v>1</v>
      </c>
      <c r="P65" s="273">
        <v>1</v>
      </c>
      <c r="Q65" s="40"/>
      <c r="R65" s="40"/>
    </row>
    <row r="66" spans="1:18" ht="12" customHeight="1" outlineLevel="3" x14ac:dyDescent="0.25">
      <c r="A66" s="47"/>
      <c r="B66" s="165"/>
      <c r="C66" s="43"/>
      <c r="D66" s="27" t="s">
        <v>165</v>
      </c>
      <c r="G66" s="28" t="s">
        <v>12</v>
      </c>
      <c r="H66" s="270" t="str">
        <f>CHOOSE($H$2,CHOOSE($I66,M66,N66,O66,P66),CHOOSE($J66,M66,N66,O66,P66),CHOOSE($K66,M66,N66,O66,P66))</f>
        <v>Last</v>
      </c>
      <c r="I66" s="240">
        <v>1</v>
      </c>
      <c r="J66" s="240">
        <v>2</v>
      </c>
      <c r="K66" s="242">
        <v>3</v>
      </c>
      <c r="L66" s="271"/>
      <c r="M66" s="274" t="s">
        <v>135</v>
      </c>
      <c r="N66" s="274" t="s">
        <v>116</v>
      </c>
      <c r="O66" s="274" t="s">
        <v>135</v>
      </c>
      <c r="P66" s="275" t="s">
        <v>135</v>
      </c>
      <c r="Q66" s="40"/>
      <c r="R66" s="40"/>
    </row>
    <row r="67" spans="1:18" ht="12" customHeight="1" outlineLevel="1" x14ac:dyDescent="0.25">
      <c r="A67" s="53"/>
      <c r="B67" s="164">
        <f ca="1">MAX($A$1:B66)+0.01</f>
        <v>2.1299999999999972</v>
      </c>
      <c r="C67" s="9" t="str">
        <f>'1.2.Historical IS'!F42</f>
        <v>Third party services</v>
      </c>
      <c r="D67" s="27"/>
      <c r="H67" s="269"/>
      <c r="I67" s="210"/>
      <c r="J67" s="210"/>
      <c r="K67" s="210"/>
      <c r="L67" s="210"/>
      <c r="M67" s="210"/>
      <c r="N67" s="210"/>
      <c r="O67" s="210"/>
      <c r="P67" s="210"/>
    </row>
    <row r="68" spans="1:18" ht="12" customHeight="1" outlineLevel="1" x14ac:dyDescent="0.25">
      <c r="A68" s="53"/>
      <c r="B68" s="164"/>
      <c r="C68" s="9"/>
      <c r="D68" s="27" t="s">
        <v>164</v>
      </c>
      <c r="H68" s="269"/>
      <c r="I68" s="210"/>
      <c r="J68" s="210"/>
      <c r="K68" s="210"/>
      <c r="L68" s="210"/>
      <c r="M68" s="210"/>
      <c r="N68" s="210"/>
      <c r="O68" s="210"/>
      <c r="P68" s="210"/>
    </row>
    <row r="69" spans="1:18" ht="12" customHeight="1" outlineLevel="3" x14ac:dyDescent="0.25">
      <c r="A69" s="47"/>
      <c r="B69" s="165"/>
      <c r="C69" s="43"/>
      <c r="D69" s="27"/>
      <c r="F69" s="239" t="s">
        <v>294</v>
      </c>
      <c r="G69" s="28" t="s">
        <v>12</v>
      </c>
      <c r="H69" s="270">
        <f t="shared" ref="H69" si="13">CHOOSE($H$2,CHOOSE($I69,M69,N69,O69,P69),CHOOSE($J69,M69,N69,O69,P69),CHOOSE($K69,M69,N69,O69,P69))</f>
        <v>1</v>
      </c>
      <c r="I69" s="240">
        <v>1</v>
      </c>
      <c r="J69" s="240">
        <v>2</v>
      </c>
      <c r="K69" s="242">
        <v>3</v>
      </c>
      <c r="L69" s="271"/>
      <c r="M69" s="272">
        <v>1</v>
      </c>
      <c r="N69" s="272">
        <v>1</v>
      </c>
      <c r="O69" s="272">
        <v>1</v>
      </c>
      <c r="P69" s="273">
        <v>1</v>
      </c>
      <c r="Q69" s="40"/>
      <c r="R69" s="40"/>
    </row>
    <row r="70" spans="1:18" ht="12" customHeight="1" outlineLevel="3" x14ac:dyDescent="0.25">
      <c r="A70" s="47"/>
      <c r="B70" s="165"/>
      <c r="C70" s="43"/>
      <c r="D70" s="27" t="s">
        <v>165</v>
      </c>
      <c r="G70" s="28" t="s">
        <v>12</v>
      </c>
      <c r="H70" s="270" t="str">
        <f>CHOOSE($H$2,CHOOSE($I70,M70,N70,O70,P70),CHOOSE($J70,M70,N70,O70,P70),CHOOSE($K70,M70,N70,O70,P70))</f>
        <v>Average</v>
      </c>
      <c r="I70" s="240">
        <v>1</v>
      </c>
      <c r="J70" s="240">
        <v>2</v>
      </c>
      <c r="K70" s="242">
        <v>3</v>
      </c>
      <c r="L70" s="271"/>
      <c r="M70" s="274" t="s">
        <v>116</v>
      </c>
      <c r="N70" s="274" t="s">
        <v>135</v>
      </c>
      <c r="O70" s="274" t="s">
        <v>135</v>
      </c>
      <c r="P70" s="275" t="s">
        <v>135</v>
      </c>
      <c r="Q70" s="40"/>
      <c r="R70" s="40"/>
    </row>
    <row r="71" spans="1:18" ht="12" customHeight="1" outlineLevel="1" x14ac:dyDescent="0.25">
      <c r="A71" s="53"/>
      <c r="B71" s="164">
        <f ca="1">MAX($A$1:B70)+0.01</f>
        <v>2.139999999999997</v>
      </c>
      <c r="C71" s="9" t="str">
        <f>'1.2.Historical IS'!F43</f>
        <v>Other costs</v>
      </c>
      <c r="D71" s="27"/>
      <c r="H71" s="269"/>
      <c r="I71" s="210"/>
      <c r="J71" s="210"/>
      <c r="K71" s="210"/>
      <c r="L71" s="210"/>
      <c r="M71" s="210"/>
      <c r="N71" s="210"/>
      <c r="O71" s="210"/>
      <c r="P71" s="210"/>
    </row>
    <row r="72" spans="1:18" ht="12" customHeight="1" outlineLevel="1" x14ac:dyDescent="0.25">
      <c r="A72" s="53"/>
      <c r="B72" s="164"/>
      <c r="C72" s="9"/>
      <c r="D72" s="27" t="s">
        <v>164</v>
      </c>
      <c r="H72" s="269"/>
      <c r="I72" s="210"/>
      <c r="J72" s="210"/>
      <c r="K72" s="210"/>
      <c r="L72" s="210"/>
      <c r="M72" s="210"/>
      <c r="N72" s="210"/>
      <c r="O72" s="210"/>
      <c r="P72" s="210"/>
    </row>
    <row r="73" spans="1:18" ht="12" customHeight="1" outlineLevel="3" x14ac:dyDescent="0.25">
      <c r="A73" s="47"/>
      <c r="B73" s="165"/>
      <c r="C73" s="43"/>
      <c r="D73" s="27"/>
      <c r="F73" s="239" t="s">
        <v>294</v>
      </c>
      <c r="G73" s="28" t="s">
        <v>12</v>
      </c>
      <c r="H73" s="270">
        <f t="shared" ref="H73" si="14">CHOOSE($H$2,CHOOSE($I73,M73,N73,O73,P73),CHOOSE($J73,M73,N73,O73,P73),CHOOSE($K73,M73,N73,O73,P73))</f>
        <v>1</v>
      </c>
      <c r="I73" s="240">
        <v>1</v>
      </c>
      <c r="J73" s="240">
        <v>2</v>
      </c>
      <c r="K73" s="242">
        <v>3</v>
      </c>
      <c r="L73" s="271"/>
      <c r="M73" s="272">
        <v>1</v>
      </c>
      <c r="N73" s="272">
        <v>1</v>
      </c>
      <c r="O73" s="272">
        <v>1</v>
      </c>
      <c r="P73" s="273">
        <v>1</v>
      </c>
      <c r="Q73" s="40"/>
      <c r="R73" s="40"/>
    </row>
    <row r="74" spans="1:18" ht="12" customHeight="1" outlineLevel="3" x14ac:dyDescent="0.25">
      <c r="A74" s="47"/>
      <c r="B74" s="165"/>
      <c r="C74" s="43"/>
      <c r="D74" s="27" t="s">
        <v>165</v>
      </c>
      <c r="G74" s="28" t="s">
        <v>12</v>
      </c>
      <c r="H74" s="270" t="str">
        <f>CHOOSE($H$2,CHOOSE($I74,M74,N74,O74,P74),CHOOSE($J74,M74,N74,O74,P74),CHOOSE($K74,M74,N74,O74,P74))</f>
        <v>Average</v>
      </c>
      <c r="I74" s="240">
        <v>1</v>
      </c>
      <c r="J74" s="240">
        <v>2</v>
      </c>
      <c r="K74" s="242">
        <v>3</v>
      </c>
      <c r="L74" s="271"/>
      <c r="M74" s="274" t="s">
        <v>116</v>
      </c>
      <c r="N74" s="274" t="s">
        <v>135</v>
      </c>
      <c r="O74" s="274" t="s">
        <v>135</v>
      </c>
      <c r="P74" s="275" t="s">
        <v>135</v>
      </c>
      <c r="Q74" s="40"/>
      <c r="R74" s="40"/>
    </row>
    <row r="75" spans="1:18" ht="12" customHeight="1" x14ac:dyDescent="0.25">
      <c r="B75" s="164"/>
      <c r="C75" s="9"/>
      <c r="D75" s="27"/>
      <c r="H75" s="269"/>
      <c r="I75" s="210"/>
      <c r="J75" s="210"/>
      <c r="K75" s="210"/>
      <c r="L75" s="210"/>
      <c r="M75" s="210"/>
      <c r="N75" s="210"/>
      <c r="O75" s="210"/>
      <c r="P75" s="210"/>
    </row>
    <row r="76" spans="1:18" ht="12" customHeight="1" x14ac:dyDescent="0.25">
      <c r="A76" s="14">
        <f ca="1">MAX($A$1:A72)+1</f>
        <v>3</v>
      </c>
      <c r="B76" s="15" t="str">
        <f>'1.2.Historical IS'!C50</f>
        <v>Net financial loss / (revenues)</v>
      </c>
      <c r="C76" s="15"/>
      <c r="D76" s="15"/>
      <c r="E76" s="15"/>
      <c r="F76" s="16"/>
      <c r="G76" s="17"/>
      <c r="H76" s="266"/>
      <c r="I76" s="267"/>
      <c r="J76" s="267"/>
      <c r="K76" s="267"/>
      <c r="L76" s="268"/>
      <c r="M76" s="268"/>
      <c r="N76" s="268"/>
      <c r="O76" s="268"/>
      <c r="P76" s="268"/>
    </row>
    <row r="77" spans="1:18" ht="12" customHeight="1" x14ac:dyDescent="0.25">
      <c r="B77" s="164"/>
      <c r="C77" s="9"/>
      <c r="D77" s="27"/>
      <c r="H77" s="269"/>
      <c r="I77" s="210"/>
      <c r="J77" s="210"/>
      <c r="K77" s="210"/>
      <c r="L77" s="210"/>
      <c r="M77" s="210"/>
      <c r="N77" s="210"/>
      <c r="O77" s="210"/>
      <c r="P77" s="210"/>
    </row>
    <row r="78" spans="1:18" ht="12" customHeight="1" x14ac:dyDescent="0.25">
      <c r="B78" s="25">
        <f ca="1">MAX($A$1:A77)+0.1</f>
        <v>3.1</v>
      </c>
      <c r="C78" s="9" t="str">
        <f>'1.2.Historical IS'!F53</f>
        <v>Other financial costs</v>
      </c>
      <c r="D78" s="27"/>
      <c r="H78" s="269"/>
      <c r="I78" s="210"/>
      <c r="J78" s="210"/>
      <c r="K78" s="210"/>
      <c r="L78" s="210"/>
      <c r="M78" s="210"/>
      <c r="N78" s="210"/>
      <c r="O78" s="210"/>
      <c r="P78" s="210"/>
    </row>
    <row r="79" spans="1:18" ht="12" customHeight="1" x14ac:dyDescent="0.25">
      <c r="B79" s="25"/>
      <c r="C79" s="9"/>
      <c r="D79" s="27" t="s">
        <v>164</v>
      </c>
      <c r="H79" s="269"/>
      <c r="I79" s="210"/>
      <c r="J79" s="210"/>
      <c r="K79" s="210"/>
      <c r="L79" s="210"/>
      <c r="M79" s="210"/>
      <c r="N79" s="210"/>
      <c r="O79" s="210"/>
      <c r="P79" s="210"/>
    </row>
    <row r="80" spans="1:18" ht="12" customHeight="1" x14ac:dyDescent="0.25">
      <c r="B80" s="56"/>
      <c r="C80" s="43"/>
      <c r="D80" s="27"/>
      <c r="F80" s="239" t="s">
        <v>294</v>
      </c>
      <c r="G80" s="28" t="s">
        <v>12</v>
      </c>
      <c r="H80" s="270">
        <f t="shared" ref="H80" si="15">CHOOSE($H$2,CHOOSE($I80,M80,N80,O80,P80),CHOOSE($J80,M80,N80,O80,P80),CHOOSE($K80,M80,N80,O80,P80))</f>
        <v>1</v>
      </c>
      <c r="I80" s="240">
        <v>1</v>
      </c>
      <c r="J80" s="240">
        <v>2</v>
      </c>
      <c r="K80" s="242">
        <v>3</v>
      </c>
      <c r="L80" s="271"/>
      <c r="M80" s="272">
        <v>1</v>
      </c>
      <c r="N80" s="272">
        <v>1</v>
      </c>
      <c r="O80" s="272">
        <v>1</v>
      </c>
      <c r="P80" s="273">
        <v>1</v>
      </c>
    </row>
    <row r="81" spans="1:17" ht="12" customHeight="1" x14ac:dyDescent="0.25">
      <c r="B81" s="56"/>
      <c r="C81" s="43"/>
      <c r="D81" s="27" t="s">
        <v>165</v>
      </c>
      <c r="G81" s="28" t="s">
        <v>12</v>
      </c>
      <c r="H81" s="270" t="str">
        <f>CHOOSE($H$2,CHOOSE($I81,M81,N81,O81,P81),CHOOSE($J81,M81,N81,O81,P81),CHOOSE($K81,M81,N81,O81,P81))</f>
        <v>Average</v>
      </c>
      <c r="I81" s="240">
        <v>1</v>
      </c>
      <c r="J81" s="240">
        <v>2</v>
      </c>
      <c r="K81" s="242">
        <v>3</v>
      </c>
      <c r="L81" s="271"/>
      <c r="M81" s="274" t="s">
        <v>116</v>
      </c>
      <c r="N81" s="274" t="s">
        <v>135</v>
      </c>
      <c r="O81" s="274" t="s">
        <v>135</v>
      </c>
      <c r="P81" s="275" t="s">
        <v>135</v>
      </c>
    </row>
    <row r="82" spans="1:17" ht="12" customHeight="1" x14ac:dyDescent="0.25">
      <c r="B82" s="25">
        <f ca="1">MAX($A$1:B81)+0.1</f>
        <v>3.2</v>
      </c>
      <c r="C82" s="9" t="str">
        <f>'1.2.Historical IS'!F56</f>
        <v>Other financial revenues</v>
      </c>
      <c r="D82" s="27"/>
      <c r="H82" s="269"/>
      <c r="I82" s="210"/>
      <c r="J82" s="210"/>
      <c r="K82" s="210"/>
      <c r="L82" s="210"/>
      <c r="M82" s="210"/>
      <c r="N82" s="210"/>
      <c r="O82" s="210"/>
      <c r="P82" s="210"/>
    </row>
    <row r="83" spans="1:17" ht="12" customHeight="1" x14ac:dyDescent="0.25">
      <c r="B83" s="164"/>
      <c r="C83" s="9"/>
      <c r="D83" s="27" t="s">
        <v>164</v>
      </c>
      <c r="H83" s="269"/>
      <c r="I83" s="210"/>
      <c r="J83" s="210"/>
      <c r="K83" s="210"/>
      <c r="L83" s="210"/>
      <c r="M83" s="210"/>
      <c r="N83" s="210"/>
      <c r="O83" s="210"/>
      <c r="P83" s="210"/>
    </row>
    <row r="84" spans="1:17" ht="12" customHeight="1" x14ac:dyDescent="0.25">
      <c r="B84" s="165"/>
      <c r="C84" s="43"/>
      <c r="D84" s="27"/>
      <c r="F84" s="239" t="s">
        <v>294</v>
      </c>
      <c r="G84" s="28" t="s">
        <v>12</v>
      </c>
      <c r="H84" s="270">
        <f t="shared" ref="H84" si="16">CHOOSE($H$2,CHOOSE($I84,M84,N84,O84,P84),CHOOSE($J84,M84,N84,O84,P84),CHOOSE($K84,M84,N84,O84,P84))</f>
        <v>1</v>
      </c>
      <c r="I84" s="240">
        <v>1</v>
      </c>
      <c r="J84" s="240">
        <v>2</v>
      </c>
      <c r="K84" s="242">
        <v>3</v>
      </c>
      <c r="L84" s="271"/>
      <c r="M84" s="272">
        <v>1</v>
      </c>
      <c r="N84" s="272">
        <v>1</v>
      </c>
      <c r="O84" s="272">
        <v>1</v>
      </c>
      <c r="P84" s="273">
        <v>1</v>
      </c>
    </row>
    <row r="85" spans="1:17" ht="12" customHeight="1" x14ac:dyDescent="0.25">
      <c r="B85" s="165"/>
      <c r="C85" s="43"/>
      <c r="D85" s="27" t="s">
        <v>165</v>
      </c>
      <c r="G85" s="28" t="s">
        <v>12</v>
      </c>
      <c r="H85" s="270" t="str">
        <f>CHOOSE($H$2,CHOOSE($I85,M85,N85,O85,P85),CHOOSE($J85,M85,N85,O85,P85),CHOOSE($K85,M85,N85,O85,P85))</f>
        <v>Average</v>
      </c>
      <c r="I85" s="240">
        <v>1</v>
      </c>
      <c r="J85" s="240">
        <v>2</v>
      </c>
      <c r="K85" s="242">
        <v>3</v>
      </c>
      <c r="L85" s="271"/>
      <c r="M85" s="274" t="s">
        <v>116</v>
      </c>
      <c r="N85" s="274" t="s">
        <v>135</v>
      </c>
      <c r="O85" s="274" t="s">
        <v>135</v>
      </c>
      <c r="P85" s="275" t="s">
        <v>135</v>
      </c>
    </row>
    <row r="86" spans="1:17" ht="12" customHeight="1" x14ac:dyDescent="0.25">
      <c r="B86" s="164"/>
      <c r="C86" s="9"/>
      <c r="D86" s="27"/>
      <c r="H86" s="269"/>
      <c r="I86" s="210"/>
      <c r="J86" s="210"/>
      <c r="K86" s="210"/>
      <c r="L86" s="210"/>
      <c r="M86" s="210"/>
      <c r="N86" s="210"/>
      <c r="O86" s="210"/>
      <c r="P86" s="210"/>
    </row>
    <row r="87" spans="1:17" ht="12" customHeight="1" x14ac:dyDescent="0.25">
      <c r="A87" s="14">
        <f ca="1">MAX($A$1:A77)+1</f>
        <v>4</v>
      </c>
      <c r="B87" s="15" t="s">
        <v>128</v>
      </c>
      <c r="C87" s="15"/>
      <c r="D87" s="15"/>
      <c r="E87" s="15"/>
      <c r="F87" s="16"/>
      <c r="G87" s="17"/>
      <c r="H87" s="266"/>
      <c r="I87" s="267"/>
      <c r="J87" s="267"/>
      <c r="K87" s="267"/>
      <c r="L87" s="268"/>
      <c r="M87" s="268"/>
      <c r="N87" s="268"/>
      <c r="O87" s="268"/>
      <c r="P87" s="268"/>
      <c r="Q87" s="10"/>
    </row>
    <row r="88" spans="1:17" ht="12" customHeight="1" outlineLevel="1" x14ac:dyDescent="0.25">
      <c r="B88" s="27"/>
      <c r="C88" s="27"/>
      <c r="D88" s="27"/>
      <c r="H88" s="269"/>
      <c r="I88" s="210"/>
      <c r="J88" s="210"/>
      <c r="K88" s="210"/>
      <c r="L88" s="210"/>
      <c r="M88" s="210"/>
      <c r="N88" s="210"/>
      <c r="O88" s="210"/>
      <c r="P88" s="210"/>
    </row>
    <row r="89" spans="1:17" ht="12" customHeight="1" outlineLevel="1" x14ac:dyDescent="0.25">
      <c r="A89" s="53"/>
      <c r="B89" s="164">
        <f ca="1">MAX($A$1:A87)+0.01</f>
        <v>4.01</v>
      </c>
      <c r="C89" s="27" t="str">
        <f>'1.3.Historical BS'!D31</f>
        <v>Raw materials and consumables</v>
      </c>
      <c r="D89" s="27"/>
      <c r="H89" s="269"/>
      <c r="I89" s="210"/>
      <c r="J89" s="210"/>
      <c r="K89" s="210"/>
      <c r="L89" s="210"/>
      <c r="M89" s="210"/>
      <c r="N89" s="210"/>
      <c r="O89" s="210"/>
      <c r="P89" s="210"/>
    </row>
    <row r="90" spans="1:17" ht="12" customHeight="1" outlineLevel="1" x14ac:dyDescent="0.25">
      <c r="A90" s="53"/>
      <c r="B90" s="27"/>
      <c r="C90" s="27"/>
      <c r="D90" s="27" t="s">
        <v>164</v>
      </c>
      <c r="H90" s="269"/>
      <c r="I90" s="210"/>
      <c r="J90" s="210"/>
      <c r="K90" s="210"/>
      <c r="L90" s="210"/>
      <c r="M90" s="210"/>
      <c r="N90" s="210"/>
      <c r="O90" s="210"/>
      <c r="P90" s="210"/>
    </row>
    <row r="91" spans="1:17" ht="12" customHeight="1" outlineLevel="1" x14ac:dyDescent="0.25">
      <c r="A91" s="53"/>
      <c r="B91" s="27"/>
      <c r="C91" s="27"/>
      <c r="D91" s="27"/>
      <c r="F91" s="28" t="str">
        <f>'1.2.Historical IS'!$E$10</f>
        <v>Sale of finished goods, of which:</v>
      </c>
      <c r="G91" s="28" t="s">
        <v>12</v>
      </c>
      <c r="H91" s="270">
        <f t="shared" ref="H91:H94" si="17">CHOOSE($H$2,CHOOSE($I91,M91,N91,O91,P91),CHOOSE($J91,M91,N91,O91,P91),CHOOSE($K91,M91,N91,O91,P91))</f>
        <v>1</v>
      </c>
      <c r="I91" s="240">
        <v>1</v>
      </c>
      <c r="J91" s="240">
        <v>2</v>
      </c>
      <c r="K91" s="242">
        <v>3</v>
      </c>
      <c r="L91" s="271"/>
      <c r="M91" s="272">
        <v>1</v>
      </c>
      <c r="N91" s="272">
        <v>1</v>
      </c>
      <c r="O91" s="272">
        <v>1</v>
      </c>
      <c r="P91" s="273">
        <v>1</v>
      </c>
    </row>
    <row r="92" spans="1:17" ht="12" customHeight="1" outlineLevel="1" x14ac:dyDescent="0.25">
      <c r="A92" s="53"/>
      <c r="B92" s="27"/>
      <c r="C92" s="27"/>
      <c r="D92" s="27"/>
      <c r="F92" s="28" t="str">
        <f>'1.2.Historical IS'!$E$13</f>
        <v>Services rendered</v>
      </c>
      <c r="G92" s="28" t="s">
        <v>12</v>
      </c>
      <c r="H92" s="270">
        <f t="shared" si="17"/>
        <v>1</v>
      </c>
      <c r="I92" s="240">
        <v>1</v>
      </c>
      <c r="J92" s="240">
        <v>2</v>
      </c>
      <c r="K92" s="242">
        <v>3</v>
      </c>
      <c r="L92" s="271"/>
      <c r="M92" s="272">
        <v>1</v>
      </c>
      <c r="N92" s="272">
        <v>1</v>
      </c>
      <c r="O92" s="272">
        <v>1</v>
      </c>
      <c r="P92" s="273">
        <v>1</v>
      </c>
    </row>
    <row r="93" spans="1:17" ht="12" customHeight="1" outlineLevel="1" x14ac:dyDescent="0.25">
      <c r="A93" s="53"/>
      <c r="B93" s="27"/>
      <c r="C93" s="27"/>
      <c r="D93" s="27"/>
      <c r="F93" s="28" t="str">
        <f>'1.2.Historical IS'!$E$14</f>
        <v>Sale of goods purchased for resale</v>
      </c>
      <c r="H93" s="270">
        <f t="shared" si="17"/>
        <v>0</v>
      </c>
      <c r="I93" s="240">
        <v>1</v>
      </c>
      <c r="J93" s="240">
        <v>2</v>
      </c>
      <c r="K93" s="242">
        <v>3</v>
      </c>
      <c r="L93" s="271"/>
      <c r="M93" s="400"/>
      <c r="N93" s="400"/>
      <c r="O93" s="400"/>
      <c r="P93" s="400"/>
    </row>
    <row r="94" spans="1:17" ht="12" customHeight="1" outlineLevel="1" x14ac:dyDescent="0.25">
      <c r="A94" s="53"/>
      <c r="B94" s="27"/>
      <c r="C94" s="27"/>
      <c r="D94" s="27"/>
      <c r="F94" s="239" t="s">
        <v>347</v>
      </c>
      <c r="G94" s="28" t="s">
        <v>12</v>
      </c>
      <c r="H94" s="270">
        <f t="shared" si="17"/>
        <v>0</v>
      </c>
      <c r="I94" s="240">
        <v>1</v>
      </c>
      <c r="J94" s="240">
        <v>2</v>
      </c>
      <c r="K94" s="242">
        <v>3</v>
      </c>
      <c r="L94" s="271"/>
      <c r="M94" s="400"/>
      <c r="N94" s="400"/>
      <c r="O94" s="400"/>
      <c r="P94" s="401"/>
    </row>
    <row r="95" spans="1:17" ht="12" customHeight="1" outlineLevel="1" x14ac:dyDescent="0.25">
      <c r="A95" s="53"/>
      <c r="B95" s="27"/>
      <c r="C95" s="27"/>
      <c r="D95" s="27" t="s">
        <v>165</v>
      </c>
      <c r="G95" s="28" t="s">
        <v>12</v>
      </c>
      <c r="H95" s="270" t="str">
        <f>CHOOSE($H$2,CHOOSE($I95,M95,N95,O95,P95),CHOOSE($J95,M95,N95,O95,P95),CHOOSE($K95,M95,N95,O95,P95))</f>
        <v>Average</v>
      </c>
      <c r="I95" s="240">
        <v>1</v>
      </c>
      <c r="J95" s="240">
        <v>2</v>
      </c>
      <c r="K95" s="242">
        <v>3</v>
      </c>
      <c r="L95" s="271"/>
      <c r="M95" s="274" t="s">
        <v>116</v>
      </c>
      <c r="N95" s="274" t="s">
        <v>135</v>
      </c>
      <c r="O95" s="274" t="s">
        <v>135</v>
      </c>
      <c r="P95" s="275" t="s">
        <v>135</v>
      </c>
    </row>
    <row r="96" spans="1:17" ht="12" customHeight="1" outlineLevel="1" x14ac:dyDescent="0.25">
      <c r="A96" s="53"/>
      <c r="B96" s="164">
        <f ca="1">MAX($A$1:B90)+0.01</f>
        <v>4.0199999999999996</v>
      </c>
      <c r="C96" s="27" t="str">
        <f>'1.3.Historical BS'!D32</f>
        <v>Production in progress</v>
      </c>
      <c r="D96" s="27"/>
      <c r="H96" s="269"/>
      <c r="I96" s="210"/>
      <c r="J96" s="210"/>
      <c r="K96" s="210"/>
      <c r="L96" s="210"/>
      <c r="M96" s="210"/>
      <c r="N96" s="210"/>
      <c r="O96" s="210"/>
      <c r="P96" s="210"/>
    </row>
    <row r="97" spans="1:16" ht="12" customHeight="1" outlineLevel="2" x14ac:dyDescent="0.25">
      <c r="A97" s="53"/>
      <c r="B97" s="27"/>
      <c r="C97" s="27"/>
      <c r="D97" s="27" t="s">
        <v>164</v>
      </c>
      <c r="H97" s="269"/>
      <c r="I97" s="210"/>
      <c r="J97" s="210"/>
      <c r="K97" s="210"/>
      <c r="L97" s="210"/>
      <c r="M97" s="210"/>
      <c r="N97" s="210"/>
      <c r="O97" s="210"/>
      <c r="P97" s="210"/>
    </row>
    <row r="98" spans="1:16" ht="12" customHeight="1" outlineLevel="3" x14ac:dyDescent="0.25">
      <c r="A98" s="53"/>
      <c r="B98" s="27"/>
      <c r="C98" s="27"/>
      <c r="D98" s="27"/>
      <c r="F98" s="28" t="str">
        <f>'1.2.Historical IS'!$E$10</f>
        <v>Sale of finished goods, of which:</v>
      </c>
      <c r="G98" s="28" t="s">
        <v>12</v>
      </c>
      <c r="H98" s="270">
        <f t="shared" ref="H98" si="18">CHOOSE($H$2,CHOOSE($I98,M98,N98,O98,P98),CHOOSE($J98,M98,N98,O98,P98),CHOOSE($K98,M98,N98,O98,P98))</f>
        <v>1</v>
      </c>
      <c r="I98" s="240">
        <v>1</v>
      </c>
      <c r="J98" s="240">
        <v>2</v>
      </c>
      <c r="K98" s="242">
        <v>3</v>
      </c>
      <c r="L98" s="271"/>
      <c r="M98" s="272">
        <v>1</v>
      </c>
      <c r="N98" s="272">
        <v>1</v>
      </c>
      <c r="O98" s="272">
        <v>1</v>
      </c>
      <c r="P98" s="273">
        <v>1</v>
      </c>
    </row>
    <row r="99" spans="1:16" ht="12" customHeight="1" outlineLevel="3" x14ac:dyDescent="0.25">
      <c r="A99" s="53"/>
      <c r="B99" s="27"/>
      <c r="C99" s="27"/>
      <c r="D99" s="27"/>
      <c r="F99" s="28" t="str">
        <f>'1.2.Historical IS'!$E$13</f>
        <v>Services rendered</v>
      </c>
      <c r="G99" s="28" t="s">
        <v>12</v>
      </c>
      <c r="H99" s="270">
        <f t="shared" ref="H99:H101" si="19">CHOOSE($H$2,CHOOSE($I99,M99,N99,O99,P99),CHOOSE($J99,M99,N99,O99,P99),CHOOSE($K99,M99,N99,O99,P99))</f>
        <v>1</v>
      </c>
      <c r="I99" s="240">
        <v>1</v>
      </c>
      <c r="J99" s="240">
        <v>2</v>
      </c>
      <c r="K99" s="242">
        <v>3</v>
      </c>
      <c r="L99" s="271"/>
      <c r="M99" s="272">
        <v>1</v>
      </c>
      <c r="N99" s="272">
        <v>1</v>
      </c>
      <c r="O99" s="272">
        <v>1</v>
      </c>
      <c r="P99" s="273">
        <v>1</v>
      </c>
    </row>
    <row r="100" spans="1:16" ht="12" customHeight="1" outlineLevel="3" x14ac:dyDescent="0.25">
      <c r="A100" s="53"/>
      <c r="B100" s="27"/>
      <c r="C100" s="27"/>
      <c r="D100" s="27"/>
      <c r="F100" s="28" t="str">
        <f>'1.2.Historical IS'!$E$14</f>
        <v>Sale of goods purchased for resale</v>
      </c>
      <c r="H100" s="270">
        <f t="shared" ref="H100" si="20">CHOOSE($H$2,CHOOSE($I100,M100,N100,O100,P100),CHOOSE($J100,M100,N100,O100,P100),CHOOSE($K100,M100,N100,O100,P100))</f>
        <v>0</v>
      </c>
      <c r="I100" s="240">
        <v>1</v>
      </c>
      <c r="J100" s="240">
        <v>2</v>
      </c>
      <c r="K100" s="242">
        <v>3</v>
      </c>
      <c r="L100" s="271"/>
      <c r="M100" s="400"/>
      <c r="N100" s="400"/>
      <c r="O100" s="400"/>
      <c r="P100" s="400"/>
    </row>
    <row r="101" spans="1:16" ht="12" customHeight="1" outlineLevel="3" x14ac:dyDescent="0.25">
      <c r="A101" s="53"/>
      <c r="B101" s="27"/>
      <c r="C101" s="27"/>
      <c r="D101" s="27"/>
      <c r="F101" s="239" t="s">
        <v>347</v>
      </c>
      <c r="G101" s="28" t="s">
        <v>12</v>
      </c>
      <c r="H101" s="270">
        <f t="shared" si="19"/>
        <v>0</v>
      </c>
      <c r="I101" s="240">
        <v>1</v>
      </c>
      <c r="J101" s="240">
        <v>2</v>
      </c>
      <c r="K101" s="242">
        <v>3</v>
      </c>
      <c r="L101" s="271"/>
      <c r="M101" s="400"/>
      <c r="N101" s="400"/>
      <c r="O101" s="400"/>
      <c r="P101" s="401"/>
    </row>
    <row r="102" spans="1:16" ht="12" customHeight="1" outlineLevel="2" x14ac:dyDescent="0.25">
      <c r="A102" s="53"/>
      <c r="B102" s="27"/>
      <c r="C102" s="27"/>
      <c r="D102" s="27" t="s">
        <v>165</v>
      </c>
      <c r="G102" s="28" t="s">
        <v>12</v>
      </c>
      <c r="H102" s="270" t="str">
        <f>CHOOSE($H$2,CHOOSE($I102,M102,N102,O102,P102),CHOOSE($J102,M102,N102,O102,P102),CHOOSE($K102,M102,N102,O102,P102))</f>
        <v>Average</v>
      </c>
      <c r="I102" s="240">
        <v>1</v>
      </c>
      <c r="J102" s="240">
        <v>2</v>
      </c>
      <c r="K102" s="242">
        <v>3</v>
      </c>
      <c r="L102" s="271"/>
      <c r="M102" s="274" t="s">
        <v>116</v>
      </c>
      <c r="N102" s="274" t="s">
        <v>135</v>
      </c>
      <c r="O102" s="274" t="s">
        <v>135</v>
      </c>
      <c r="P102" s="275" t="s">
        <v>135</v>
      </c>
    </row>
    <row r="103" spans="1:16" ht="12" customHeight="1" outlineLevel="2" x14ac:dyDescent="0.25">
      <c r="A103" s="53"/>
      <c r="B103" s="164">
        <f ca="1">MAX($A$1:B102)+0.01</f>
        <v>4.0299999999999994</v>
      </c>
      <c r="C103" s="27" t="str">
        <f>'1.3.Historical BS'!D33</f>
        <v>Good purchased for resale</v>
      </c>
      <c r="D103" s="27"/>
      <c r="H103" s="269"/>
      <c r="I103" s="210"/>
      <c r="J103" s="210"/>
      <c r="K103" s="210"/>
      <c r="L103" s="210"/>
      <c r="M103" s="210"/>
      <c r="N103" s="210"/>
      <c r="O103" s="210"/>
      <c r="P103" s="210"/>
    </row>
    <row r="104" spans="1:16" ht="12" customHeight="1" outlineLevel="2" x14ac:dyDescent="0.25">
      <c r="A104" s="53"/>
      <c r="B104" s="27"/>
      <c r="C104" s="27"/>
      <c r="D104" s="27" t="s">
        <v>164</v>
      </c>
      <c r="H104" s="269"/>
      <c r="I104" s="210"/>
      <c r="J104" s="210"/>
      <c r="K104" s="210"/>
      <c r="L104" s="210"/>
      <c r="M104" s="210"/>
      <c r="N104" s="210"/>
      <c r="O104" s="210"/>
      <c r="P104" s="210"/>
    </row>
    <row r="105" spans="1:16" ht="12" customHeight="1" outlineLevel="2" x14ac:dyDescent="0.25">
      <c r="A105" s="53"/>
      <c r="B105" s="27"/>
      <c r="C105" s="27"/>
      <c r="D105" s="27"/>
      <c r="F105" s="28" t="str">
        <f>'1.2.Historical IS'!$E$10</f>
        <v>Sale of finished goods, of which:</v>
      </c>
      <c r="G105" s="28" t="s">
        <v>12</v>
      </c>
      <c r="H105" s="270">
        <f t="shared" ref="H105:H108" si="21">CHOOSE($H$2,CHOOSE($I105,M105,N105,O105,P105),CHOOSE($J105,M105,N105,O105,P105),CHOOSE($K105,M105,N105,O105,P105))</f>
        <v>1</v>
      </c>
      <c r="I105" s="240">
        <v>1</v>
      </c>
      <c r="J105" s="240">
        <v>2</v>
      </c>
      <c r="K105" s="242">
        <v>3</v>
      </c>
      <c r="L105" s="271"/>
      <c r="M105" s="272">
        <v>1</v>
      </c>
      <c r="N105" s="272">
        <v>1</v>
      </c>
      <c r="O105" s="272">
        <v>1</v>
      </c>
      <c r="P105" s="273">
        <v>1</v>
      </c>
    </row>
    <row r="106" spans="1:16" ht="12" customHeight="1" outlineLevel="2" x14ac:dyDescent="0.25">
      <c r="A106" s="53"/>
      <c r="B106" s="27"/>
      <c r="C106" s="27"/>
      <c r="D106" s="27"/>
      <c r="F106" s="28" t="str">
        <f>'1.2.Historical IS'!$E$13</f>
        <v>Services rendered</v>
      </c>
      <c r="G106" s="28" t="s">
        <v>12</v>
      </c>
      <c r="H106" s="270">
        <f t="shared" si="21"/>
        <v>1</v>
      </c>
      <c r="I106" s="240">
        <v>1</v>
      </c>
      <c r="J106" s="240">
        <v>2</v>
      </c>
      <c r="K106" s="242">
        <v>3</v>
      </c>
      <c r="L106" s="271"/>
      <c r="M106" s="272">
        <v>1</v>
      </c>
      <c r="N106" s="272">
        <v>1</v>
      </c>
      <c r="O106" s="272">
        <v>1</v>
      </c>
      <c r="P106" s="273">
        <v>1</v>
      </c>
    </row>
    <row r="107" spans="1:16" ht="12" customHeight="1" outlineLevel="2" x14ac:dyDescent="0.25">
      <c r="A107" s="53"/>
      <c r="B107" s="27"/>
      <c r="C107" s="27"/>
      <c r="D107" s="27"/>
      <c r="F107" s="28" t="str">
        <f>'1.2.Historical IS'!$E$14</f>
        <v>Sale of goods purchased for resale</v>
      </c>
      <c r="H107" s="270">
        <f t="shared" si="21"/>
        <v>0</v>
      </c>
      <c r="I107" s="240">
        <v>1</v>
      </c>
      <c r="J107" s="240">
        <v>2</v>
      </c>
      <c r="K107" s="242">
        <v>3</v>
      </c>
      <c r="L107" s="271"/>
      <c r="M107" s="400"/>
      <c r="N107" s="400"/>
      <c r="O107" s="400"/>
      <c r="P107" s="400"/>
    </row>
    <row r="108" spans="1:16" ht="12" customHeight="1" outlineLevel="2" x14ac:dyDescent="0.25">
      <c r="A108" s="53"/>
      <c r="B108" s="27"/>
      <c r="C108" s="27"/>
      <c r="D108" s="27"/>
      <c r="F108" s="239" t="s">
        <v>347</v>
      </c>
      <c r="G108" s="28" t="s">
        <v>12</v>
      </c>
      <c r="H108" s="270">
        <f t="shared" si="21"/>
        <v>0</v>
      </c>
      <c r="I108" s="240">
        <v>1</v>
      </c>
      <c r="J108" s="240">
        <v>2</v>
      </c>
      <c r="K108" s="242">
        <v>3</v>
      </c>
      <c r="L108" s="271"/>
      <c r="M108" s="400"/>
      <c r="N108" s="400"/>
      <c r="O108" s="400"/>
      <c r="P108" s="401"/>
    </row>
    <row r="109" spans="1:16" ht="12" customHeight="1" outlineLevel="2" x14ac:dyDescent="0.25">
      <c r="A109" s="53"/>
      <c r="B109" s="27"/>
      <c r="C109" s="27"/>
      <c r="D109" s="27" t="s">
        <v>165</v>
      </c>
      <c r="G109" s="28" t="s">
        <v>12</v>
      </c>
      <c r="H109" s="270" t="str">
        <f>CHOOSE($H$2,CHOOSE($I109,M109,N109,O109,P109),CHOOSE($J109,M109,N109,O109,P109),CHOOSE($K109,M109,N109,O109,P109))</f>
        <v>Average</v>
      </c>
      <c r="I109" s="240">
        <v>1</v>
      </c>
      <c r="J109" s="240">
        <v>2</v>
      </c>
      <c r="K109" s="242">
        <v>3</v>
      </c>
      <c r="L109" s="271"/>
      <c r="M109" s="274" t="s">
        <v>116</v>
      </c>
      <c r="N109" s="274" t="s">
        <v>135</v>
      </c>
      <c r="O109" s="274" t="s">
        <v>135</v>
      </c>
      <c r="P109" s="275" t="s">
        <v>135</v>
      </c>
    </row>
    <row r="110" spans="1:16" ht="12" customHeight="1" outlineLevel="1" x14ac:dyDescent="0.25">
      <c r="A110" s="53"/>
      <c r="B110" s="164">
        <f ca="1">MAX($A$1:B104)+0.01</f>
        <v>4.0399999999999991</v>
      </c>
      <c r="C110" s="27" t="str">
        <f>'1.3.Historical BS'!D34</f>
        <v>Trade receivables</v>
      </c>
      <c r="D110" s="27"/>
      <c r="H110" s="269"/>
      <c r="I110" s="210"/>
      <c r="J110" s="210"/>
      <c r="K110" s="210"/>
      <c r="L110" s="210"/>
      <c r="M110" s="210"/>
      <c r="N110" s="210"/>
      <c r="O110" s="210"/>
      <c r="P110" s="210"/>
    </row>
    <row r="111" spans="1:16" ht="12" customHeight="1" outlineLevel="2" x14ac:dyDescent="0.25">
      <c r="A111" s="53"/>
      <c r="B111" s="27"/>
      <c r="C111" s="27"/>
      <c r="D111" s="27" t="s">
        <v>164</v>
      </c>
      <c r="H111" s="269"/>
      <c r="I111" s="210"/>
      <c r="J111" s="210"/>
      <c r="K111" s="210"/>
      <c r="L111" s="210"/>
      <c r="M111" s="210"/>
      <c r="N111" s="210"/>
      <c r="O111" s="210"/>
      <c r="P111" s="210"/>
    </row>
    <row r="112" spans="1:16" ht="12" customHeight="1" outlineLevel="3" x14ac:dyDescent="0.25">
      <c r="A112" s="53"/>
      <c r="B112" s="27"/>
      <c r="C112" s="27"/>
      <c r="D112" s="27"/>
      <c r="F112" s="28" t="str">
        <f>'1.2.Historical IS'!$E$10</f>
        <v>Sale of finished goods, of which:</v>
      </c>
      <c r="G112" s="28" t="s">
        <v>12</v>
      </c>
      <c r="H112" s="270">
        <f t="shared" ref="H112:H116" si="22">CHOOSE($H$2,CHOOSE($I112,M112,N112,O112,P112),CHOOSE($J112,M112,N112,O112,P112),CHOOSE($K112,M112,N112,O112,P112))</f>
        <v>1</v>
      </c>
      <c r="I112" s="240">
        <v>1</v>
      </c>
      <c r="J112" s="240">
        <v>2</v>
      </c>
      <c r="K112" s="242">
        <v>3</v>
      </c>
      <c r="L112" s="271"/>
      <c r="M112" s="272">
        <v>1</v>
      </c>
      <c r="N112" s="272">
        <v>1</v>
      </c>
      <c r="O112" s="272">
        <v>1</v>
      </c>
      <c r="P112" s="273">
        <v>1</v>
      </c>
    </row>
    <row r="113" spans="1:16" ht="12" customHeight="1" outlineLevel="3" x14ac:dyDescent="0.25">
      <c r="A113" s="53"/>
      <c r="B113" s="27"/>
      <c r="C113" s="27"/>
      <c r="D113" s="27"/>
      <c r="F113" s="28" t="str">
        <f>'1.2.Historical IS'!$E$13</f>
        <v>Services rendered</v>
      </c>
      <c r="G113" s="28" t="s">
        <v>12</v>
      </c>
      <c r="H113" s="270">
        <f t="shared" si="22"/>
        <v>1</v>
      </c>
      <c r="I113" s="240">
        <v>1</v>
      </c>
      <c r="J113" s="240">
        <v>2</v>
      </c>
      <c r="K113" s="242">
        <v>3</v>
      </c>
      <c r="L113" s="271"/>
      <c r="M113" s="272">
        <v>1</v>
      </c>
      <c r="N113" s="272">
        <v>1</v>
      </c>
      <c r="O113" s="272">
        <v>1</v>
      </c>
      <c r="P113" s="273">
        <v>1</v>
      </c>
    </row>
    <row r="114" spans="1:16" ht="12" customHeight="1" outlineLevel="3" x14ac:dyDescent="0.25">
      <c r="A114" s="53"/>
      <c r="B114" s="27"/>
      <c r="C114" s="27"/>
      <c r="D114" s="27"/>
      <c r="F114" s="28" t="str">
        <f>'1.2.Historical IS'!$E$14</f>
        <v>Sale of goods purchased for resale</v>
      </c>
      <c r="H114" s="270">
        <f t="shared" ref="H114" si="23">CHOOSE($H$2,CHOOSE($I114,M114,N114,O114,P114),CHOOSE($J114,M114,N114,O114,P114),CHOOSE($K114,M114,N114,O114,P114))</f>
        <v>1</v>
      </c>
      <c r="I114" s="240">
        <v>1</v>
      </c>
      <c r="J114" s="240">
        <v>2</v>
      </c>
      <c r="K114" s="242">
        <v>3</v>
      </c>
      <c r="L114" s="271"/>
      <c r="M114" s="272">
        <v>1</v>
      </c>
      <c r="N114" s="272">
        <v>1</v>
      </c>
      <c r="O114" s="272">
        <v>1</v>
      </c>
      <c r="P114" s="273">
        <v>1</v>
      </c>
    </row>
    <row r="115" spans="1:16" ht="12" customHeight="1" outlineLevel="3" x14ac:dyDescent="0.25">
      <c r="A115" s="53"/>
      <c r="B115" s="27"/>
      <c r="C115" s="27"/>
      <c r="D115" s="27"/>
      <c r="F115" s="239" t="s">
        <v>347</v>
      </c>
      <c r="G115" s="28" t="s">
        <v>12</v>
      </c>
      <c r="H115" s="270">
        <f t="shared" si="22"/>
        <v>1</v>
      </c>
      <c r="I115" s="240">
        <v>1</v>
      </c>
      <c r="J115" s="240">
        <v>2</v>
      </c>
      <c r="K115" s="242">
        <v>3</v>
      </c>
      <c r="L115" s="271"/>
      <c r="M115" s="272">
        <v>1</v>
      </c>
      <c r="N115" s="272">
        <v>1</v>
      </c>
      <c r="O115" s="272">
        <v>1</v>
      </c>
      <c r="P115" s="273">
        <v>1</v>
      </c>
    </row>
    <row r="116" spans="1:16" ht="12" customHeight="1" outlineLevel="2" x14ac:dyDescent="0.25">
      <c r="A116" s="53"/>
      <c r="B116" s="27"/>
      <c r="C116" s="27"/>
      <c r="D116" s="27" t="s">
        <v>165</v>
      </c>
      <c r="G116" s="28" t="s">
        <v>12</v>
      </c>
      <c r="H116" s="270" t="str">
        <f t="shared" si="22"/>
        <v>Average</v>
      </c>
      <c r="I116" s="240">
        <v>1</v>
      </c>
      <c r="J116" s="240">
        <v>2</v>
      </c>
      <c r="K116" s="242">
        <v>3</v>
      </c>
      <c r="L116" s="271"/>
      <c r="M116" s="274" t="s">
        <v>116</v>
      </c>
      <c r="N116" s="274" t="s">
        <v>135</v>
      </c>
      <c r="O116" s="274" t="s">
        <v>135</v>
      </c>
      <c r="P116" s="275" t="s">
        <v>135</v>
      </c>
    </row>
    <row r="117" spans="1:16" ht="12" customHeight="1" outlineLevel="1" x14ac:dyDescent="0.25">
      <c r="A117" s="53"/>
      <c r="B117" s="164">
        <f ca="1">MAX($A$1:B116)+0.01</f>
        <v>4.0499999999999989</v>
      </c>
      <c r="C117" s="27" t="str">
        <f>'1.3.Historical BS'!D35</f>
        <v>Other receivables</v>
      </c>
      <c r="D117" s="27"/>
      <c r="H117" s="269"/>
      <c r="I117" s="210"/>
      <c r="J117" s="210"/>
      <c r="K117" s="210"/>
      <c r="L117" s="210"/>
      <c r="M117" s="210"/>
      <c r="N117" s="210"/>
      <c r="O117" s="210"/>
      <c r="P117" s="210"/>
    </row>
    <row r="118" spans="1:16" ht="12" customHeight="1" outlineLevel="2" x14ac:dyDescent="0.25">
      <c r="A118" s="53"/>
      <c r="B118" s="27"/>
      <c r="C118" s="27"/>
      <c r="D118" s="27" t="s">
        <v>164</v>
      </c>
      <c r="H118" s="269"/>
      <c r="I118" s="210"/>
      <c r="J118" s="210"/>
      <c r="K118" s="210"/>
      <c r="L118" s="210"/>
      <c r="M118" s="210"/>
      <c r="N118" s="210"/>
      <c r="O118" s="210"/>
      <c r="P118" s="210"/>
    </row>
    <row r="119" spans="1:16" ht="12" customHeight="1" outlineLevel="3" x14ac:dyDescent="0.25">
      <c r="A119" s="53"/>
      <c r="B119" s="27"/>
      <c r="C119" s="27"/>
      <c r="D119" s="27"/>
      <c r="F119" s="28" t="str">
        <f>'1.2.Historical IS'!$E$10</f>
        <v>Sale of finished goods, of which:</v>
      </c>
      <c r="G119" s="28" t="s">
        <v>12</v>
      </c>
      <c r="H119" s="270">
        <f t="shared" ref="H119:H123" si="24">CHOOSE($H$2,CHOOSE($I119,M119,N119,O119,P119),CHOOSE($J119,M119,N119,O119,P119),CHOOSE($K119,M119,N119,O119,P119))</f>
        <v>1</v>
      </c>
      <c r="I119" s="240">
        <v>1</v>
      </c>
      <c r="J119" s="240">
        <v>2</v>
      </c>
      <c r="K119" s="242">
        <v>3</v>
      </c>
      <c r="L119" s="271"/>
      <c r="M119" s="272">
        <v>1</v>
      </c>
      <c r="N119" s="272">
        <v>1</v>
      </c>
      <c r="O119" s="272">
        <v>1</v>
      </c>
      <c r="P119" s="273">
        <v>1</v>
      </c>
    </row>
    <row r="120" spans="1:16" ht="12" customHeight="1" outlineLevel="3" x14ac:dyDescent="0.25">
      <c r="A120" s="53"/>
      <c r="B120" s="27"/>
      <c r="C120" s="27"/>
      <c r="D120" s="27"/>
      <c r="F120" s="28" t="str">
        <f>'1.2.Historical IS'!$E$13</f>
        <v>Services rendered</v>
      </c>
      <c r="G120" s="28" t="s">
        <v>12</v>
      </c>
      <c r="H120" s="270">
        <f t="shared" si="24"/>
        <v>1</v>
      </c>
      <c r="I120" s="240">
        <v>1</v>
      </c>
      <c r="J120" s="240">
        <v>2</v>
      </c>
      <c r="K120" s="242">
        <v>3</v>
      </c>
      <c r="L120" s="271"/>
      <c r="M120" s="272">
        <v>1</v>
      </c>
      <c r="N120" s="272">
        <v>1</v>
      </c>
      <c r="O120" s="272">
        <v>1</v>
      </c>
      <c r="P120" s="273">
        <v>1</v>
      </c>
    </row>
    <row r="121" spans="1:16" ht="12" customHeight="1" outlineLevel="3" x14ac:dyDescent="0.25">
      <c r="A121" s="53"/>
      <c r="B121" s="27"/>
      <c r="C121" s="27"/>
      <c r="D121" s="27"/>
      <c r="F121" s="28" t="str">
        <f>'1.2.Historical IS'!$E$14</f>
        <v>Sale of goods purchased for resale</v>
      </c>
      <c r="H121" s="270">
        <f t="shared" ref="H121" si="25">CHOOSE($H$2,CHOOSE($I121,M121,N121,O121,P121),CHOOSE($J121,M121,N121,O121,P121),CHOOSE($K121,M121,N121,O121,P121))</f>
        <v>1</v>
      </c>
      <c r="I121" s="240">
        <v>1</v>
      </c>
      <c r="J121" s="240">
        <v>2</v>
      </c>
      <c r="K121" s="242">
        <v>3</v>
      </c>
      <c r="L121" s="271"/>
      <c r="M121" s="272">
        <v>1</v>
      </c>
      <c r="N121" s="272">
        <v>1</v>
      </c>
      <c r="O121" s="272">
        <v>1</v>
      </c>
      <c r="P121" s="273">
        <v>1</v>
      </c>
    </row>
    <row r="122" spans="1:16" ht="12" customHeight="1" outlineLevel="3" x14ac:dyDescent="0.25">
      <c r="A122" s="53"/>
      <c r="B122" s="27"/>
      <c r="C122" s="27"/>
      <c r="D122" s="27"/>
      <c r="F122" s="239" t="s">
        <v>347</v>
      </c>
      <c r="G122" s="28" t="s">
        <v>12</v>
      </c>
      <c r="H122" s="270">
        <f t="shared" si="24"/>
        <v>1</v>
      </c>
      <c r="I122" s="240">
        <v>1</v>
      </c>
      <c r="J122" s="240">
        <v>2</v>
      </c>
      <c r="K122" s="242">
        <v>3</v>
      </c>
      <c r="L122" s="271"/>
      <c r="M122" s="272">
        <v>1</v>
      </c>
      <c r="N122" s="272">
        <v>1</v>
      </c>
      <c r="O122" s="272">
        <v>1</v>
      </c>
      <c r="P122" s="273">
        <v>1</v>
      </c>
    </row>
    <row r="123" spans="1:16" ht="12" customHeight="1" outlineLevel="2" x14ac:dyDescent="0.25">
      <c r="A123" s="53"/>
      <c r="B123" s="27"/>
      <c r="C123" s="27"/>
      <c r="D123" s="27" t="s">
        <v>165</v>
      </c>
      <c r="G123" s="28" t="s">
        <v>12</v>
      </c>
      <c r="H123" s="270" t="str">
        <f t="shared" si="24"/>
        <v>Average</v>
      </c>
      <c r="I123" s="240">
        <v>1</v>
      </c>
      <c r="J123" s="240">
        <v>2</v>
      </c>
      <c r="K123" s="242">
        <v>3</v>
      </c>
      <c r="L123" s="271"/>
      <c r="M123" s="274" t="s">
        <v>116</v>
      </c>
      <c r="N123" s="274" t="s">
        <v>135</v>
      </c>
      <c r="O123" s="274" t="s">
        <v>135</v>
      </c>
      <c r="P123" s="275" t="s">
        <v>135</v>
      </c>
    </row>
    <row r="124" spans="1:16" ht="12" customHeight="1" outlineLevel="1" x14ac:dyDescent="0.25">
      <c r="A124" s="53"/>
      <c r="B124" s="164">
        <f ca="1">MAX($A$1:B123)+0.01</f>
        <v>4.0599999999999987</v>
      </c>
      <c r="C124" s="27" t="str">
        <f>'1.3.Historical BS'!D36</f>
        <v>Short term investments</v>
      </c>
      <c r="D124" s="27"/>
      <c r="H124" s="269"/>
      <c r="I124" s="210"/>
      <c r="J124" s="210"/>
      <c r="K124" s="210"/>
      <c r="L124" s="210"/>
      <c r="M124" s="210"/>
      <c r="N124" s="210"/>
      <c r="O124" s="210"/>
      <c r="P124" s="210"/>
    </row>
    <row r="125" spans="1:16" ht="12" customHeight="1" outlineLevel="2" x14ac:dyDescent="0.25">
      <c r="A125" s="53"/>
      <c r="B125" s="27"/>
      <c r="C125" s="27"/>
      <c r="D125" s="27" t="s">
        <v>164</v>
      </c>
      <c r="H125" s="269"/>
      <c r="I125" s="210"/>
      <c r="J125" s="210"/>
      <c r="K125" s="210"/>
      <c r="L125" s="210"/>
      <c r="M125" s="210"/>
      <c r="N125" s="210"/>
      <c r="O125" s="210"/>
      <c r="P125" s="210"/>
    </row>
    <row r="126" spans="1:16" ht="12" customHeight="1" outlineLevel="3" x14ac:dyDescent="0.25">
      <c r="A126" s="53"/>
      <c r="B126" s="27"/>
      <c r="C126" s="27"/>
      <c r="D126" s="27"/>
      <c r="F126" s="28" t="str">
        <f>'1.2.Historical IS'!$E$10</f>
        <v>Sale of finished goods, of which:</v>
      </c>
      <c r="G126" s="28" t="s">
        <v>12</v>
      </c>
      <c r="H126" s="270">
        <f t="shared" ref="H126:H130" si="26">CHOOSE($H$2,CHOOSE($I126,M126,N126,O126,P126),CHOOSE($J126,M126,N126,O126,P126),CHOOSE($K126,M126,N126,O126,P126))</f>
        <v>1</v>
      </c>
      <c r="I126" s="240">
        <v>1</v>
      </c>
      <c r="J126" s="240">
        <v>2</v>
      </c>
      <c r="K126" s="242">
        <v>3</v>
      </c>
      <c r="L126" s="271"/>
      <c r="M126" s="272">
        <v>1</v>
      </c>
      <c r="N126" s="272">
        <v>1</v>
      </c>
      <c r="O126" s="272">
        <v>1</v>
      </c>
      <c r="P126" s="273">
        <v>1</v>
      </c>
    </row>
    <row r="127" spans="1:16" ht="12" customHeight="1" outlineLevel="3" x14ac:dyDescent="0.25">
      <c r="A127" s="53"/>
      <c r="B127" s="27"/>
      <c r="C127" s="27"/>
      <c r="D127" s="27"/>
      <c r="F127" s="28" t="str">
        <f>'1.2.Historical IS'!$E$13</f>
        <v>Services rendered</v>
      </c>
      <c r="G127" s="28" t="s">
        <v>12</v>
      </c>
      <c r="H127" s="270">
        <f t="shared" si="26"/>
        <v>1</v>
      </c>
      <c r="I127" s="240">
        <v>1</v>
      </c>
      <c r="J127" s="240">
        <v>2</v>
      </c>
      <c r="K127" s="242">
        <v>3</v>
      </c>
      <c r="L127" s="271"/>
      <c r="M127" s="272">
        <v>1</v>
      </c>
      <c r="N127" s="272">
        <v>1</v>
      </c>
      <c r="O127" s="272">
        <v>1</v>
      </c>
      <c r="P127" s="273">
        <v>1</v>
      </c>
    </row>
    <row r="128" spans="1:16" ht="12" customHeight="1" outlineLevel="3" x14ac:dyDescent="0.25">
      <c r="A128" s="53"/>
      <c r="B128" s="27"/>
      <c r="C128" s="27"/>
      <c r="D128" s="27"/>
      <c r="F128" s="28" t="str">
        <f>'1.2.Historical IS'!$E$14</f>
        <v>Sale of goods purchased for resale</v>
      </c>
      <c r="H128" s="270">
        <f t="shared" ref="H128" si="27">CHOOSE($H$2,CHOOSE($I128,M128,N128,O128,P128),CHOOSE($J128,M128,N128,O128,P128),CHOOSE($K128,M128,N128,O128,P128))</f>
        <v>1</v>
      </c>
      <c r="I128" s="240">
        <v>1</v>
      </c>
      <c r="J128" s="240">
        <v>2</v>
      </c>
      <c r="K128" s="242">
        <v>3</v>
      </c>
      <c r="L128" s="271"/>
      <c r="M128" s="272">
        <v>1</v>
      </c>
      <c r="N128" s="272">
        <v>1</v>
      </c>
      <c r="O128" s="272">
        <v>1</v>
      </c>
      <c r="P128" s="273">
        <v>1</v>
      </c>
    </row>
    <row r="129" spans="1:16" ht="12" customHeight="1" outlineLevel="3" x14ac:dyDescent="0.25">
      <c r="A129" s="53"/>
      <c r="B129" s="27"/>
      <c r="C129" s="27"/>
      <c r="D129" s="27"/>
      <c r="F129" s="239" t="s">
        <v>347</v>
      </c>
      <c r="G129" s="28" t="s">
        <v>12</v>
      </c>
      <c r="H129" s="270">
        <f t="shared" si="26"/>
        <v>1</v>
      </c>
      <c r="I129" s="240">
        <v>1</v>
      </c>
      <c r="J129" s="240">
        <v>2</v>
      </c>
      <c r="K129" s="242">
        <v>3</v>
      </c>
      <c r="L129" s="271"/>
      <c r="M129" s="272">
        <v>1</v>
      </c>
      <c r="N129" s="272">
        <v>1</v>
      </c>
      <c r="O129" s="272">
        <v>1</v>
      </c>
      <c r="P129" s="273">
        <v>1</v>
      </c>
    </row>
    <row r="130" spans="1:16" ht="12" customHeight="1" outlineLevel="2" x14ac:dyDescent="0.25">
      <c r="A130" s="53"/>
      <c r="B130" s="27"/>
      <c r="C130" s="27"/>
      <c r="D130" s="27" t="s">
        <v>165</v>
      </c>
      <c r="G130" s="28" t="s">
        <v>12</v>
      </c>
      <c r="H130" s="270" t="str">
        <f t="shared" si="26"/>
        <v>Average</v>
      </c>
      <c r="I130" s="240">
        <v>1</v>
      </c>
      <c r="J130" s="240">
        <v>2</v>
      </c>
      <c r="K130" s="242">
        <v>3</v>
      </c>
      <c r="L130" s="271"/>
      <c r="M130" s="274" t="s">
        <v>116</v>
      </c>
      <c r="N130" s="274" t="s">
        <v>135</v>
      </c>
      <c r="O130" s="274" t="s">
        <v>135</v>
      </c>
      <c r="P130" s="275" t="s">
        <v>135</v>
      </c>
    </row>
    <row r="131" spans="1:16" ht="12" customHeight="1" outlineLevel="1" x14ac:dyDescent="0.25">
      <c r="A131" s="53"/>
      <c r="B131" s="164">
        <f ca="1">MAX($A$1:B130)+0.01</f>
        <v>4.0699999999999985</v>
      </c>
      <c r="C131" s="27" t="str">
        <f>'1.3.Historical BS'!D37</f>
        <v>Prepayments</v>
      </c>
      <c r="D131" s="27"/>
      <c r="H131" s="269"/>
      <c r="I131" s="210"/>
      <c r="J131" s="210"/>
      <c r="K131" s="210"/>
      <c r="L131" s="210"/>
      <c r="M131" s="210"/>
      <c r="N131" s="210"/>
      <c r="O131" s="210"/>
      <c r="P131" s="210"/>
    </row>
    <row r="132" spans="1:16" ht="12" customHeight="1" outlineLevel="2" x14ac:dyDescent="0.25">
      <c r="A132" s="53"/>
      <c r="B132" s="27"/>
      <c r="C132" s="27"/>
      <c r="D132" s="27" t="s">
        <v>164</v>
      </c>
      <c r="H132" s="269"/>
      <c r="I132" s="210"/>
      <c r="J132" s="210"/>
      <c r="K132" s="210"/>
      <c r="L132" s="210"/>
      <c r="M132" s="210"/>
      <c r="N132" s="210"/>
      <c r="O132" s="210"/>
      <c r="P132" s="210"/>
    </row>
    <row r="133" spans="1:16" ht="12" customHeight="1" outlineLevel="3" x14ac:dyDescent="0.25">
      <c r="A133" s="53"/>
      <c r="B133" s="27"/>
      <c r="C133" s="27"/>
      <c r="D133" s="27"/>
      <c r="F133" s="28" t="str">
        <f>'1.2.Historical IS'!$E$10</f>
        <v>Sale of finished goods, of which:</v>
      </c>
      <c r="G133" s="28" t="s">
        <v>12</v>
      </c>
      <c r="H133" s="270">
        <f t="shared" ref="H133:H137" si="28">CHOOSE($H$2,CHOOSE($I133,M133,N133,O133,P133),CHOOSE($J133,M133,N133,O133,P133),CHOOSE($K133,M133,N133,O133,P133))</f>
        <v>1</v>
      </c>
      <c r="I133" s="240">
        <v>1</v>
      </c>
      <c r="J133" s="240">
        <v>2</v>
      </c>
      <c r="K133" s="242">
        <v>3</v>
      </c>
      <c r="L133" s="271"/>
      <c r="M133" s="272">
        <v>1</v>
      </c>
      <c r="N133" s="272">
        <v>1</v>
      </c>
      <c r="O133" s="272">
        <v>1</v>
      </c>
      <c r="P133" s="273">
        <v>1</v>
      </c>
    </row>
    <row r="134" spans="1:16" ht="12" customHeight="1" outlineLevel="3" x14ac:dyDescent="0.25">
      <c r="A134" s="53"/>
      <c r="B134" s="27"/>
      <c r="C134" s="27"/>
      <c r="D134" s="27"/>
      <c r="F134" s="28" t="str">
        <f>'1.2.Historical IS'!$E$13</f>
        <v>Services rendered</v>
      </c>
      <c r="G134" s="28" t="s">
        <v>12</v>
      </c>
      <c r="H134" s="270">
        <f t="shared" si="28"/>
        <v>1</v>
      </c>
      <c r="I134" s="240">
        <v>1</v>
      </c>
      <c r="J134" s="240">
        <v>2</v>
      </c>
      <c r="K134" s="242">
        <v>3</v>
      </c>
      <c r="L134" s="271"/>
      <c r="M134" s="272">
        <v>1</v>
      </c>
      <c r="N134" s="272">
        <v>1</v>
      </c>
      <c r="O134" s="272">
        <v>1</v>
      </c>
      <c r="P134" s="273">
        <v>1</v>
      </c>
    </row>
    <row r="135" spans="1:16" ht="12" customHeight="1" outlineLevel="3" x14ac:dyDescent="0.25">
      <c r="A135" s="53"/>
      <c r="B135" s="27"/>
      <c r="C135" s="27"/>
      <c r="D135" s="27"/>
      <c r="F135" s="28" t="str">
        <f>'1.2.Historical IS'!$E$14</f>
        <v>Sale of goods purchased for resale</v>
      </c>
      <c r="H135" s="270">
        <f t="shared" ref="H135" si="29">CHOOSE($H$2,CHOOSE($I135,M135,N135,O135,P135),CHOOSE($J135,M135,N135,O135,P135),CHOOSE($K135,M135,N135,O135,P135))</f>
        <v>1</v>
      </c>
      <c r="I135" s="240">
        <v>1</v>
      </c>
      <c r="J135" s="240">
        <v>2</v>
      </c>
      <c r="K135" s="242">
        <v>3</v>
      </c>
      <c r="L135" s="271"/>
      <c r="M135" s="272">
        <v>1</v>
      </c>
      <c r="N135" s="272">
        <v>1</v>
      </c>
      <c r="O135" s="272">
        <v>1</v>
      </c>
      <c r="P135" s="273">
        <v>1</v>
      </c>
    </row>
    <row r="136" spans="1:16" ht="12" customHeight="1" outlineLevel="3" x14ac:dyDescent="0.25">
      <c r="A136" s="53"/>
      <c r="B136" s="27"/>
      <c r="C136" s="27"/>
      <c r="D136" s="27"/>
      <c r="F136" s="239" t="s">
        <v>347</v>
      </c>
      <c r="G136" s="28" t="s">
        <v>12</v>
      </c>
      <c r="H136" s="270">
        <f t="shared" si="28"/>
        <v>1</v>
      </c>
      <c r="I136" s="240">
        <v>1</v>
      </c>
      <c r="J136" s="240">
        <v>2</v>
      </c>
      <c r="K136" s="242">
        <v>3</v>
      </c>
      <c r="L136" s="271"/>
      <c r="M136" s="272">
        <v>1</v>
      </c>
      <c r="N136" s="272">
        <v>1</v>
      </c>
      <c r="O136" s="272">
        <v>1</v>
      </c>
      <c r="P136" s="273">
        <v>1</v>
      </c>
    </row>
    <row r="137" spans="1:16" ht="12" customHeight="1" outlineLevel="2" x14ac:dyDescent="0.25">
      <c r="A137" s="53"/>
      <c r="B137" s="27"/>
      <c r="C137" s="27"/>
      <c r="D137" s="27" t="s">
        <v>165</v>
      </c>
      <c r="G137" s="28" t="s">
        <v>12</v>
      </c>
      <c r="H137" s="270" t="str">
        <f t="shared" si="28"/>
        <v>Average</v>
      </c>
      <c r="I137" s="240">
        <v>1</v>
      </c>
      <c r="J137" s="240">
        <v>2</v>
      </c>
      <c r="K137" s="242">
        <v>3</v>
      </c>
      <c r="L137" s="271"/>
      <c r="M137" s="274" t="s">
        <v>116</v>
      </c>
      <c r="N137" s="274" t="s">
        <v>135</v>
      </c>
      <c r="O137" s="274" t="s">
        <v>135</v>
      </c>
      <c r="P137" s="275" t="s">
        <v>135</v>
      </c>
    </row>
    <row r="138" spans="1:16" ht="12" customHeight="1" outlineLevel="1" x14ac:dyDescent="0.25">
      <c r="A138" s="53"/>
      <c r="B138" s="164">
        <f ca="1">MAX($A$1:B137)+0.01</f>
        <v>4.0799999999999983</v>
      </c>
      <c r="C138" s="27" t="str">
        <f>'1.3.Historical BS'!D38</f>
        <v>Subsidies</v>
      </c>
      <c r="D138" s="27"/>
      <c r="H138" s="269"/>
      <c r="I138" s="210"/>
      <c r="J138" s="210"/>
      <c r="K138" s="210"/>
      <c r="L138" s="210"/>
      <c r="M138" s="210"/>
      <c r="N138" s="210"/>
      <c r="O138" s="210"/>
      <c r="P138" s="210"/>
    </row>
    <row r="139" spans="1:16" ht="12" customHeight="1" outlineLevel="2" x14ac:dyDescent="0.25">
      <c r="A139" s="53"/>
      <c r="B139" s="27"/>
      <c r="C139" s="27"/>
      <c r="D139" s="27" t="s">
        <v>164</v>
      </c>
      <c r="H139" s="269"/>
      <c r="I139" s="210"/>
      <c r="J139" s="210"/>
      <c r="K139" s="210"/>
      <c r="L139" s="210"/>
      <c r="M139" s="210"/>
      <c r="N139" s="210"/>
      <c r="O139" s="210"/>
      <c r="P139" s="210"/>
    </row>
    <row r="140" spans="1:16" ht="12" customHeight="1" outlineLevel="3" x14ac:dyDescent="0.25">
      <c r="A140" s="53"/>
      <c r="B140" s="27"/>
      <c r="C140" s="27"/>
      <c r="D140" s="27"/>
      <c r="F140" s="28" t="str">
        <f>'1.2.Historical IS'!$E$10</f>
        <v>Sale of finished goods, of which:</v>
      </c>
      <c r="G140" s="28" t="s">
        <v>12</v>
      </c>
      <c r="H140" s="270">
        <f t="shared" ref="H140:H144" si="30">CHOOSE($H$2,CHOOSE($I140,M140,N140,O140,P140),CHOOSE($J140,M140,N140,O140,P140),CHOOSE($K140,M140,N140,O140,P140))</f>
        <v>1</v>
      </c>
      <c r="I140" s="240">
        <v>1</v>
      </c>
      <c r="J140" s="240">
        <v>2</v>
      </c>
      <c r="K140" s="242">
        <v>3</v>
      </c>
      <c r="L140" s="271"/>
      <c r="M140" s="272">
        <v>1</v>
      </c>
      <c r="N140" s="272">
        <v>1</v>
      </c>
      <c r="O140" s="272">
        <v>1</v>
      </c>
      <c r="P140" s="273">
        <v>1</v>
      </c>
    </row>
    <row r="141" spans="1:16" ht="12" customHeight="1" outlineLevel="3" x14ac:dyDescent="0.25">
      <c r="A141" s="53"/>
      <c r="B141" s="27"/>
      <c r="C141" s="27"/>
      <c r="D141" s="27"/>
      <c r="F141" s="28" t="str">
        <f>'1.2.Historical IS'!$E$13</f>
        <v>Services rendered</v>
      </c>
      <c r="G141" s="28" t="s">
        <v>12</v>
      </c>
      <c r="H141" s="270">
        <f t="shared" si="30"/>
        <v>1</v>
      </c>
      <c r="I141" s="240">
        <v>1</v>
      </c>
      <c r="J141" s="240">
        <v>2</v>
      </c>
      <c r="K141" s="242">
        <v>3</v>
      </c>
      <c r="L141" s="271"/>
      <c r="M141" s="272">
        <v>1</v>
      </c>
      <c r="N141" s="272">
        <v>1</v>
      </c>
      <c r="O141" s="272">
        <v>1</v>
      </c>
      <c r="P141" s="273">
        <v>1</v>
      </c>
    </row>
    <row r="142" spans="1:16" ht="12" customHeight="1" outlineLevel="3" x14ac:dyDescent="0.25">
      <c r="A142" s="53"/>
      <c r="B142" s="27"/>
      <c r="C142" s="27"/>
      <c r="D142" s="27"/>
      <c r="F142" s="28" t="str">
        <f>'1.2.Historical IS'!$E$14</f>
        <v>Sale of goods purchased for resale</v>
      </c>
      <c r="H142" s="270">
        <f t="shared" ref="H142" si="31">CHOOSE($H$2,CHOOSE($I142,M142,N142,O142,P142),CHOOSE($J142,M142,N142,O142,P142),CHOOSE($K142,M142,N142,O142,P142))</f>
        <v>1</v>
      </c>
      <c r="I142" s="240">
        <v>1</v>
      </c>
      <c r="J142" s="240">
        <v>2</v>
      </c>
      <c r="K142" s="242">
        <v>3</v>
      </c>
      <c r="L142" s="271"/>
      <c r="M142" s="272">
        <v>1</v>
      </c>
      <c r="N142" s="272">
        <v>1</v>
      </c>
      <c r="O142" s="272">
        <v>1</v>
      </c>
      <c r="P142" s="273">
        <v>1</v>
      </c>
    </row>
    <row r="143" spans="1:16" ht="12" customHeight="1" outlineLevel="3" x14ac:dyDescent="0.25">
      <c r="A143" s="53"/>
      <c r="B143" s="27"/>
      <c r="C143" s="27"/>
      <c r="D143" s="27"/>
      <c r="F143" s="239" t="s">
        <v>347</v>
      </c>
      <c r="G143" s="28" t="s">
        <v>12</v>
      </c>
      <c r="H143" s="270">
        <f t="shared" ref="H143" si="32">CHOOSE($H$2,CHOOSE($I143,M143,N143,O143,P143),CHOOSE($J143,M143,N143,O143,P143),CHOOSE($K143,M143,N143,O143,P143))</f>
        <v>1</v>
      </c>
      <c r="I143" s="240">
        <v>1</v>
      </c>
      <c r="J143" s="240">
        <v>2</v>
      </c>
      <c r="K143" s="242">
        <v>3</v>
      </c>
      <c r="L143" s="271"/>
      <c r="M143" s="272">
        <v>1</v>
      </c>
      <c r="N143" s="272">
        <v>1</v>
      </c>
      <c r="O143" s="272">
        <v>1</v>
      </c>
      <c r="P143" s="273">
        <v>1</v>
      </c>
    </row>
    <row r="144" spans="1:16" ht="12" customHeight="1" outlineLevel="2" x14ac:dyDescent="0.25">
      <c r="A144" s="53"/>
      <c r="B144" s="27"/>
      <c r="C144" s="27"/>
      <c r="D144" s="27" t="s">
        <v>165</v>
      </c>
      <c r="G144" s="28" t="s">
        <v>12</v>
      </c>
      <c r="H144" s="270" t="str">
        <f t="shared" si="30"/>
        <v>Last</v>
      </c>
      <c r="I144" s="240">
        <v>1</v>
      </c>
      <c r="J144" s="240">
        <v>2</v>
      </c>
      <c r="K144" s="242">
        <v>3</v>
      </c>
      <c r="L144" s="271"/>
      <c r="M144" s="274" t="s">
        <v>135</v>
      </c>
      <c r="N144" s="274" t="s">
        <v>135</v>
      </c>
      <c r="O144" s="274" t="s">
        <v>135</v>
      </c>
      <c r="P144" s="275" t="s">
        <v>135</v>
      </c>
    </row>
    <row r="145" spans="1:16" ht="12" customHeight="1" outlineLevel="1" x14ac:dyDescent="0.25">
      <c r="A145" s="53"/>
      <c r="B145" s="164">
        <f ca="1">MAX($A$1:B144)+0.01</f>
        <v>4.0899999999999981</v>
      </c>
      <c r="C145" s="27" t="str">
        <f>'1.3.Historical BS'!E60</f>
        <v>Advances from clients</v>
      </c>
      <c r="D145" s="27"/>
      <c r="H145" s="269"/>
      <c r="I145" s="210"/>
      <c r="J145" s="210"/>
      <c r="K145" s="210"/>
      <c r="L145" s="210"/>
      <c r="M145" s="210"/>
      <c r="N145" s="210"/>
      <c r="O145" s="210"/>
      <c r="P145" s="210"/>
    </row>
    <row r="146" spans="1:16" ht="12" customHeight="1" outlineLevel="2" x14ac:dyDescent="0.25">
      <c r="A146" s="53"/>
      <c r="B146" s="27"/>
      <c r="C146" s="27"/>
      <c r="D146" s="27" t="s">
        <v>166</v>
      </c>
      <c r="H146" s="269"/>
      <c r="I146" s="210"/>
      <c r="J146" s="210"/>
      <c r="K146" s="210"/>
      <c r="L146" s="210"/>
      <c r="M146" s="210"/>
      <c r="N146" s="210"/>
      <c r="O146" s="210"/>
      <c r="P146" s="210"/>
    </row>
    <row r="147" spans="1:16" ht="12" customHeight="1" outlineLevel="3" x14ac:dyDescent="0.25">
      <c r="A147" s="53"/>
      <c r="B147" s="27"/>
      <c r="C147" s="27"/>
      <c r="D147" s="27"/>
      <c r="F147" s="10" t="str">
        <f>'1.2.Historical IS'!$D$23</f>
        <v>Salaries, wages and related costs</v>
      </c>
      <c r="G147" s="28" t="s">
        <v>12</v>
      </c>
      <c r="H147" s="270">
        <f t="shared" ref="H147:H149" si="33">CHOOSE($H$2,CHOOSE($I147,M147,N147,O147,P147),CHOOSE($J147,M147,N147,O147,P147),CHOOSE($K147,M147,N147,O147,P147))</f>
        <v>0</v>
      </c>
      <c r="I147" s="240">
        <v>1</v>
      </c>
      <c r="J147" s="240">
        <v>2</v>
      </c>
      <c r="K147" s="242">
        <v>3</v>
      </c>
      <c r="L147" s="271"/>
      <c r="M147" s="272">
        <v>0</v>
      </c>
      <c r="N147" s="272">
        <v>0</v>
      </c>
      <c r="O147" s="272">
        <v>0</v>
      </c>
      <c r="P147" s="272">
        <v>0</v>
      </c>
    </row>
    <row r="148" spans="1:16" ht="12" customHeight="1" outlineLevel="3" x14ac:dyDescent="0.25">
      <c r="A148" s="53"/>
      <c r="B148" s="27"/>
      <c r="C148" s="27"/>
      <c r="D148" s="27"/>
      <c r="F148" s="10" t="str">
        <f>'1.2.Historical IS'!$D$27</f>
        <v>Other operating expenses</v>
      </c>
      <c r="G148" s="28" t="s">
        <v>12</v>
      </c>
      <c r="H148" s="270">
        <f t="shared" si="33"/>
        <v>1</v>
      </c>
      <c r="I148" s="240">
        <v>1</v>
      </c>
      <c r="J148" s="240">
        <v>2</v>
      </c>
      <c r="K148" s="242">
        <v>3</v>
      </c>
      <c r="L148" s="271"/>
      <c r="M148" s="272">
        <v>1</v>
      </c>
      <c r="N148" s="272">
        <v>1</v>
      </c>
      <c r="O148" s="272">
        <v>1</v>
      </c>
      <c r="P148" s="273">
        <v>1</v>
      </c>
    </row>
    <row r="149" spans="1:16" ht="12" customHeight="1" outlineLevel="2" x14ac:dyDescent="0.25">
      <c r="A149" s="53"/>
      <c r="B149" s="27"/>
      <c r="C149" s="27"/>
      <c r="D149" s="27" t="s">
        <v>165</v>
      </c>
      <c r="G149" s="28" t="s">
        <v>12</v>
      </c>
      <c r="H149" s="270" t="str">
        <f t="shared" si="33"/>
        <v>Last</v>
      </c>
      <c r="I149" s="240">
        <v>1</v>
      </c>
      <c r="J149" s="240">
        <v>2</v>
      </c>
      <c r="K149" s="242">
        <v>3</v>
      </c>
      <c r="L149" s="271"/>
      <c r="M149" s="274" t="s">
        <v>135</v>
      </c>
      <c r="N149" s="274" t="s">
        <v>135</v>
      </c>
      <c r="O149" s="274" t="s">
        <v>135</v>
      </c>
      <c r="P149" s="275" t="s">
        <v>135</v>
      </c>
    </row>
    <row r="150" spans="1:16" ht="12" customHeight="1" outlineLevel="1" x14ac:dyDescent="0.25">
      <c r="A150" s="53"/>
      <c r="B150" s="164">
        <f ca="1">MAX($A$1:B149)+0.01</f>
        <v>4.0999999999999979</v>
      </c>
      <c r="C150" s="27" t="str">
        <f>'1.3.Historical BS'!E61</f>
        <v>Trade payables</v>
      </c>
      <c r="D150" s="27"/>
      <c r="H150" s="269"/>
      <c r="I150" s="210"/>
      <c r="J150" s="210"/>
      <c r="K150" s="210"/>
      <c r="L150" s="210"/>
      <c r="M150" s="210"/>
      <c r="N150" s="210"/>
      <c r="O150" s="210"/>
      <c r="P150" s="210"/>
    </row>
    <row r="151" spans="1:16" ht="12" customHeight="1" outlineLevel="2" x14ac:dyDescent="0.25">
      <c r="A151" s="53"/>
      <c r="B151" s="27"/>
      <c r="C151" s="27"/>
      <c r="D151" s="27" t="s">
        <v>166</v>
      </c>
      <c r="H151" s="269"/>
      <c r="I151" s="210"/>
      <c r="J151" s="210"/>
      <c r="K151" s="210"/>
      <c r="L151" s="210"/>
      <c r="M151" s="210"/>
      <c r="N151" s="210"/>
      <c r="O151" s="210"/>
      <c r="P151" s="210"/>
    </row>
    <row r="152" spans="1:16" ht="12" customHeight="1" outlineLevel="3" x14ac:dyDescent="0.25">
      <c r="A152" s="53"/>
      <c r="B152" s="27"/>
      <c r="C152" s="27"/>
      <c r="D152" s="27"/>
      <c r="F152" s="10" t="str">
        <f>'1.2.Historical IS'!$D$23</f>
        <v>Salaries, wages and related costs</v>
      </c>
      <c r="G152" s="28" t="s">
        <v>12</v>
      </c>
      <c r="H152" s="270">
        <f t="shared" ref="H152:H154" si="34">CHOOSE($H$2,CHOOSE($I152,M152,N152,O152,P152),CHOOSE($J152,M152,N152,O152,P152),CHOOSE($K152,M152,N152,O152,P152))</f>
        <v>0</v>
      </c>
      <c r="I152" s="240">
        <v>1</v>
      </c>
      <c r="J152" s="240">
        <v>2</v>
      </c>
      <c r="K152" s="242">
        <v>3</v>
      </c>
      <c r="L152" s="271"/>
      <c r="M152" s="272">
        <v>0</v>
      </c>
      <c r="N152" s="272">
        <v>0</v>
      </c>
      <c r="O152" s="272">
        <v>0</v>
      </c>
      <c r="P152" s="272">
        <v>0</v>
      </c>
    </row>
    <row r="153" spans="1:16" ht="12" customHeight="1" outlineLevel="3" x14ac:dyDescent="0.25">
      <c r="A153" s="53"/>
      <c r="B153" s="27"/>
      <c r="C153" s="27"/>
      <c r="D153" s="27"/>
      <c r="F153" s="10" t="str">
        <f>'1.2.Historical IS'!$D$27</f>
        <v>Other operating expenses</v>
      </c>
      <c r="G153" s="28" t="s">
        <v>12</v>
      </c>
      <c r="H153" s="270">
        <f t="shared" si="34"/>
        <v>1</v>
      </c>
      <c r="I153" s="240">
        <v>1</v>
      </c>
      <c r="J153" s="240">
        <v>2</v>
      </c>
      <c r="K153" s="242">
        <v>3</v>
      </c>
      <c r="L153" s="271"/>
      <c r="M153" s="272">
        <v>1</v>
      </c>
      <c r="N153" s="272">
        <v>1</v>
      </c>
      <c r="O153" s="272">
        <v>1</v>
      </c>
      <c r="P153" s="273">
        <v>1</v>
      </c>
    </row>
    <row r="154" spans="1:16" ht="12" customHeight="1" outlineLevel="2" x14ac:dyDescent="0.25">
      <c r="A154" s="53"/>
      <c r="B154" s="27"/>
      <c r="C154" s="27"/>
      <c r="D154" s="27" t="s">
        <v>165</v>
      </c>
      <c r="G154" s="28" t="s">
        <v>12</v>
      </c>
      <c r="H154" s="270" t="str">
        <f t="shared" si="34"/>
        <v>Average</v>
      </c>
      <c r="I154" s="240">
        <v>1</v>
      </c>
      <c r="J154" s="240">
        <v>2</v>
      </c>
      <c r="K154" s="242">
        <v>3</v>
      </c>
      <c r="L154" s="271"/>
      <c r="M154" s="274" t="s">
        <v>116</v>
      </c>
      <c r="N154" s="274" t="s">
        <v>135</v>
      </c>
      <c r="O154" s="274" t="s">
        <v>135</v>
      </c>
      <c r="P154" s="275" t="s">
        <v>135</v>
      </c>
    </row>
    <row r="155" spans="1:16" ht="12" customHeight="1" outlineLevel="1" x14ac:dyDescent="0.25">
      <c r="A155" s="53"/>
      <c r="B155" s="164">
        <f ca="1">MAX($A$1:B154)+0.01</f>
        <v>4.1099999999999977</v>
      </c>
      <c r="C155" s="27" t="str">
        <f>'1.3.Historical BS'!E62</f>
        <v>Suppliers of non-current assets</v>
      </c>
      <c r="D155" s="27"/>
      <c r="H155" s="269"/>
      <c r="I155" s="210"/>
      <c r="J155" s="210"/>
      <c r="K155" s="210"/>
      <c r="L155" s="210"/>
      <c r="M155" s="210"/>
      <c r="N155" s="210"/>
      <c r="O155" s="210"/>
      <c r="P155" s="210"/>
    </row>
    <row r="156" spans="1:16" ht="12" customHeight="1" outlineLevel="2" x14ac:dyDescent="0.25">
      <c r="A156" s="53"/>
      <c r="B156" s="27"/>
      <c r="C156" s="27"/>
      <c r="D156" s="27" t="s">
        <v>166</v>
      </c>
      <c r="H156" s="269"/>
      <c r="I156" s="210"/>
      <c r="J156" s="210"/>
      <c r="K156" s="210"/>
      <c r="L156" s="210"/>
      <c r="M156" s="210"/>
      <c r="N156" s="210"/>
      <c r="O156" s="210"/>
      <c r="P156" s="210"/>
    </row>
    <row r="157" spans="1:16" ht="12" customHeight="1" outlineLevel="3" x14ac:dyDescent="0.25">
      <c r="A157" s="53"/>
      <c r="B157" s="27"/>
      <c r="C157" s="27"/>
      <c r="D157" s="27"/>
      <c r="F157" s="10" t="str">
        <f>'1.2.Historical IS'!$D$23</f>
        <v>Salaries, wages and related costs</v>
      </c>
      <c r="G157" s="28" t="s">
        <v>12</v>
      </c>
      <c r="H157" s="270">
        <f t="shared" ref="H157:H159" si="35">CHOOSE($H$2,CHOOSE($I157,M157,N157,O157,P157),CHOOSE($J157,M157,N157,O157,P157),CHOOSE($K157,M157,N157,O157,P157))</f>
        <v>0</v>
      </c>
      <c r="I157" s="240">
        <v>1</v>
      </c>
      <c r="J157" s="240">
        <v>2</v>
      </c>
      <c r="K157" s="242">
        <v>3</v>
      </c>
      <c r="L157" s="271"/>
      <c r="M157" s="272">
        <v>0</v>
      </c>
      <c r="N157" s="272">
        <v>0</v>
      </c>
      <c r="O157" s="272">
        <v>0</v>
      </c>
      <c r="P157" s="272">
        <v>0</v>
      </c>
    </row>
    <row r="158" spans="1:16" ht="12" customHeight="1" outlineLevel="3" x14ac:dyDescent="0.25">
      <c r="A158" s="53"/>
      <c r="B158" s="27"/>
      <c r="C158" s="27"/>
      <c r="D158" s="27"/>
      <c r="F158" s="10" t="str">
        <f>'1.2.Historical IS'!$D$27</f>
        <v>Other operating expenses</v>
      </c>
      <c r="G158" s="28" t="s">
        <v>12</v>
      </c>
      <c r="H158" s="270">
        <f t="shared" si="35"/>
        <v>1</v>
      </c>
      <c r="I158" s="240">
        <v>1</v>
      </c>
      <c r="J158" s="240">
        <v>2</v>
      </c>
      <c r="K158" s="242">
        <v>3</v>
      </c>
      <c r="L158" s="271"/>
      <c r="M158" s="272">
        <v>1</v>
      </c>
      <c r="N158" s="272">
        <v>1</v>
      </c>
      <c r="O158" s="272">
        <v>1</v>
      </c>
      <c r="P158" s="273">
        <v>1</v>
      </c>
    </row>
    <row r="159" spans="1:16" ht="12" customHeight="1" outlineLevel="2" x14ac:dyDescent="0.25">
      <c r="A159" s="53"/>
      <c r="B159" s="27"/>
      <c r="C159" s="27"/>
      <c r="D159" s="27" t="s">
        <v>165</v>
      </c>
      <c r="G159" s="28" t="s">
        <v>12</v>
      </c>
      <c r="H159" s="270" t="str">
        <f t="shared" si="35"/>
        <v>Last</v>
      </c>
      <c r="I159" s="240">
        <v>1</v>
      </c>
      <c r="J159" s="240">
        <v>2</v>
      </c>
      <c r="K159" s="242">
        <v>3</v>
      </c>
      <c r="L159" s="271"/>
      <c r="M159" s="274" t="s">
        <v>135</v>
      </c>
      <c r="N159" s="274" t="s">
        <v>135</v>
      </c>
      <c r="O159" s="274" t="s">
        <v>135</v>
      </c>
      <c r="P159" s="275" t="s">
        <v>135</v>
      </c>
    </row>
    <row r="160" spans="1:16" ht="12" customHeight="1" outlineLevel="1" x14ac:dyDescent="0.25">
      <c r="A160" s="53"/>
      <c r="B160" s="164">
        <f ca="1">MAX($A$1:B159)+0.01</f>
        <v>4.1199999999999974</v>
      </c>
      <c r="C160" s="27" t="str">
        <f>'1.3.Historical BS'!E63</f>
        <v>Salaries and related payables</v>
      </c>
      <c r="D160" s="27"/>
      <c r="H160" s="269"/>
      <c r="I160" s="210"/>
      <c r="J160" s="210"/>
      <c r="K160" s="210"/>
      <c r="L160" s="210"/>
      <c r="M160" s="210"/>
      <c r="N160" s="210"/>
      <c r="O160" s="210"/>
      <c r="P160" s="210"/>
    </row>
    <row r="161" spans="1:16" ht="12" customHeight="1" outlineLevel="2" x14ac:dyDescent="0.25">
      <c r="A161" s="53"/>
      <c r="B161" s="27"/>
      <c r="C161" s="27"/>
      <c r="D161" s="27" t="s">
        <v>166</v>
      </c>
      <c r="H161" s="269"/>
      <c r="I161" s="210"/>
      <c r="J161" s="210"/>
      <c r="K161" s="210"/>
      <c r="L161" s="210"/>
      <c r="M161" s="210"/>
      <c r="N161" s="210"/>
      <c r="O161" s="210"/>
      <c r="P161" s="210"/>
    </row>
    <row r="162" spans="1:16" ht="12" customHeight="1" outlineLevel="3" x14ac:dyDescent="0.25">
      <c r="A162" s="53"/>
      <c r="B162" s="27"/>
      <c r="C162" s="27"/>
      <c r="D162" s="27"/>
      <c r="F162" s="10" t="str">
        <f>'1.2.Historical IS'!$D$23</f>
        <v>Salaries, wages and related costs</v>
      </c>
      <c r="G162" s="28" t="s">
        <v>12</v>
      </c>
      <c r="H162" s="270">
        <f t="shared" ref="H162:H164" si="36">CHOOSE($H$2,CHOOSE($I162,M162,N162,O162,P162),CHOOSE($J162,M162,N162,O162,P162),CHOOSE($K162,M162,N162,O162,P162))</f>
        <v>1</v>
      </c>
      <c r="I162" s="240">
        <v>1</v>
      </c>
      <c r="J162" s="240">
        <v>2</v>
      </c>
      <c r="K162" s="242">
        <v>3</v>
      </c>
      <c r="L162" s="271"/>
      <c r="M162" s="272">
        <v>1</v>
      </c>
      <c r="N162" s="272">
        <v>1</v>
      </c>
      <c r="O162" s="272">
        <v>1</v>
      </c>
      <c r="P162" s="273">
        <v>1</v>
      </c>
    </row>
    <row r="163" spans="1:16" ht="12" customHeight="1" outlineLevel="3" x14ac:dyDescent="0.25">
      <c r="A163" s="53"/>
      <c r="B163" s="27"/>
      <c r="C163" s="27"/>
      <c r="D163" s="27"/>
      <c r="F163" s="10" t="str">
        <f>'1.2.Historical IS'!$D$27</f>
        <v>Other operating expenses</v>
      </c>
      <c r="G163" s="28" t="s">
        <v>12</v>
      </c>
      <c r="H163" s="270">
        <f t="shared" si="36"/>
        <v>0</v>
      </c>
      <c r="I163" s="240">
        <v>1</v>
      </c>
      <c r="J163" s="240">
        <v>2</v>
      </c>
      <c r="K163" s="242">
        <v>3</v>
      </c>
      <c r="L163" s="271"/>
      <c r="M163" s="272">
        <v>0</v>
      </c>
      <c r="N163" s="272">
        <v>0</v>
      </c>
      <c r="O163" s="272">
        <v>0</v>
      </c>
      <c r="P163" s="272">
        <v>0</v>
      </c>
    </row>
    <row r="164" spans="1:16" ht="12" customHeight="1" outlineLevel="2" x14ac:dyDescent="0.25">
      <c r="A164" s="53"/>
      <c r="B164" s="27"/>
      <c r="C164" s="27"/>
      <c r="D164" s="27" t="s">
        <v>165</v>
      </c>
      <c r="G164" s="28" t="s">
        <v>12</v>
      </c>
      <c r="H164" s="270" t="str">
        <f t="shared" si="36"/>
        <v>Average</v>
      </c>
      <c r="I164" s="240">
        <v>1</v>
      </c>
      <c r="J164" s="240">
        <v>2</v>
      </c>
      <c r="K164" s="242">
        <v>3</v>
      </c>
      <c r="L164" s="271"/>
      <c r="M164" s="274" t="s">
        <v>116</v>
      </c>
      <c r="N164" s="274" t="s">
        <v>135</v>
      </c>
      <c r="O164" s="274" t="s">
        <v>135</v>
      </c>
      <c r="P164" s="275" t="s">
        <v>135</v>
      </c>
    </row>
    <row r="165" spans="1:16" ht="12" customHeight="1" outlineLevel="1" x14ac:dyDescent="0.25">
      <c r="A165" s="53"/>
      <c r="B165" s="164">
        <f ca="1">MAX($A$1:B164)+0.01</f>
        <v>4.1299999999999972</v>
      </c>
      <c r="C165" s="27" t="str">
        <f>'1.3.Historical BS'!E64</f>
        <v>VAT payable</v>
      </c>
      <c r="D165" s="27"/>
      <c r="H165" s="269"/>
      <c r="I165" s="210"/>
      <c r="J165" s="210"/>
      <c r="K165" s="210"/>
      <c r="L165" s="210"/>
      <c r="M165" s="210"/>
      <c r="N165" s="210"/>
      <c r="O165" s="210"/>
      <c r="P165" s="210"/>
    </row>
    <row r="166" spans="1:16" ht="12" customHeight="1" outlineLevel="2" x14ac:dyDescent="0.25">
      <c r="A166" s="53"/>
      <c r="B166" s="27"/>
      <c r="C166" s="27"/>
      <c r="D166" s="27" t="s">
        <v>166</v>
      </c>
      <c r="H166" s="269"/>
      <c r="I166" s="210"/>
      <c r="J166" s="210"/>
      <c r="K166" s="210"/>
      <c r="L166" s="210"/>
      <c r="M166" s="210"/>
      <c r="N166" s="210"/>
      <c r="O166" s="210"/>
      <c r="P166" s="210"/>
    </row>
    <row r="167" spans="1:16" ht="12" customHeight="1" outlineLevel="3" x14ac:dyDescent="0.25">
      <c r="A167" s="53"/>
      <c r="B167" s="27"/>
      <c r="C167" s="27"/>
      <c r="D167" s="27"/>
      <c r="F167" s="10" t="str">
        <f>'1.2.Historical IS'!$D$23</f>
        <v>Salaries, wages and related costs</v>
      </c>
      <c r="G167" s="28" t="s">
        <v>12</v>
      </c>
      <c r="H167" s="270">
        <f t="shared" ref="H167:H169" si="37">CHOOSE($H$2,CHOOSE($I167,M167,N167,O167,P167),CHOOSE($J167,M167,N167,O167,P167),CHOOSE($K167,M167,N167,O167,P167))</f>
        <v>0</v>
      </c>
      <c r="I167" s="240">
        <v>1</v>
      </c>
      <c r="J167" s="240">
        <v>2</v>
      </c>
      <c r="K167" s="242">
        <v>3</v>
      </c>
      <c r="L167" s="271"/>
      <c r="M167" s="272">
        <v>0</v>
      </c>
      <c r="N167" s="272">
        <v>0</v>
      </c>
      <c r="O167" s="272">
        <v>0</v>
      </c>
      <c r="P167" s="272">
        <v>0</v>
      </c>
    </row>
    <row r="168" spans="1:16" ht="12" customHeight="1" outlineLevel="3" x14ac:dyDescent="0.25">
      <c r="A168" s="53"/>
      <c r="B168" s="27"/>
      <c r="C168" s="27"/>
      <c r="D168" s="27"/>
      <c r="F168" s="10" t="str">
        <f>'1.2.Historical IS'!$D$27</f>
        <v>Other operating expenses</v>
      </c>
      <c r="G168" s="28" t="s">
        <v>12</v>
      </c>
      <c r="H168" s="270">
        <f t="shared" si="37"/>
        <v>1</v>
      </c>
      <c r="I168" s="240">
        <v>1</v>
      </c>
      <c r="J168" s="240">
        <v>2</v>
      </c>
      <c r="K168" s="242">
        <v>3</v>
      </c>
      <c r="L168" s="271"/>
      <c r="M168" s="272">
        <v>1</v>
      </c>
      <c r="N168" s="272">
        <v>1</v>
      </c>
      <c r="O168" s="272">
        <v>1</v>
      </c>
      <c r="P168" s="273">
        <v>1</v>
      </c>
    </row>
    <row r="169" spans="1:16" ht="12" customHeight="1" outlineLevel="2" x14ac:dyDescent="0.25">
      <c r="A169" s="53"/>
      <c r="B169" s="27"/>
      <c r="C169" s="27"/>
      <c r="D169" s="27" t="s">
        <v>165</v>
      </c>
      <c r="G169" s="28" t="s">
        <v>12</v>
      </c>
      <c r="H169" s="270" t="str">
        <f t="shared" si="37"/>
        <v>Average</v>
      </c>
      <c r="I169" s="240">
        <v>1</v>
      </c>
      <c r="J169" s="240">
        <v>2</v>
      </c>
      <c r="K169" s="242">
        <v>3</v>
      </c>
      <c r="L169" s="271"/>
      <c r="M169" s="274" t="s">
        <v>116</v>
      </c>
      <c r="N169" s="274" t="s">
        <v>135</v>
      </c>
      <c r="O169" s="274" t="s">
        <v>135</v>
      </c>
      <c r="P169" s="275" t="s">
        <v>135</v>
      </c>
    </row>
    <row r="170" spans="1:16" ht="12" customHeight="1" outlineLevel="1" x14ac:dyDescent="0.25">
      <c r="A170" s="53"/>
      <c r="B170" s="164">
        <f ca="1">MAX($A$1:B169)+0.01</f>
        <v>4.139999999999997</v>
      </c>
      <c r="C170" s="27" t="str">
        <f>'1.3.Historical BS'!E65</f>
        <v>Other debts payable to the Treasury</v>
      </c>
      <c r="D170" s="27"/>
      <c r="H170" s="269"/>
      <c r="I170" s="210"/>
      <c r="J170" s="210"/>
      <c r="K170" s="210"/>
      <c r="L170" s="210"/>
      <c r="M170" s="210"/>
      <c r="N170" s="210"/>
      <c r="O170" s="210"/>
      <c r="P170" s="210"/>
    </row>
    <row r="171" spans="1:16" ht="12" customHeight="1" outlineLevel="2" x14ac:dyDescent="0.25">
      <c r="A171" s="53"/>
      <c r="B171" s="27"/>
      <c r="C171" s="27"/>
      <c r="D171" s="27" t="s">
        <v>166</v>
      </c>
      <c r="H171" s="269"/>
      <c r="I171" s="210"/>
      <c r="J171" s="210"/>
      <c r="K171" s="210"/>
      <c r="L171" s="210"/>
      <c r="M171" s="210"/>
      <c r="N171" s="210"/>
      <c r="O171" s="210"/>
      <c r="P171" s="210"/>
    </row>
    <row r="172" spans="1:16" ht="12" customHeight="1" outlineLevel="3" x14ac:dyDescent="0.25">
      <c r="A172" s="53"/>
      <c r="B172" s="27"/>
      <c r="C172" s="27"/>
      <c r="D172" s="27"/>
      <c r="F172" s="10" t="str">
        <f>'1.2.Historical IS'!$D$23</f>
        <v>Salaries, wages and related costs</v>
      </c>
      <c r="G172" s="28" t="s">
        <v>12</v>
      </c>
      <c r="H172" s="270">
        <f t="shared" ref="H172:H174" si="38">CHOOSE($H$2,CHOOSE($I172,M172,N172,O172,P172),CHOOSE($J172,M172,N172,O172,P172),CHOOSE($K172,M172,N172,O172,P172))</f>
        <v>0</v>
      </c>
      <c r="I172" s="240">
        <v>1</v>
      </c>
      <c r="J172" s="240">
        <v>2</v>
      </c>
      <c r="K172" s="242">
        <v>3</v>
      </c>
      <c r="L172" s="271"/>
      <c r="M172" s="272">
        <v>0</v>
      </c>
      <c r="N172" s="272">
        <v>0</v>
      </c>
      <c r="O172" s="272">
        <v>0</v>
      </c>
      <c r="P172" s="272">
        <v>0</v>
      </c>
    </row>
    <row r="173" spans="1:16" ht="12" customHeight="1" outlineLevel="3" x14ac:dyDescent="0.25">
      <c r="A173" s="53"/>
      <c r="B173" s="27"/>
      <c r="C173" s="27"/>
      <c r="D173" s="27"/>
      <c r="F173" s="10" t="str">
        <f>'1.2.Historical IS'!$D$27</f>
        <v>Other operating expenses</v>
      </c>
      <c r="G173" s="28" t="s">
        <v>12</v>
      </c>
      <c r="H173" s="270">
        <f t="shared" si="38"/>
        <v>1</v>
      </c>
      <c r="I173" s="240">
        <v>1</v>
      </c>
      <c r="J173" s="240">
        <v>2</v>
      </c>
      <c r="K173" s="242">
        <v>3</v>
      </c>
      <c r="L173" s="271"/>
      <c r="M173" s="272">
        <v>1</v>
      </c>
      <c r="N173" s="272">
        <v>1</v>
      </c>
      <c r="O173" s="272">
        <v>1</v>
      </c>
      <c r="P173" s="273">
        <v>1</v>
      </c>
    </row>
    <row r="174" spans="1:16" ht="12" customHeight="1" outlineLevel="2" x14ac:dyDescent="0.25">
      <c r="A174" s="53"/>
      <c r="B174" s="27"/>
      <c r="C174" s="27"/>
      <c r="D174" s="27" t="s">
        <v>165</v>
      </c>
      <c r="G174" s="28" t="s">
        <v>12</v>
      </c>
      <c r="H174" s="270" t="str">
        <f t="shared" si="38"/>
        <v>Average</v>
      </c>
      <c r="I174" s="240">
        <v>1</v>
      </c>
      <c r="J174" s="240">
        <v>2</v>
      </c>
      <c r="K174" s="242">
        <v>3</v>
      </c>
      <c r="L174" s="271"/>
      <c r="M174" s="274" t="s">
        <v>116</v>
      </c>
      <c r="N174" s="274" t="s">
        <v>135</v>
      </c>
      <c r="O174" s="274" t="s">
        <v>135</v>
      </c>
      <c r="P174" s="275" t="s">
        <v>135</v>
      </c>
    </row>
    <row r="175" spans="1:16" ht="12" customHeight="1" outlineLevel="1" x14ac:dyDescent="0.25">
      <c r="A175" s="53"/>
      <c r="B175" s="164">
        <f ca="1">MAX($A$1:B174)+0.01</f>
        <v>4.1499999999999968</v>
      </c>
      <c r="C175" s="27" t="str">
        <f>'1.3.Historical BS'!E66</f>
        <v>Shareholders/ associates - current accounts</v>
      </c>
      <c r="D175" s="27"/>
      <c r="H175" s="269"/>
      <c r="I175" s="210"/>
      <c r="J175" s="210"/>
      <c r="K175" s="210"/>
      <c r="L175" s="210"/>
      <c r="M175" s="210"/>
      <c r="N175" s="210"/>
      <c r="O175" s="210"/>
      <c r="P175" s="210"/>
    </row>
    <row r="176" spans="1:16" ht="12" customHeight="1" outlineLevel="2" x14ac:dyDescent="0.25">
      <c r="A176" s="53"/>
      <c r="B176" s="27"/>
      <c r="C176" s="27"/>
      <c r="D176" s="27" t="s">
        <v>166</v>
      </c>
      <c r="H176" s="269"/>
      <c r="I176" s="210"/>
      <c r="J176" s="210"/>
      <c r="K176" s="210"/>
      <c r="L176" s="210"/>
      <c r="M176" s="210"/>
      <c r="N176" s="210"/>
      <c r="O176" s="210"/>
      <c r="P176" s="210"/>
    </row>
    <row r="177" spans="1:17" ht="12" customHeight="1" outlineLevel="3" x14ac:dyDescent="0.25">
      <c r="A177" s="53"/>
      <c r="B177" s="27"/>
      <c r="C177" s="27"/>
      <c r="D177" s="27"/>
      <c r="F177" s="10" t="str">
        <f>'1.2.Historical IS'!$D$23</f>
        <v>Salaries, wages and related costs</v>
      </c>
      <c r="G177" s="28" t="s">
        <v>12</v>
      </c>
      <c r="H177" s="270">
        <f t="shared" ref="H177:H179" si="39">CHOOSE($H$2,CHOOSE($I177,M177,N177,O177,P177),CHOOSE($J177,M177,N177,O177,P177),CHOOSE($K177,M177,N177,O177,P177))</f>
        <v>0</v>
      </c>
      <c r="I177" s="240">
        <v>1</v>
      </c>
      <c r="J177" s="240">
        <v>2</v>
      </c>
      <c r="K177" s="242">
        <v>3</v>
      </c>
      <c r="L177" s="271"/>
      <c r="M177" s="272">
        <v>0</v>
      </c>
      <c r="N177" s="272">
        <v>0</v>
      </c>
      <c r="O177" s="272">
        <v>0</v>
      </c>
      <c r="P177" s="272">
        <v>0</v>
      </c>
    </row>
    <row r="178" spans="1:17" ht="12" customHeight="1" outlineLevel="3" x14ac:dyDescent="0.25">
      <c r="A178" s="53"/>
      <c r="B178" s="27"/>
      <c r="C178" s="27"/>
      <c r="D178" s="27"/>
      <c r="F178" s="10" t="str">
        <f>'1.2.Historical IS'!$D$27</f>
        <v>Other operating expenses</v>
      </c>
      <c r="G178" s="28" t="s">
        <v>12</v>
      </c>
      <c r="H178" s="270">
        <f t="shared" si="39"/>
        <v>1</v>
      </c>
      <c r="I178" s="240">
        <v>1</v>
      </c>
      <c r="J178" s="240">
        <v>2</v>
      </c>
      <c r="K178" s="242">
        <v>3</v>
      </c>
      <c r="L178" s="271"/>
      <c r="M178" s="272">
        <v>1</v>
      </c>
      <c r="N178" s="272">
        <v>1</v>
      </c>
      <c r="O178" s="272">
        <v>1</v>
      </c>
      <c r="P178" s="273">
        <v>1</v>
      </c>
    </row>
    <row r="179" spans="1:17" ht="12" customHeight="1" outlineLevel="2" x14ac:dyDescent="0.25">
      <c r="A179" s="53"/>
      <c r="B179" s="27"/>
      <c r="C179" s="27"/>
      <c r="D179" s="27" t="s">
        <v>165</v>
      </c>
      <c r="G179" s="28" t="s">
        <v>12</v>
      </c>
      <c r="H179" s="270" t="str">
        <f t="shared" si="39"/>
        <v>Average</v>
      </c>
      <c r="I179" s="240">
        <v>1</v>
      </c>
      <c r="J179" s="240">
        <v>2</v>
      </c>
      <c r="K179" s="242">
        <v>3</v>
      </c>
      <c r="L179" s="271"/>
      <c r="M179" s="274" t="s">
        <v>116</v>
      </c>
      <c r="N179" s="274" t="s">
        <v>135</v>
      </c>
      <c r="O179" s="274" t="s">
        <v>135</v>
      </c>
      <c r="P179" s="275" t="s">
        <v>135</v>
      </c>
    </row>
    <row r="180" spans="1:17" ht="12" customHeight="1" outlineLevel="1" x14ac:dyDescent="0.25">
      <c r="A180" s="53"/>
      <c r="B180" s="164">
        <f ca="1">MAX($A$1:B179)+0.01</f>
        <v>4.1599999999999966</v>
      </c>
      <c r="C180" s="27" t="str">
        <f>'1.3.Historical BS'!E67</f>
        <v>Other payables and accrued expenses</v>
      </c>
      <c r="D180" s="27"/>
      <c r="H180" s="269"/>
      <c r="I180" s="210"/>
      <c r="J180" s="210"/>
      <c r="K180" s="210"/>
      <c r="L180" s="210"/>
      <c r="M180" s="210"/>
      <c r="N180" s="210"/>
      <c r="O180" s="210"/>
      <c r="P180" s="210"/>
    </row>
    <row r="181" spans="1:17" ht="12" customHeight="1" outlineLevel="2" x14ac:dyDescent="0.25">
      <c r="A181" s="53"/>
      <c r="B181" s="27"/>
      <c r="C181" s="27"/>
      <c r="D181" s="27" t="s">
        <v>166</v>
      </c>
      <c r="H181" s="269"/>
      <c r="I181" s="210"/>
      <c r="J181" s="210"/>
      <c r="K181" s="210"/>
      <c r="L181" s="210"/>
      <c r="M181" s="210"/>
      <c r="N181" s="210"/>
      <c r="O181" s="210"/>
      <c r="P181" s="210"/>
    </row>
    <row r="182" spans="1:17" ht="12" customHeight="1" outlineLevel="3" x14ac:dyDescent="0.25">
      <c r="A182" s="53"/>
      <c r="B182" s="27"/>
      <c r="C182" s="27"/>
      <c r="D182" s="27"/>
      <c r="F182" s="10" t="str">
        <f>'1.2.Historical IS'!$D$23</f>
        <v>Salaries, wages and related costs</v>
      </c>
      <c r="G182" s="28" t="s">
        <v>12</v>
      </c>
      <c r="H182" s="270">
        <f t="shared" ref="H182:H184" si="40">CHOOSE($H$2,CHOOSE($I182,M182,N182,O182,P182),CHOOSE($J182,M182,N182,O182,P182),CHOOSE($K182,M182,N182,O182,P182))</f>
        <v>0</v>
      </c>
      <c r="I182" s="240">
        <v>1</v>
      </c>
      <c r="J182" s="240">
        <v>2</v>
      </c>
      <c r="K182" s="242">
        <v>3</v>
      </c>
      <c r="L182" s="271"/>
      <c r="M182" s="272">
        <v>0</v>
      </c>
      <c r="N182" s="272">
        <v>0</v>
      </c>
      <c r="O182" s="272">
        <v>0</v>
      </c>
      <c r="P182" s="272">
        <v>0</v>
      </c>
    </row>
    <row r="183" spans="1:17" ht="12" customHeight="1" outlineLevel="3" x14ac:dyDescent="0.25">
      <c r="A183" s="53"/>
      <c r="B183" s="27"/>
      <c r="C183" s="27"/>
      <c r="D183" s="27"/>
      <c r="F183" s="10" t="str">
        <f>'1.2.Historical IS'!$D$27</f>
        <v>Other operating expenses</v>
      </c>
      <c r="G183" s="28" t="s">
        <v>12</v>
      </c>
      <c r="H183" s="270">
        <f t="shared" si="40"/>
        <v>1</v>
      </c>
      <c r="I183" s="240">
        <v>1</v>
      </c>
      <c r="J183" s="240">
        <v>2</v>
      </c>
      <c r="K183" s="242">
        <v>3</v>
      </c>
      <c r="L183" s="271"/>
      <c r="M183" s="272">
        <v>1</v>
      </c>
      <c r="N183" s="272">
        <v>1</v>
      </c>
      <c r="O183" s="272">
        <v>1</v>
      </c>
      <c r="P183" s="273">
        <v>1</v>
      </c>
    </row>
    <row r="184" spans="1:17" ht="12" customHeight="1" outlineLevel="2" x14ac:dyDescent="0.25">
      <c r="B184" s="27"/>
      <c r="C184" s="27"/>
      <c r="D184" s="27" t="s">
        <v>165</v>
      </c>
      <c r="G184" s="28" t="s">
        <v>12</v>
      </c>
      <c r="H184" s="270" t="str">
        <f t="shared" si="40"/>
        <v>Average</v>
      </c>
      <c r="I184" s="240">
        <v>1</v>
      </c>
      <c r="J184" s="240">
        <v>2</v>
      </c>
      <c r="K184" s="242">
        <v>3</v>
      </c>
      <c r="L184" s="271"/>
      <c r="M184" s="274" t="s">
        <v>116</v>
      </c>
      <c r="N184" s="274" t="s">
        <v>135</v>
      </c>
      <c r="O184" s="274" t="s">
        <v>135</v>
      </c>
      <c r="P184" s="275" t="s">
        <v>135</v>
      </c>
    </row>
    <row r="185" spans="1:17" ht="12" customHeight="1" x14ac:dyDescent="0.25">
      <c r="B185" s="27"/>
      <c r="C185" s="27"/>
      <c r="D185" s="27"/>
      <c r="H185" s="269"/>
      <c r="I185" s="210"/>
      <c r="J185" s="210"/>
      <c r="K185" s="210"/>
      <c r="L185" s="210"/>
      <c r="M185" s="210"/>
      <c r="N185" s="210"/>
      <c r="O185" s="210"/>
      <c r="P185" s="210"/>
    </row>
    <row r="186" spans="1:17" ht="12" customHeight="1" x14ac:dyDescent="0.25">
      <c r="A186" s="14">
        <f ca="1">MAX($A$1:A88)+1</f>
        <v>5</v>
      </c>
      <c r="B186" s="15" t="s">
        <v>129</v>
      </c>
      <c r="C186" s="15"/>
      <c r="D186" s="15"/>
      <c r="E186" s="15"/>
      <c r="F186" s="16"/>
      <c r="G186" s="17"/>
      <c r="H186" s="266"/>
      <c r="I186" s="267"/>
      <c r="J186" s="267"/>
      <c r="K186" s="267"/>
      <c r="L186" s="268"/>
      <c r="M186" s="268"/>
      <c r="N186" s="268"/>
      <c r="O186" s="268"/>
      <c r="P186" s="268"/>
      <c r="Q186" s="10"/>
    </row>
    <row r="187" spans="1:17" ht="12" customHeight="1" outlineLevel="1" x14ac:dyDescent="0.25">
      <c r="B187" s="27"/>
      <c r="C187" s="27"/>
      <c r="D187" s="27"/>
      <c r="H187" s="269"/>
      <c r="I187" s="210"/>
      <c r="J187" s="210"/>
      <c r="K187" s="210"/>
      <c r="L187" s="210"/>
      <c r="M187" s="210"/>
      <c r="N187" s="210"/>
      <c r="O187" s="210"/>
      <c r="P187" s="210"/>
    </row>
    <row r="188" spans="1:17" ht="12" customHeight="1" outlineLevel="1" x14ac:dyDescent="0.25">
      <c r="A188" s="53"/>
      <c r="B188" s="25">
        <f ca="1">MAX($A$1:B187)+0.1</f>
        <v>5.0999999999999996</v>
      </c>
      <c r="C188" s="27" t="s">
        <v>170</v>
      </c>
      <c r="D188" s="27"/>
      <c r="H188" s="269"/>
      <c r="I188" s="210"/>
      <c r="J188" s="210"/>
      <c r="K188" s="210"/>
      <c r="L188" s="210"/>
      <c r="M188" s="210"/>
      <c r="N188" s="210"/>
      <c r="O188" s="210"/>
      <c r="P188" s="210"/>
    </row>
    <row r="189" spans="1:17" ht="12" customHeight="1" outlineLevel="2" x14ac:dyDescent="0.25">
      <c r="A189" s="53"/>
      <c r="B189" s="25"/>
      <c r="C189" s="27"/>
      <c r="D189" s="27" t="str">
        <f>'1.3.Historical BS'!E10</f>
        <v>Concessions, patents, licenses, trademarks and similar rights and assets</v>
      </c>
      <c r="G189" s="28" t="s">
        <v>86</v>
      </c>
      <c r="H189" s="276">
        <f t="shared" ref="H189:H190" si="41">CHOOSE($H$2,CHOOSE($I189,M189,N189,P189),CHOOSE($J189,M189,N189,P189),CHOOSE($K189,M189,N189,P189))</f>
        <v>5</v>
      </c>
      <c r="I189" s="277">
        <v>1</v>
      </c>
      <c r="J189" s="240">
        <v>2</v>
      </c>
      <c r="K189" s="242">
        <v>3</v>
      </c>
      <c r="L189" s="210"/>
      <c r="M189" s="244">
        <v>5</v>
      </c>
      <c r="N189" s="244">
        <v>5</v>
      </c>
      <c r="O189" s="244">
        <v>5</v>
      </c>
      <c r="P189" s="245">
        <v>5</v>
      </c>
    </row>
    <row r="190" spans="1:17" ht="12" customHeight="1" outlineLevel="2" x14ac:dyDescent="0.25">
      <c r="A190" s="53"/>
      <c r="B190" s="25"/>
      <c r="C190" s="27"/>
      <c r="D190" s="27" t="str">
        <f>'1.3.Historical BS'!E11</f>
        <v>Goodwill and others</v>
      </c>
      <c r="G190" s="28" t="s">
        <v>86</v>
      </c>
      <c r="H190" s="276">
        <f t="shared" si="41"/>
        <v>0</v>
      </c>
      <c r="I190" s="277">
        <v>1</v>
      </c>
      <c r="J190" s="240">
        <v>2</v>
      </c>
      <c r="K190" s="242">
        <v>3</v>
      </c>
      <c r="L190" s="210"/>
      <c r="M190" s="244">
        <v>0</v>
      </c>
      <c r="N190" s="244">
        <v>0</v>
      </c>
      <c r="O190" s="244">
        <v>0</v>
      </c>
      <c r="P190" s="245">
        <v>0</v>
      </c>
    </row>
    <row r="191" spans="1:17" ht="12" customHeight="1" outlineLevel="2" x14ac:dyDescent="0.25">
      <c r="A191" s="53"/>
      <c r="B191" s="25"/>
      <c r="C191" s="27"/>
      <c r="D191" s="27" t="str">
        <f>'1.3.Historical BS'!E16</f>
        <v>Plant, machinery and motor vehicles</v>
      </c>
      <c r="G191" s="28" t="s">
        <v>86</v>
      </c>
      <c r="H191" s="622">
        <f>CHOOSE($H$2,CHOOSE($I191,M191,N191,P191),CHOOSE($J191,M191,N191,P191),CHOOSE($K191,M191,N191,P191))</f>
        <v>9</v>
      </c>
      <c r="I191" s="277">
        <v>1</v>
      </c>
      <c r="J191" s="240">
        <v>2</v>
      </c>
      <c r="K191" s="242">
        <v>3</v>
      </c>
      <c r="L191" s="210"/>
      <c r="M191" s="244">
        <v>9</v>
      </c>
      <c r="N191" s="244">
        <v>10</v>
      </c>
      <c r="O191" s="244">
        <v>16</v>
      </c>
      <c r="P191" s="244">
        <v>16</v>
      </c>
    </row>
    <row r="192" spans="1:17" ht="12" customHeight="1" x14ac:dyDescent="0.25">
      <c r="B192" s="27"/>
      <c r="C192" s="27"/>
      <c r="D192" s="27"/>
      <c r="H192" s="269"/>
      <c r="I192" s="210"/>
      <c r="J192" s="210"/>
      <c r="K192" s="210"/>
      <c r="L192" s="210"/>
      <c r="M192" s="210"/>
      <c r="N192" s="210"/>
      <c r="O192" s="210"/>
      <c r="P192" s="210"/>
    </row>
    <row r="193" spans="1:17" ht="12" customHeight="1" x14ac:dyDescent="0.25">
      <c r="A193" s="14">
        <f ca="1">MAX($A$1:A192)+1</f>
        <v>6</v>
      </c>
      <c r="B193" s="15" t="s">
        <v>87</v>
      </c>
      <c r="C193" s="15"/>
      <c r="D193" s="15"/>
      <c r="E193" s="15"/>
      <c r="F193" s="16"/>
      <c r="G193" s="17"/>
      <c r="H193" s="266"/>
      <c r="I193" s="267"/>
      <c r="J193" s="267"/>
      <c r="K193" s="267"/>
      <c r="L193" s="268"/>
      <c r="M193" s="268"/>
      <c r="N193" s="268"/>
      <c r="O193" s="268"/>
      <c r="P193" s="268"/>
      <c r="Q193" s="10"/>
    </row>
    <row r="194" spans="1:17" ht="12" customHeight="1" outlineLevel="1" x14ac:dyDescent="0.25">
      <c r="B194" s="27"/>
      <c r="C194" s="27"/>
      <c r="D194" s="27"/>
      <c r="H194" s="269"/>
      <c r="I194" s="210"/>
      <c r="J194" s="210"/>
      <c r="K194" s="210"/>
      <c r="L194" s="210"/>
      <c r="M194" s="210"/>
      <c r="N194" s="210"/>
      <c r="O194" s="210"/>
      <c r="P194" s="210"/>
    </row>
    <row r="195" spans="1:17" ht="12" customHeight="1" outlineLevel="1" x14ac:dyDescent="0.25">
      <c r="A195" s="53"/>
      <c r="B195" s="25">
        <f ca="1">MAX($A$1:B194)+0.1</f>
        <v>6.1</v>
      </c>
      <c r="C195" s="27" t="s">
        <v>131</v>
      </c>
      <c r="D195" s="27"/>
      <c r="H195" s="269"/>
      <c r="I195" s="210"/>
      <c r="J195" s="210"/>
      <c r="K195" s="210"/>
      <c r="L195" s="210"/>
      <c r="M195" s="210"/>
      <c r="N195" s="210"/>
      <c r="O195" s="210"/>
      <c r="P195" s="210"/>
    </row>
    <row r="196" spans="1:17" ht="12" customHeight="1" outlineLevel="2" x14ac:dyDescent="0.25">
      <c r="A196" s="53"/>
      <c r="B196" s="25"/>
      <c r="C196" s="27"/>
      <c r="D196" s="27"/>
      <c r="F196" s="28" t="s">
        <v>133</v>
      </c>
      <c r="G196" s="28" t="s">
        <v>85</v>
      </c>
      <c r="H196" s="278">
        <f>CHOOSE($H$2,CHOOSE($I196,M196,N196,P196),CHOOSE($J196,M196,N196,P196),CHOOSE($K196,M196,N196,P196))</f>
        <v>0.16</v>
      </c>
      <c r="I196" s="240">
        <v>1</v>
      </c>
      <c r="J196" s="240">
        <v>2</v>
      </c>
      <c r="K196" s="242">
        <v>3</v>
      </c>
      <c r="L196" s="243"/>
      <c r="M196" s="279">
        <v>0.16</v>
      </c>
      <c r="N196" s="280">
        <v>0.16</v>
      </c>
      <c r="O196" s="280">
        <v>0.16</v>
      </c>
      <c r="P196" s="280">
        <v>0.16</v>
      </c>
    </row>
    <row r="197" spans="1:17" ht="12" customHeight="1" outlineLevel="2" x14ac:dyDescent="0.25">
      <c r="A197" s="53"/>
      <c r="B197" s="25"/>
      <c r="C197" s="27"/>
      <c r="D197" s="27"/>
      <c r="F197" s="28" t="s">
        <v>134</v>
      </c>
      <c r="G197" s="28" t="s">
        <v>86</v>
      </c>
      <c r="H197" s="281">
        <f>CHOOSE($H$2,CHOOSE($I197,M197,N197,P197),CHOOSE($J197,M197,N197,P197),CHOOSE($K197,M197,N197,P197))</f>
        <v>7</v>
      </c>
      <c r="I197" s="240">
        <v>1</v>
      </c>
      <c r="J197" s="240">
        <v>2</v>
      </c>
      <c r="K197" s="242">
        <v>3</v>
      </c>
      <c r="L197" s="210"/>
      <c r="M197" s="249">
        <v>7</v>
      </c>
      <c r="N197" s="264">
        <v>7</v>
      </c>
      <c r="O197" s="264">
        <v>7</v>
      </c>
      <c r="P197" s="264">
        <v>7</v>
      </c>
    </row>
    <row r="198" spans="1:17" ht="12" customHeight="1" outlineLevel="1" x14ac:dyDescent="0.25">
      <c r="A198" s="53"/>
      <c r="B198" s="25">
        <f ca="1">MAX($A$1:B195)+0.1</f>
        <v>6.1999999999999993</v>
      </c>
      <c r="C198" s="27" t="s">
        <v>89</v>
      </c>
      <c r="D198" s="27"/>
      <c r="G198" s="28" t="s">
        <v>85</v>
      </c>
      <c r="H198" s="278">
        <f>CHOOSE($H$2,CHOOSE($I198,M198,N198,P198),CHOOSE($J198,M198,N198,P198),CHOOSE($K198,M198,N198,P198))</f>
        <v>0.2</v>
      </c>
      <c r="I198" s="240">
        <v>1</v>
      </c>
      <c r="J198" s="240">
        <v>2</v>
      </c>
      <c r="K198" s="242">
        <v>3</v>
      </c>
      <c r="L198" s="243"/>
      <c r="M198" s="279">
        <v>0.2</v>
      </c>
      <c r="N198" s="282">
        <v>0.2</v>
      </c>
      <c r="O198" s="282">
        <v>0.2</v>
      </c>
      <c r="P198" s="282">
        <v>0.2</v>
      </c>
    </row>
    <row r="199" spans="1:17" ht="12" customHeight="1" outlineLevel="1" x14ac:dyDescent="0.25">
      <c r="A199" s="53"/>
      <c r="B199" s="25">
        <f ca="1">MAX($A$1:B198)+0.1</f>
        <v>6.2999999999999989</v>
      </c>
      <c r="C199" s="27" t="s">
        <v>88</v>
      </c>
      <c r="D199" s="27"/>
      <c r="G199" s="28" t="s">
        <v>85</v>
      </c>
      <c r="H199" s="283">
        <f>CHOOSE($H$2,CHOOSE($I199,M199,N199,P199),CHOOSE($J199,M199,N199,P199),CHOOSE($K199,M199,N199,P199))</f>
        <v>0.05</v>
      </c>
      <c r="I199" s="240">
        <v>1</v>
      </c>
      <c r="J199" s="240">
        <v>2</v>
      </c>
      <c r="K199" s="242">
        <v>3</v>
      </c>
      <c r="L199" s="243"/>
      <c r="M199" s="284">
        <v>0.05</v>
      </c>
      <c r="N199" s="282">
        <v>0.05</v>
      </c>
      <c r="O199" s="282">
        <v>0.05</v>
      </c>
      <c r="P199" s="282">
        <v>0.05</v>
      </c>
    </row>
    <row r="200" spans="1:17" ht="12" customHeight="1" x14ac:dyDescent="0.25">
      <c r="A200" s="53"/>
      <c r="B200" s="27"/>
      <c r="C200" s="27"/>
      <c r="D200" s="27"/>
      <c r="H200" s="269"/>
      <c r="I200" s="210"/>
      <c r="J200" s="210"/>
      <c r="K200" s="210"/>
      <c r="L200" s="210"/>
      <c r="M200" s="210"/>
      <c r="N200" s="210"/>
      <c r="O200" s="210"/>
      <c r="P200" s="210"/>
    </row>
    <row r="201" spans="1:17" ht="12" customHeight="1" x14ac:dyDescent="0.25">
      <c r="A201" s="14">
        <f ca="1">MAX($A$1:A200)+1</f>
        <v>7</v>
      </c>
      <c r="B201" s="15" t="s">
        <v>132</v>
      </c>
      <c r="C201" s="15"/>
      <c r="D201" s="15"/>
      <c r="E201" s="15"/>
      <c r="F201" s="16"/>
      <c r="G201" s="17"/>
      <c r="H201" s="266"/>
      <c r="I201" s="267"/>
      <c r="J201" s="267"/>
      <c r="K201" s="267"/>
      <c r="L201" s="268"/>
      <c r="M201" s="268"/>
      <c r="N201" s="268"/>
      <c r="O201" s="268"/>
      <c r="P201" s="268"/>
      <c r="Q201" s="10"/>
    </row>
    <row r="202" spans="1:17" ht="12" customHeight="1" outlineLevel="1" x14ac:dyDescent="0.25">
      <c r="B202" s="27"/>
      <c r="C202" s="27"/>
      <c r="D202" s="27"/>
      <c r="H202" s="269"/>
      <c r="I202" s="210"/>
      <c r="J202" s="210"/>
      <c r="K202" s="210"/>
      <c r="L202" s="210"/>
      <c r="M202" s="210"/>
      <c r="N202" s="210"/>
      <c r="O202" s="210"/>
      <c r="P202" s="210"/>
    </row>
    <row r="203" spans="1:17" ht="12" customHeight="1" outlineLevel="1" x14ac:dyDescent="0.25">
      <c r="A203" s="53"/>
      <c r="B203" s="25">
        <f ca="1">MAX($A$1:B201)+0.1</f>
        <v>7.1</v>
      </c>
      <c r="C203" s="27" t="s">
        <v>261</v>
      </c>
      <c r="D203" s="27"/>
      <c r="H203" s="269"/>
      <c r="I203" s="210"/>
      <c r="J203" s="210"/>
      <c r="K203" s="210"/>
      <c r="L203" s="210"/>
      <c r="M203" s="108"/>
      <c r="N203" s="108"/>
      <c r="O203" s="108"/>
      <c r="P203" s="108"/>
    </row>
    <row r="204" spans="1:17" ht="12" customHeight="1" x14ac:dyDescent="0.25">
      <c r="B204" s="27"/>
      <c r="C204" s="27"/>
      <c r="D204" s="27"/>
      <c r="H204" s="269"/>
      <c r="I204" s="210"/>
      <c r="J204" s="210"/>
      <c r="K204" s="210"/>
      <c r="L204" s="210"/>
      <c r="M204" s="210"/>
      <c r="N204" s="210"/>
      <c r="O204" s="210"/>
      <c r="P204" s="210"/>
    </row>
    <row r="205" spans="1:17" ht="12" customHeight="1" x14ac:dyDescent="0.25">
      <c r="A205" s="14">
        <f ca="1">MAX($A$1:A204)+1</f>
        <v>8</v>
      </c>
      <c r="B205" s="15" t="s">
        <v>173</v>
      </c>
      <c r="C205" s="15"/>
      <c r="D205" s="15"/>
      <c r="E205" s="15"/>
      <c r="F205" s="16"/>
      <c r="G205" s="17"/>
      <c r="H205" s="266"/>
      <c r="I205" s="267"/>
      <c r="J205" s="267"/>
      <c r="K205" s="267"/>
      <c r="L205" s="268"/>
      <c r="M205" s="268"/>
      <c r="N205" s="268"/>
      <c r="O205" s="268"/>
      <c r="P205" s="268"/>
      <c r="Q205" s="10"/>
    </row>
    <row r="206" spans="1:17" ht="12" customHeight="1" outlineLevel="1" x14ac:dyDescent="0.25">
      <c r="B206" s="27"/>
      <c r="C206" s="27"/>
      <c r="D206" s="27"/>
      <c r="H206" s="269"/>
      <c r="I206" s="210"/>
      <c r="J206" s="210"/>
      <c r="K206" s="210"/>
      <c r="L206" s="210"/>
      <c r="M206" s="210"/>
      <c r="N206" s="210"/>
      <c r="O206" s="210"/>
      <c r="P206" s="210"/>
    </row>
    <row r="207" spans="1:17" ht="12" customHeight="1" outlineLevel="1" x14ac:dyDescent="0.25">
      <c r="A207" s="53"/>
      <c r="B207" s="25">
        <f ca="1">MAX($A$1:B205)+0.1</f>
        <v>8.1</v>
      </c>
      <c r="C207" s="27" t="s">
        <v>172</v>
      </c>
      <c r="D207" s="27"/>
      <c r="H207" s="269"/>
      <c r="I207" s="210"/>
      <c r="J207" s="210"/>
      <c r="K207" s="210"/>
      <c r="L207" s="210"/>
      <c r="M207" s="108"/>
      <c r="N207" s="108"/>
      <c r="O207" s="108"/>
      <c r="P207" s="108"/>
    </row>
    <row r="208" spans="1:17" ht="12" customHeight="1" outlineLevel="1" x14ac:dyDescent="0.25">
      <c r="A208" s="53"/>
      <c r="B208" s="25">
        <f ca="1">MAX($A$1:B207)+0.1</f>
        <v>8.1999999999999993</v>
      </c>
      <c r="C208" s="102" t="s">
        <v>174</v>
      </c>
      <c r="D208" s="27"/>
      <c r="H208" s="269"/>
      <c r="I208" s="210"/>
      <c r="J208" s="210"/>
      <c r="K208" s="210"/>
      <c r="L208" s="210"/>
      <c r="M208" s="210"/>
      <c r="N208" s="210"/>
      <c r="O208" s="210"/>
      <c r="P208" s="210"/>
    </row>
    <row r="209" spans="1:16" ht="12" customHeight="1" x14ac:dyDescent="0.25">
      <c r="H209" s="269"/>
      <c r="I209" s="210"/>
      <c r="J209" s="210"/>
      <c r="K209" s="210"/>
      <c r="L209" s="210"/>
      <c r="M209" s="210"/>
      <c r="N209" s="210"/>
      <c r="O209" s="210"/>
      <c r="P209" s="210"/>
    </row>
    <row r="210" spans="1:16" s="167" customFormat="1" ht="12" customHeight="1" x14ac:dyDescent="0.25">
      <c r="A210" s="166" t="s">
        <v>0</v>
      </c>
      <c r="H210" s="168"/>
    </row>
  </sheetData>
  <mergeCells count="2">
    <mergeCell ref="I2:K2"/>
    <mergeCell ref="M2:P2"/>
  </mergeCells>
  <conditionalFormatting sqref="I4:K4">
    <cfRule type="cellIs" dxfId="30" priority="5" operator="equal">
      <formula>$H$2</formula>
    </cfRule>
  </conditionalFormatting>
  <conditionalFormatting sqref="A3">
    <cfRule type="containsText" dxfId="29" priority="1" operator="containsText" text="OK">
      <formula>NOT(ISERROR(SEARCH("OK",A3)))</formula>
    </cfRule>
    <cfRule type="containsText" dxfId="28" priority="2" operator="containsText" text="Error">
      <formula>NOT(ISERROR(SEARCH("Error",A3)))</formula>
    </cfRule>
  </conditionalFormatting>
  <dataValidations count="5">
    <dataValidation type="list" allowBlank="1" showInputMessage="1" showErrorMessage="1" sqref="I196:K199 I8:K14 I126:K130 I21:K22 I25:K26 I189:K191 I37:K38 I41:K42 I45:K46 I49:K50 I53:K54 I57:K58 I61:K62 I65:K66 I69:K70 I73:K74 I33:K34 I105:K109 I112:K116 I119:K123 I133:K137 I29:K30 I98:K102 I140:K144 I147:K149 I152:K154 I157:K159 I162:K164 I167:K169 I172:K174 I177:K179 I182:K184 I91:K95 I80:K81 I84:K85">
      <formula1>"1,2,3,4"</formula1>
    </dataValidation>
    <dataValidation type="list" allowBlank="1" showInputMessage="1" showErrorMessage="1" sqref="M14:P14">
      <formula1>"1,1000,1000000"</formula1>
    </dataValidation>
    <dataValidation type="list" allowBlank="1" showInputMessage="1" showErrorMessage="1" sqref="H2">
      <formula1>$I$4:$K$4</formula1>
    </dataValidation>
    <dataValidation type="list" allowBlank="1" showInputMessage="1" showErrorMessage="1" sqref="M105:P108 M112:P115 M119:P122 M126:P129 M133:P136 M21:P21 M25:P25 M29:P29 M37:P37 M41:P41 M45:P45 M49:P49 M53:P53 M57:P57 M61:P61 M65:P65 M69:P69 M73:P73 M33:P33 M98:P101 M140:P143 M147:P148 M152:P153 M157:P158 M162:P163 M167:P168 M172:P173 M177:P178 M182:P183 M91:P94 M80:P80 M84:P84">
      <formula1>"0,1"</formula1>
    </dataValidation>
    <dataValidation type="list" allowBlank="1" showInputMessage="1" showErrorMessage="1" sqref="M34:P34 M22:P22 M26:P26 M30:P30 M38:P38 M184:P184 M46:P46 M50:P50 M42:P42 M58:P58 M62:P62 M66:P66 M70:P70 M74:P74 M81:P81 M85:P85 M95:P95 M102:P102 M109:P109 M116:P116 M123:P123 M130:P130 M137:P137 M144:P144 M149:P149 M154:P154 M159:P159 M164:P164 M169:P169 M174:P174 M179:P179 M54:P54">
      <formula1>"Last, Average, Minimum, Maximum"</formula1>
    </dataValidation>
  </dataValidations>
  <pageMargins left="0.7" right="0.7" top="0.75" bottom="0.75" header="0.3" footer="0.3"/>
  <pageSetup paperSize="9" orientation="portrait" r:id="rId1"/>
  <headerFooter>
    <oddFooter>&amp;C&amp;7&amp;B&amp;"Arial"Document Classification: KPMG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11660" r:id="rId4" name="Button 12">
              <controlPr defaultSize="0" autoFill="0" autoPict="0" macro="[0]!scenario1">
                <anchor moveWithCells="1" sizeWithCells="1">
                  <from>
                    <xdr:col>7</xdr:col>
                    <xdr:colOff>144780</xdr:colOff>
                    <xdr:row>0</xdr:row>
                    <xdr:rowOff>106680</xdr:rowOff>
                  </from>
                  <to>
                    <xdr:col>7</xdr:col>
                    <xdr:colOff>441960</xdr:colOff>
                    <xdr:row>2</xdr:row>
                    <xdr:rowOff>30480</xdr:rowOff>
                  </to>
                </anchor>
              </controlPr>
            </control>
          </mc:Choice>
        </mc:AlternateContent>
        <mc:AlternateContent xmlns:mc="http://schemas.openxmlformats.org/markup-compatibility/2006">
          <mc:Choice Requires="x14">
            <control shapeId="411661" r:id="rId5" name="Button 13">
              <controlPr defaultSize="0" autoFill="0" autoPict="0" macro="[0]!scenario2">
                <anchor moveWithCells="1" sizeWithCells="1">
                  <from>
                    <xdr:col>7</xdr:col>
                    <xdr:colOff>457200</xdr:colOff>
                    <xdr:row>0</xdr:row>
                    <xdr:rowOff>106680</xdr:rowOff>
                  </from>
                  <to>
                    <xdr:col>7</xdr:col>
                    <xdr:colOff>754380</xdr:colOff>
                    <xdr:row>2</xdr:row>
                    <xdr:rowOff>30480</xdr:rowOff>
                  </to>
                </anchor>
              </controlPr>
            </control>
          </mc:Choice>
        </mc:AlternateContent>
        <mc:AlternateContent xmlns:mc="http://schemas.openxmlformats.org/markup-compatibility/2006">
          <mc:Choice Requires="x14">
            <control shapeId="411662" r:id="rId6" name="Button 14">
              <controlPr defaultSize="0" autoFill="0" autoPict="0" macro="[0]!scenario3">
                <anchor moveWithCells="1" sizeWithCells="1">
                  <from>
                    <xdr:col>7</xdr:col>
                    <xdr:colOff>769620</xdr:colOff>
                    <xdr:row>0</xdr:row>
                    <xdr:rowOff>106680</xdr:rowOff>
                  </from>
                  <to>
                    <xdr:col>8</xdr:col>
                    <xdr:colOff>0</xdr:colOff>
                    <xdr:row>2</xdr:row>
                    <xdr:rowOff>30480</xdr:rowOff>
                  </to>
                </anchor>
              </controlPr>
            </control>
          </mc:Choice>
        </mc:AlternateContent>
        <mc:AlternateContent xmlns:mc="http://schemas.openxmlformats.org/markup-compatibility/2006">
          <mc:Choice Requires="x14">
            <control shapeId="411663" r:id="rId7" name="Button 15">
              <controlPr defaultSize="0" print="0" autoFill="0" autoPict="0" macro="[0]!Module3.ModelMap">
                <anchor moveWithCells="1" sizeWithCells="1">
                  <from>
                    <xdr:col>6</xdr:col>
                    <xdr:colOff>236220</xdr:colOff>
                    <xdr:row>0</xdr:row>
                    <xdr:rowOff>106680</xdr:rowOff>
                  </from>
                  <to>
                    <xdr:col>7</xdr:col>
                    <xdr:colOff>137160</xdr:colOff>
                    <xdr:row>2</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0" tint="-0.499984740745262"/>
  </sheetPr>
  <dimension ref="A1:DO36"/>
  <sheetViews>
    <sheetView showGridLines="0" zoomScale="85" zoomScaleNormal="85" workbookViewId="0">
      <pane xSplit="9" ySplit="4" topLeftCell="J5" activePane="bottomRight" state="frozen"/>
      <selection activeCell="N34" sqref="N34"/>
      <selection pane="topRight" activeCell="N34" sqref="N34"/>
      <selection pane="bottomLeft" activeCell="N34" sqref="N34"/>
      <selection pane="bottomRight" activeCell="M16" sqref="M16"/>
    </sheetView>
  </sheetViews>
  <sheetFormatPr defaultColWidth="0" defaultRowHeight="12" customHeight="1" x14ac:dyDescent="0.25"/>
  <cols>
    <col min="1" max="1" width="3.6640625" style="9" customWidth="1"/>
    <col min="2" max="4" width="5.6640625" style="9" customWidth="1"/>
    <col min="5" max="5" width="2.6640625" style="9" customWidth="1"/>
    <col min="6" max="6" width="40.6640625" style="10" customWidth="1"/>
    <col min="7" max="8" width="10.6640625" style="10" customWidth="1"/>
    <col min="9" max="9" width="2.6640625" style="10" customWidth="1"/>
    <col min="10" max="117" width="10.6640625" style="148" customWidth="1"/>
    <col min="118" max="118" width="2.6640625" style="12" customWidth="1"/>
    <col min="119" max="119" width="25.6640625" style="10" customWidth="1"/>
    <col min="120" max="16384" width="0" style="12" hidden="1"/>
  </cols>
  <sheetData>
    <row r="1" spans="1:119" s="6" customFormat="1" ht="12" customHeight="1" x14ac:dyDescent="0.25">
      <c r="A1" s="1" t="str">
        <f ca="1">MID(CELL("filename"),SEARCH("[",CELL("filename"))+1, SEARCH("]",CELL("filename"))-SEARCH("[",CELL("filename"))-1)</f>
        <v>Project Horeco_190409_1810.xlsm</v>
      </c>
      <c r="B1" s="1"/>
      <c r="C1" s="1"/>
      <c r="D1" s="1"/>
      <c r="E1" s="1"/>
      <c r="F1" s="1"/>
      <c r="G1" s="1"/>
      <c r="H1" s="1"/>
      <c r="I1" s="1"/>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46"/>
      <c r="AK1" s="146"/>
      <c r="AL1" s="146"/>
      <c r="AM1" s="146"/>
      <c r="AN1" s="146"/>
      <c r="AO1" s="146"/>
      <c r="AP1" s="146"/>
      <c r="AQ1" s="146"/>
      <c r="AR1" s="146"/>
      <c r="AS1" s="146"/>
      <c r="AT1" s="146"/>
      <c r="AU1" s="146"/>
      <c r="AV1" s="146"/>
      <c r="AW1" s="146"/>
      <c r="AX1" s="146"/>
      <c r="AY1" s="146"/>
      <c r="AZ1" s="146"/>
      <c r="BA1" s="146"/>
      <c r="BB1" s="146"/>
      <c r="BC1" s="146"/>
      <c r="BD1" s="146"/>
      <c r="BE1" s="146"/>
      <c r="BF1" s="146"/>
      <c r="BG1" s="146"/>
      <c r="BH1" s="146"/>
      <c r="BI1" s="146"/>
      <c r="BJ1" s="146"/>
      <c r="BK1" s="146"/>
      <c r="BL1" s="146"/>
      <c r="BM1" s="146"/>
      <c r="BN1" s="146"/>
      <c r="BO1" s="146"/>
      <c r="BP1" s="146"/>
      <c r="BQ1" s="146"/>
      <c r="BR1" s="146"/>
      <c r="BS1" s="146"/>
      <c r="BT1" s="146"/>
      <c r="BU1" s="146"/>
      <c r="BV1" s="146"/>
      <c r="BW1" s="146"/>
      <c r="BX1" s="146"/>
      <c r="BY1" s="146"/>
      <c r="BZ1" s="146"/>
      <c r="CA1" s="146"/>
      <c r="CB1" s="146"/>
      <c r="CC1" s="146"/>
      <c r="CD1" s="146"/>
      <c r="CE1" s="146"/>
      <c r="CF1" s="146"/>
      <c r="CG1" s="146"/>
      <c r="CH1" s="146"/>
      <c r="CI1" s="146"/>
      <c r="CJ1" s="146"/>
      <c r="CK1" s="146"/>
      <c r="CL1" s="146"/>
      <c r="CM1" s="146"/>
      <c r="CN1" s="146"/>
      <c r="CO1" s="146"/>
      <c r="CP1" s="146"/>
      <c r="CQ1" s="146"/>
      <c r="CR1" s="146"/>
      <c r="CS1" s="146"/>
      <c r="CT1" s="146"/>
      <c r="CU1" s="146"/>
      <c r="CV1" s="146"/>
      <c r="CW1" s="146"/>
      <c r="CX1" s="146"/>
      <c r="CY1" s="146"/>
      <c r="CZ1" s="146"/>
      <c r="DA1" s="146"/>
      <c r="DB1" s="146"/>
      <c r="DC1" s="146"/>
      <c r="DD1" s="146"/>
      <c r="DE1" s="146"/>
      <c r="DF1" s="146"/>
      <c r="DG1" s="146"/>
      <c r="DH1" s="146"/>
      <c r="DI1" s="146"/>
      <c r="DJ1" s="146"/>
      <c r="DK1" s="146"/>
      <c r="DL1" s="146"/>
      <c r="DM1" s="146"/>
      <c r="DN1" s="4"/>
      <c r="DO1" s="1" t="s">
        <v>11</v>
      </c>
    </row>
    <row r="2" spans="1:119" s="6" customFormat="1" ht="12" customHeight="1" x14ac:dyDescent="0.25">
      <c r="A2" s="1" t="str">
        <f ca="1">RIGHT(CELL("filename",A2),LEN(CELL("filename",A2))-FIND("]",CELL("filename",A2)))</f>
        <v>1.0.Model timing</v>
      </c>
      <c r="B2" s="1"/>
      <c r="C2" s="1"/>
      <c r="D2" s="1"/>
      <c r="E2" s="1"/>
      <c r="F2" s="1"/>
      <c r="G2" s="1"/>
      <c r="H2" s="1"/>
      <c r="I2" s="1"/>
      <c r="J2" s="147"/>
      <c r="K2" s="147"/>
      <c r="L2" s="147"/>
      <c r="M2" s="147"/>
      <c r="N2" s="147"/>
      <c r="O2" s="147"/>
      <c r="P2" s="147"/>
      <c r="Q2" s="147"/>
      <c r="R2" s="147"/>
      <c r="S2" s="147"/>
      <c r="T2" s="147"/>
      <c r="U2" s="147"/>
      <c r="V2" s="147"/>
      <c r="W2" s="147"/>
      <c r="X2" s="147"/>
      <c r="Y2" s="147"/>
      <c r="Z2" s="147"/>
      <c r="AA2" s="147"/>
      <c r="AB2" s="147"/>
      <c r="AC2" s="147"/>
      <c r="AD2" s="147"/>
      <c r="AE2" s="147"/>
      <c r="AF2" s="147"/>
      <c r="AG2" s="147"/>
      <c r="AH2" s="147"/>
      <c r="AI2" s="147"/>
      <c r="AJ2" s="147"/>
      <c r="AK2" s="147"/>
      <c r="AL2" s="147"/>
      <c r="AM2" s="147"/>
      <c r="AN2" s="147"/>
      <c r="AO2" s="147"/>
      <c r="AP2" s="147"/>
      <c r="AQ2" s="147"/>
      <c r="AR2" s="147"/>
      <c r="AS2" s="147"/>
      <c r="AT2" s="147"/>
      <c r="AU2" s="147"/>
      <c r="AV2" s="147"/>
      <c r="AW2" s="147"/>
      <c r="AX2" s="147"/>
      <c r="AY2" s="147"/>
      <c r="AZ2" s="147"/>
      <c r="BA2" s="147"/>
      <c r="BB2" s="147"/>
      <c r="BC2" s="147"/>
      <c r="BD2" s="147"/>
      <c r="BE2" s="147"/>
      <c r="BF2" s="147"/>
      <c r="BG2" s="147"/>
      <c r="BH2" s="147"/>
      <c r="BI2" s="147"/>
      <c r="BJ2" s="147"/>
      <c r="BK2" s="147"/>
      <c r="BL2" s="147"/>
      <c r="BM2" s="147"/>
      <c r="BN2" s="147"/>
      <c r="BO2" s="147"/>
      <c r="BP2" s="147"/>
      <c r="BQ2" s="147"/>
      <c r="BR2" s="147"/>
      <c r="BS2" s="147"/>
      <c r="BT2" s="147"/>
      <c r="BU2" s="147"/>
      <c r="BV2" s="147"/>
      <c r="BW2" s="147"/>
      <c r="BX2" s="147"/>
      <c r="BY2" s="147"/>
      <c r="BZ2" s="147"/>
      <c r="CA2" s="147"/>
      <c r="CB2" s="147"/>
      <c r="CC2" s="147"/>
      <c r="CD2" s="147"/>
      <c r="CE2" s="147"/>
      <c r="CF2" s="147"/>
      <c r="CG2" s="147"/>
      <c r="CH2" s="147"/>
      <c r="CI2" s="147"/>
      <c r="CJ2" s="147"/>
      <c r="CK2" s="147"/>
      <c r="CL2" s="147"/>
      <c r="CM2" s="147"/>
      <c r="CN2" s="147"/>
      <c r="CO2" s="147"/>
      <c r="CP2" s="147"/>
      <c r="CQ2" s="147"/>
      <c r="CR2" s="147"/>
      <c r="CS2" s="147"/>
      <c r="CT2" s="147"/>
      <c r="CU2" s="147"/>
      <c r="CV2" s="147"/>
      <c r="CW2" s="147"/>
      <c r="CX2" s="147"/>
      <c r="CY2" s="147"/>
      <c r="CZ2" s="147"/>
      <c r="DA2" s="147"/>
      <c r="DB2" s="147"/>
      <c r="DC2" s="147"/>
      <c r="DD2" s="147"/>
      <c r="DE2" s="147"/>
      <c r="DF2" s="147"/>
      <c r="DG2" s="147"/>
      <c r="DH2" s="147"/>
      <c r="DI2" s="147"/>
      <c r="DJ2" s="147"/>
      <c r="DK2" s="147"/>
      <c r="DL2" s="147"/>
      <c r="DM2" s="147"/>
      <c r="DN2" s="4"/>
      <c r="DO2" s="1"/>
    </row>
    <row r="3" spans="1:119" s="6" customFormat="1" ht="12" customHeight="1" x14ac:dyDescent="0.25">
      <c r="A3" s="1"/>
      <c r="B3" s="1"/>
      <c r="C3" s="1"/>
      <c r="D3" s="1"/>
      <c r="E3" s="1"/>
      <c r="F3" s="1"/>
      <c r="G3" s="1"/>
      <c r="H3" s="1"/>
      <c r="I3" s="1"/>
      <c r="J3" s="147"/>
      <c r="K3" s="147"/>
      <c r="L3" s="147"/>
      <c r="M3" s="147"/>
      <c r="N3" s="147"/>
      <c r="O3" s="147"/>
      <c r="P3" s="147"/>
      <c r="Q3" s="147"/>
      <c r="R3" s="147"/>
      <c r="S3" s="147"/>
      <c r="T3" s="147"/>
      <c r="U3" s="147"/>
      <c r="V3" s="147"/>
      <c r="W3" s="147"/>
      <c r="X3" s="147"/>
      <c r="Y3" s="147"/>
      <c r="Z3" s="147"/>
      <c r="AA3" s="147"/>
      <c r="AB3" s="147"/>
      <c r="AC3" s="147"/>
      <c r="AD3" s="147"/>
      <c r="AE3" s="147"/>
      <c r="AF3" s="147"/>
      <c r="AG3" s="147"/>
      <c r="AH3" s="147"/>
      <c r="AI3" s="147"/>
      <c r="AJ3" s="147"/>
      <c r="AK3" s="147"/>
      <c r="AL3" s="147"/>
      <c r="AM3" s="147"/>
      <c r="AN3" s="147"/>
      <c r="AO3" s="147"/>
      <c r="AP3" s="147"/>
      <c r="AQ3" s="147"/>
      <c r="AR3" s="147"/>
      <c r="AS3" s="147"/>
      <c r="AT3" s="147"/>
      <c r="AU3" s="147"/>
      <c r="AV3" s="147"/>
      <c r="AW3" s="147"/>
      <c r="AX3" s="147"/>
      <c r="AY3" s="147"/>
      <c r="AZ3" s="147"/>
      <c r="BA3" s="147"/>
      <c r="BB3" s="147"/>
      <c r="BC3" s="147"/>
      <c r="BD3" s="147"/>
      <c r="BE3" s="147"/>
      <c r="BF3" s="147"/>
      <c r="BG3" s="147"/>
      <c r="BH3" s="147"/>
      <c r="BI3" s="147"/>
      <c r="BJ3" s="147"/>
      <c r="BK3" s="147"/>
      <c r="BL3" s="147"/>
      <c r="BM3" s="147"/>
      <c r="BN3" s="147"/>
      <c r="BO3" s="147"/>
      <c r="BP3" s="147"/>
      <c r="BQ3" s="147"/>
      <c r="BR3" s="147"/>
      <c r="BS3" s="147"/>
      <c r="BT3" s="147"/>
      <c r="BU3" s="147"/>
      <c r="BV3" s="147"/>
      <c r="BW3" s="147"/>
      <c r="BX3" s="147"/>
      <c r="BY3" s="147"/>
      <c r="BZ3" s="147"/>
      <c r="CA3" s="147"/>
      <c r="CB3" s="147"/>
      <c r="CC3" s="147"/>
      <c r="CD3" s="147"/>
      <c r="CE3" s="147"/>
      <c r="CF3" s="147"/>
      <c r="CG3" s="147"/>
      <c r="CH3" s="147"/>
      <c r="CI3" s="147"/>
      <c r="CJ3" s="147"/>
      <c r="CK3" s="147"/>
      <c r="CL3" s="147"/>
      <c r="CM3" s="147"/>
      <c r="CN3" s="147"/>
      <c r="CO3" s="147"/>
      <c r="CP3" s="147"/>
      <c r="CQ3" s="147"/>
      <c r="CR3" s="147"/>
      <c r="CS3" s="147"/>
      <c r="CT3" s="147"/>
      <c r="CU3" s="147"/>
      <c r="CV3" s="147"/>
      <c r="CW3" s="147"/>
      <c r="CX3" s="147"/>
      <c r="CY3" s="147"/>
      <c r="CZ3" s="147"/>
      <c r="DA3" s="147"/>
      <c r="DB3" s="147"/>
      <c r="DC3" s="147"/>
      <c r="DD3" s="147"/>
      <c r="DE3" s="147"/>
      <c r="DF3" s="147"/>
      <c r="DG3" s="147"/>
      <c r="DH3" s="147"/>
      <c r="DI3" s="147"/>
      <c r="DJ3" s="147"/>
      <c r="DK3" s="147"/>
      <c r="DL3" s="147"/>
      <c r="DM3" s="147"/>
      <c r="DN3" s="4"/>
      <c r="DO3" s="1"/>
    </row>
    <row r="4" spans="1:119" s="6" customFormat="1" ht="12" customHeight="1" x14ac:dyDescent="0.25">
      <c r="A4" s="1"/>
      <c r="B4" s="1"/>
      <c r="C4" s="1"/>
      <c r="D4" s="1"/>
      <c r="E4" s="1"/>
      <c r="F4" s="1"/>
      <c r="G4" s="1" t="s">
        <v>8</v>
      </c>
      <c r="H4" s="1" t="s">
        <v>7</v>
      </c>
      <c r="I4" s="1"/>
      <c r="J4" s="8"/>
      <c r="K4" s="8"/>
      <c r="L4" s="8"/>
      <c r="M4" s="8"/>
      <c r="N4" s="8"/>
      <c r="O4" s="8"/>
      <c r="P4" s="8"/>
      <c r="Q4" s="8"/>
      <c r="R4" s="8"/>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c r="CK4" s="8"/>
      <c r="CL4" s="8"/>
      <c r="CM4" s="8"/>
      <c r="CN4" s="8"/>
      <c r="CO4" s="8"/>
      <c r="CP4" s="8"/>
      <c r="CQ4" s="8"/>
      <c r="CR4" s="8"/>
      <c r="CS4" s="8"/>
      <c r="CT4" s="8"/>
      <c r="CU4" s="8"/>
      <c r="CV4" s="8"/>
      <c r="CW4" s="8"/>
      <c r="CX4" s="8"/>
      <c r="CY4" s="8"/>
      <c r="CZ4" s="8"/>
      <c r="DA4" s="8"/>
      <c r="DB4" s="8"/>
      <c r="DC4" s="8"/>
      <c r="DD4" s="8"/>
      <c r="DE4" s="8"/>
      <c r="DF4" s="8"/>
      <c r="DG4" s="8"/>
      <c r="DH4" s="8"/>
      <c r="DI4" s="8"/>
      <c r="DJ4" s="8"/>
      <c r="DK4" s="8"/>
      <c r="DL4" s="8"/>
      <c r="DM4" s="8"/>
      <c r="DN4" s="4"/>
      <c r="DO4" s="1"/>
    </row>
    <row r="5" spans="1:119" ht="12" customHeight="1" x14ac:dyDescent="0.25">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c r="BV5" s="12"/>
      <c r="BW5" s="12"/>
      <c r="BX5" s="12"/>
      <c r="BY5" s="12"/>
      <c r="BZ5" s="12"/>
      <c r="CA5" s="12"/>
      <c r="CB5" s="12"/>
      <c r="CC5" s="12"/>
      <c r="CD5" s="12"/>
      <c r="CE5" s="12"/>
      <c r="CF5" s="12"/>
      <c r="CG5" s="12"/>
      <c r="CH5" s="12"/>
      <c r="CI5" s="12"/>
      <c r="CJ5" s="12"/>
      <c r="CK5" s="12"/>
      <c r="CL5" s="12"/>
      <c r="CM5" s="12"/>
      <c r="CN5" s="12"/>
      <c r="CO5" s="12"/>
      <c r="CP5" s="12"/>
      <c r="CQ5" s="12"/>
      <c r="CR5" s="12"/>
      <c r="CS5" s="12"/>
      <c r="CT5" s="12"/>
      <c r="CU5" s="12"/>
      <c r="CV5" s="12"/>
      <c r="CW5" s="12"/>
      <c r="CX5" s="12"/>
      <c r="CY5" s="12"/>
      <c r="CZ5" s="12"/>
      <c r="DA5" s="12"/>
      <c r="DB5" s="12"/>
      <c r="DC5" s="12"/>
      <c r="DD5" s="12"/>
      <c r="DE5" s="12"/>
      <c r="DF5" s="12"/>
      <c r="DG5" s="12"/>
      <c r="DH5" s="12"/>
      <c r="DI5" s="12"/>
      <c r="DJ5" s="12"/>
      <c r="DK5" s="12"/>
      <c r="DL5" s="12"/>
      <c r="DM5" s="12"/>
    </row>
    <row r="6" spans="1:119" ht="12" customHeight="1" x14ac:dyDescent="0.25">
      <c r="A6" s="14">
        <f ca="1">MAX($A$1:A5)+1</f>
        <v>1</v>
      </c>
      <c r="B6" s="15" t="s">
        <v>37</v>
      </c>
      <c r="C6" s="15"/>
      <c r="D6" s="15"/>
      <c r="E6" s="15"/>
      <c r="F6" s="16"/>
      <c r="G6" s="17"/>
      <c r="H6" s="17"/>
      <c r="I6" s="17"/>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c r="CJ6" s="19"/>
      <c r="CK6" s="19"/>
      <c r="CL6" s="19"/>
      <c r="CM6" s="19"/>
      <c r="CN6" s="19"/>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21"/>
    </row>
    <row r="7" spans="1:119" ht="12" customHeight="1" x14ac:dyDescent="0.25">
      <c r="A7" s="39"/>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row>
    <row r="8" spans="1:119" ht="12" customHeight="1" x14ac:dyDescent="0.25">
      <c r="A8" s="39"/>
      <c r="B8" s="25">
        <f ca="1">MAX($A$1:B7)+0.1</f>
        <v>1.1000000000000001</v>
      </c>
      <c r="C8" s="9" t="s">
        <v>28</v>
      </c>
    </row>
    <row r="9" spans="1:119" ht="12" customHeight="1" x14ac:dyDescent="0.25">
      <c r="A9" s="39"/>
      <c r="F9" s="10" t="s">
        <v>24</v>
      </c>
      <c r="G9" s="10" t="s">
        <v>22</v>
      </c>
      <c r="J9" s="199">
        <f>'0.2.Parameters'!$H$11</f>
        <v>42370</v>
      </c>
      <c r="K9" s="200">
        <f t="shared" ref="K9:T9" si="0">J10+1</f>
        <v>42736</v>
      </c>
      <c r="L9" s="201">
        <f t="shared" si="0"/>
        <v>43101</v>
      </c>
      <c r="M9" s="201">
        <f t="shared" si="0"/>
        <v>43466</v>
      </c>
      <c r="N9" s="201">
        <f t="shared" si="0"/>
        <v>43831</v>
      </c>
      <c r="O9" s="201">
        <f t="shared" si="0"/>
        <v>44197</v>
      </c>
      <c r="P9" s="201">
        <f t="shared" si="0"/>
        <v>44562</v>
      </c>
      <c r="Q9" s="201">
        <f t="shared" si="0"/>
        <v>44927</v>
      </c>
      <c r="R9" s="201">
        <f t="shared" si="0"/>
        <v>45292</v>
      </c>
      <c r="S9" s="201">
        <f t="shared" si="0"/>
        <v>45658</v>
      </c>
      <c r="T9" s="201">
        <f t="shared" si="0"/>
        <v>46023</v>
      </c>
      <c r="U9" s="29"/>
      <c r="V9" s="29"/>
      <c r="W9" s="29"/>
      <c r="X9" s="29"/>
      <c r="Y9" s="29"/>
      <c r="Z9" s="29"/>
      <c r="AA9" s="29"/>
      <c r="AB9" s="29"/>
      <c r="AC9" s="29"/>
      <c r="AD9" s="29"/>
      <c r="AE9" s="29"/>
      <c r="AF9" s="29"/>
      <c r="AG9" s="29"/>
      <c r="AH9" s="29"/>
      <c r="AI9" s="29"/>
      <c r="AJ9" s="202"/>
      <c r="AK9" s="202"/>
      <c r="AL9" s="202"/>
      <c r="AM9" s="202"/>
      <c r="AN9" s="202"/>
      <c r="AO9" s="202"/>
      <c r="AP9" s="202"/>
      <c r="AQ9" s="202"/>
      <c r="AR9" s="202"/>
      <c r="AS9" s="202"/>
      <c r="AT9" s="202"/>
      <c r="AU9" s="202"/>
      <c r="AV9" s="202"/>
      <c r="AW9" s="202"/>
      <c r="AX9" s="202"/>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row>
    <row r="10" spans="1:119" ht="12" customHeight="1" x14ac:dyDescent="0.25">
      <c r="A10" s="39"/>
      <c r="F10" s="10" t="s">
        <v>23</v>
      </c>
      <c r="G10" s="10" t="s">
        <v>22</v>
      </c>
      <c r="J10" s="203">
        <f>EOMONTH(J9,'0.2.Parameters'!$H$8-1)</f>
        <v>42735</v>
      </c>
      <c r="K10" s="203">
        <f>EOMONTH(K9,'0.2.Parameters'!$H$8-1)</f>
        <v>43100</v>
      </c>
      <c r="L10" s="203">
        <f>EOMONTH(L9,'0.2.Parameters'!$H$8-1)</f>
        <v>43465</v>
      </c>
      <c r="M10" s="203">
        <f>EOMONTH(M9,'0.2.Parameters'!$H$8-1)</f>
        <v>43830</v>
      </c>
      <c r="N10" s="203">
        <f>EOMONTH(N9,'0.2.Parameters'!$H$8-1)</f>
        <v>44196</v>
      </c>
      <c r="O10" s="203">
        <f>EOMONTH(O9,'0.2.Parameters'!$H$8-1)</f>
        <v>44561</v>
      </c>
      <c r="P10" s="203">
        <f>EOMONTH(P9,'0.2.Parameters'!$H$8-1)</f>
        <v>44926</v>
      </c>
      <c r="Q10" s="203">
        <f>EOMONTH(Q9,'0.2.Parameters'!$H$8-1)</f>
        <v>45291</v>
      </c>
      <c r="R10" s="203">
        <f>EOMONTH(R9,'0.2.Parameters'!$H$8-1)</f>
        <v>45657</v>
      </c>
      <c r="S10" s="203">
        <f>EOMONTH(S9,'0.2.Parameters'!$H$8-1)</f>
        <v>46022</v>
      </c>
      <c r="T10" s="203">
        <f>EOMONTH(T9,'0.2.Parameters'!$H$8-1)</f>
        <v>46387</v>
      </c>
      <c r="U10" s="29"/>
      <c r="V10" s="29"/>
      <c r="W10" s="29"/>
      <c r="X10" s="29"/>
      <c r="Y10" s="29"/>
      <c r="Z10" s="29"/>
      <c r="AA10" s="29"/>
      <c r="AB10" s="29"/>
      <c r="AC10" s="29"/>
      <c r="AD10" s="29"/>
      <c r="AE10" s="29"/>
      <c r="AF10" s="29"/>
      <c r="AG10" s="29"/>
      <c r="AH10" s="29"/>
      <c r="AI10" s="29"/>
      <c r="AJ10" s="202"/>
      <c r="AK10" s="202"/>
      <c r="AL10" s="202"/>
      <c r="AM10" s="202"/>
      <c r="AN10" s="202"/>
      <c r="AO10" s="202"/>
      <c r="AP10" s="202"/>
      <c r="AQ10" s="202"/>
      <c r="AR10" s="202"/>
      <c r="AS10" s="202"/>
      <c r="AT10" s="202"/>
      <c r="AU10" s="202"/>
      <c r="AV10" s="202"/>
      <c r="AW10" s="202"/>
      <c r="AX10" s="202"/>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row>
    <row r="11" spans="1:119" ht="12" customHeight="1" x14ac:dyDescent="0.25">
      <c r="A11" s="39"/>
      <c r="F11" s="10" t="s">
        <v>21</v>
      </c>
      <c r="G11" s="10" t="s">
        <v>12</v>
      </c>
      <c r="J11" s="204">
        <f t="shared" ref="J11:R11" si="1">YEAR(J10)</f>
        <v>2016</v>
      </c>
      <c r="K11" s="204">
        <f t="shared" si="1"/>
        <v>2017</v>
      </c>
      <c r="L11" s="204">
        <f t="shared" si="1"/>
        <v>2018</v>
      </c>
      <c r="M11" s="204">
        <f t="shared" si="1"/>
        <v>2019</v>
      </c>
      <c r="N11" s="204">
        <f t="shared" si="1"/>
        <v>2020</v>
      </c>
      <c r="O11" s="204">
        <f t="shared" si="1"/>
        <v>2021</v>
      </c>
      <c r="P11" s="204">
        <f t="shared" si="1"/>
        <v>2022</v>
      </c>
      <c r="Q11" s="204">
        <f t="shared" si="1"/>
        <v>2023</v>
      </c>
      <c r="R11" s="204">
        <f t="shared" si="1"/>
        <v>2024</v>
      </c>
      <c r="S11" s="204">
        <f t="shared" ref="S11:T11" si="2">YEAR(S10)</f>
        <v>2025</v>
      </c>
      <c r="T11" s="204">
        <f t="shared" si="2"/>
        <v>2026</v>
      </c>
      <c r="U11" s="205"/>
      <c r="V11" s="205"/>
      <c r="W11" s="205"/>
      <c r="X11" s="205"/>
      <c r="Y11" s="205"/>
      <c r="Z11" s="205"/>
      <c r="AA11" s="205"/>
      <c r="AB11" s="205"/>
      <c r="AC11" s="205"/>
      <c r="AD11" s="205"/>
      <c r="AE11" s="205"/>
      <c r="AF11" s="205"/>
      <c r="AG11" s="205"/>
      <c r="AH11" s="205"/>
      <c r="AI11" s="205"/>
      <c r="AJ11" s="205"/>
      <c r="AK11" s="205"/>
      <c r="AL11" s="205"/>
      <c r="AM11" s="205"/>
      <c r="AN11" s="205"/>
      <c r="AO11" s="205"/>
      <c r="AP11" s="205"/>
      <c r="AQ11" s="205"/>
      <c r="AR11" s="205"/>
      <c r="AS11" s="205"/>
      <c r="AT11" s="205"/>
      <c r="AU11" s="205"/>
      <c r="AV11" s="205"/>
      <c r="AW11" s="205"/>
      <c r="AX11" s="205"/>
      <c r="AY11" s="205"/>
      <c r="AZ11" s="205"/>
      <c r="BA11" s="205"/>
      <c r="BB11" s="205"/>
      <c r="BC11" s="205"/>
      <c r="BD11" s="205"/>
      <c r="BE11" s="205"/>
      <c r="BF11" s="205"/>
      <c r="BG11" s="205"/>
      <c r="BH11" s="205"/>
      <c r="BI11" s="205"/>
      <c r="BJ11" s="205"/>
      <c r="BK11" s="205"/>
      <c r="BL11" s="205"/>
      <c r="BM11" s="205"/>
      <c r="BN11" s="205"/>
      <c r="BO11" s="205"/>
      <c r="BP11" s="205"/>
      <c r="BQ11" s="205"/>
      <c r="BR11" s="205"/>
      <c r="BS11" s="205"/>
      <c r="BT11" s="205"/>
      <c r="BU11" s="205"/>
      <c r="BV11" s="205"/>
      <c r="BW11" s="205"/>
      <c r="BX11" s="205"/>
      <c r="BY11" s="205"/>
      <c r="BZ11" s="205"/>
      <c r="CA11" s="205"/>
      <c r="CB11" s="205"/>
      <c r="CC11" s="205"/>
      <c r="CD11" s="205"/>
      <c r="CE11" s="205"/>
      <c r="CF11" s="205"/>
      <c r="CG11" s="205"/>
      <c r="CH11" s="205"/>
      <c r="CI11" s="205"/>
      <c r="CJ11" s="205"/>
      <c r="CK11" s="205"/>
      <c r="CL11" s="205"/>
      <c r="CM11" s="205"/>
      <c r="CN11" s="205"/>
      <c r="CO11" s="205"/>
      <c r="CP11" s="205"/>
      <c r="CQ11" s="205"/>
      <c r="CR11" s="205"/>
      <c r="CS11" s="205"/>
      <c r="CT11" s="205"/>
      <c r="CU11" s="205"/>
      <c r="CV11" s="205"/>
      <c r="CW11" s="205"/>
      <c r="CX11" s="205"/>
      <c r="CY11" s="205"/>
      <c r="CZ11" s="205"/>
      <c r="DA11" s="205"/>
      <c r="DB11" s="205"/>
      <c r="DC11" s="205"/>
      <c r="DD11" s="205"/>
      <c r="DE11" s="205"/>
      <c r="DF11" s="205"/>
      <c r="DG11" s="205"/>
      <c r="DH11" s="205"/>
      <c r="DI11" s="205"/>
      <c r="DJ11" s="205"/>
      <c r="DK11" s="205"/>
      <c r="DL11" s="205"/>
      <c r="DM11" s="205"/>
    </row>
    <row r="12" spans="1:119" ht="12" customHeight="1" x14ac:dyDescent="0.25">
      <c r="A12" s="39"/>
      <c r="F12" s="10" t="s">
        <v>27</v>
      </c>
      <c r="G12" s="10" t="s">
        <v>12</v>
      </c>
      <c r="J12" s="206">
        <f>COUNT($J9:J9)</f>
        <v>1</v>
      </c>
      <c r="K12" s="206">
        <f>COUNT($J9:K9)</f>
        <v>2</v>
      </c>
      <c r="L12" s="206">
        <f>COUNT($J9:L9)</f>
        <v>3</v>
      </c>
      <c r="M12" s="206">
        <f>COUNT($J9:M9)</f>
        <v>4</v>
      </c>
      <c r="N12" s="206">
        <f>COUNT($J9:N9)</f>
        <v>5</v>
      </c>
      <c r="O12" s="206">
        <f>COUNT($J9:O9)</f>
        <v>6</v>
      </c>
      <c r="P12" s="206">
        <f>COUNT($J9:P9)</f>
        <v>7</v>
      </c>
      <c r="Q12" s="206">
        <f>COUNT($J9:Q9)</f>
        <v>8</v>
      </c>
      <c r="R12" s="206">
        <f>COUNT($J9:R9)</f>
        <v>9</v>
      </c>
      <c r="S12" s="206">
        <f>COUNT($J9:S9)</f>
        <v>10</v>
      </c>
      <c r="T12" s="206">
        <f>COUNT($J9:T9)</f>
        <v>11</v>
      </c>
      <c r="U12" s="118"/>
      <c r="V12" s="118"/>
      <c r="W12" s="118"/>
      <c r="X12" s="118"/>
      <c r="Y12" s="118"/>
      <c r="Z12" s="118"/>
      <c r="AA12" s="118"/>
      <c r="AB12" s="118"/>
      <c r="AC12" s="118"/>
      <c r="AD12" s="118"/>
      <c r="AE12" s="118"/>
      <c r="AF12" s="118"/>
      <c r="AG12" s="118"/>
      <c r="AH12" s="118"/>
      <c r="AI12" s="118"/>
      <c r="AJ12" s="118"/>
      <c r="AK12" s="118"/>
      <c r="AL12" s="118"/>
      <c r="AM12" s="118"/>
      <c r="AN12" s="118"/>
      <c r="AO12" s="118"/>
      <c r="AP12" s="118"/>
      <c r="AQ12" s="118"/>
      <c r="AR12" s="118"/>
      <c r="AS12" s="118"/>
      <c r="AT12" s="118"/>
      <c r="AU12" s="118"/>
      <c r="AV12" s="118"/>
      <c r="AW12" s="118"/>
      <c r="AX12" s="118"/>
      <c r="AY12" s="118"/>
      <c r="AZ12" s="118"/>
      <c r="BA12" s="118"/>
      <c r="BB12" s="118"/>
      <c r="BC12" s="118"/>
      <c r="BD12" s="118"/>
      <c r="BE12" s="118"/>
      <c r="BF12" s="118"/>
      <c r="BG12" s="118"/>
      <c r="BH12" s="118"/>
      <c r="BI12" s="118"/>
      <c r="BJ12" s="118"/>
      <c r="BK12" s="118"/>
      <c r="BL12" s="118"/>
      <c r="BM12" s="118"/>
      <c r="BN12" s="118"/>
      <c r="BO12" s="118"/>
      <c r="BP12" s="118"/>
      <c r="BQ12" s="118"/>
      <c r="BR12" s="118"/>
      <c r="BS12" s="118"/>
      <c r="BT12" s="118"/>
      <c r="BU12" s="118"/>
      <c r="BV12" s="118"/>
      <c r="BW12" s="118"/>
      <c r="BX12" s="118"/>
      <c r="BY12" s="118"/>
      <c r="BZ12" s="118"/>
      <c r="CA12" s="118"/>
      <c r="CB12" s="118"/>
      <c r="CC12" s="118"/>
      <c r="CD12" s="118"/>
      <c r="CE12" s="118"/>
      <c r="CF12" s="118"/>
      <c r="CG12" s="118"/>
      <c r="CH12" s="118"/>
      <c r="CI12" s="118"/>
      <c r="CJ12" s="118"/>
      <c r="CK12" s="118"/>
      <c r="CL12" s="207"/>
      <c r="CM12" s="207"/>
      <c r="CN12" s="207"/>
      <c r="CO12" s="207"/>
      <c r="CP12" s="207"/>
      <c r="CQ12" s="207"/>
      <c r="CR12" s="207"/>
      <c r="CS12" s="207"/>
      <c r="CT12" s="207"/>
      <c r="CU12" s="207"/>
      <c r="CV12" s="207"/>
      <c r="CW12" s="207"/>
      <c r="CX12" s="207"/>
      <c r="CY12" s="207"/>
      <c r="CZ12" s="207"/>
      <c r="DA12" s="207"/>
      <c r="DB12" s="207"/>
      <c r="DC12" s="207"/>
      <c r="DD12" s="207"/>
      <c r="DE12" s="207"/>
      <c r="DF12" s="207"/>
      <c r="DG12" s="207"/>
      <c r="DH12" s="207"/>
      <c r="DI12" s="207"/>
      <c r="DJ12" s="207"/>
      <c r="DK12" s="207"/>
      <c r="DL12" s="207"/>
      <c r="DM12" s="207"/>
    </row>
    <row r="13" spans="1:119" ht="12" customHeight="1" x14ac:dyDescent="0.25">
      <c r="A13" s="39"/>
      <c r="F13" s="10" t="s">
        <v>17</v>
      </c>
      <c r="G13" s="10" t="s">
        <v>16</v>
      </c>
      <c r="J13" s="206">
        <f t="shared" ref="J13:R13" si="3">J10-J9+1</f>
        <v>366</v>
      </c>
      <c r="K13" s="206">
        <f t="shared" si="3"/>
        <v>365</v>
      </c>
      <c r="L13" s="206">
        <f t="shared" si="3"/>
        <v>365</v>
      </c>
      <c r="M13" s="206">
        <f t="shared" si="3"/>
        <v>365</v>
      </c>
      <c r="N13" s="206">
        <f t="shared" si="3"/>
        <v>366</v>
      </c>
      <c r="O13" s="206">
        <f t="shared" si="3"/>
        <v>365</v>
      </c>
      <c r="P13" s="206">
        <f t="shared" si="3"/>
        <v>365</v>
      </c>
      <c r="Q13" s="206">
        <f t="shared" si="3"/>
        <v>365</v>
      </c>
      <c r="R13" s="206">
        <f t="shared" si="3"/>
        <v>366</v>
      </c>
      <c r="S13" s="206">
        <f t="shared" ref="S13:T13" si="4">S10-S9+1</f>
        <v>365</v>
      </c>
      <c r="T13" s="206">
        <f t="shared" si="4"/>
        <v>365</v>
      </c>
      <c r="U13" s="118"/>
      <c r="V13" s="118"/>
      <c r="W13" s="118"/>
      <c r="X13" s="118"/>
      <c r="Y13" s="118"/>
      <c r="Z13" s="118"/>
      <c r="AA13" s="118"/>
      <c r="AB13" s="118"/>
      <c r="AC13" s="118"/>
      <c r="AD13" s="118"/>
      <c r="AE13" s="118"/>
      <c r="AF13" s="118"/>
      <c r="AG13" s="118"/>
      <c r="AH13" s="118"/>
      <c r="AI13" s="118"/>
      <c r="AJ13" s="118"/>
      <c r="AK13" s="118"/>
      <c r="AL13" s="118"/>
      <c r="AM13" s="118"/>
      <c r="AN13" s="118"/>
      <c r="AO13" s="118"/>
      <c r="AP13" s="118"/>
      <c r="AQ13" s="118"/>
      <c r="AR13" s="118"/>
      <c r="AS13" s="118"/>
      <c r="AT13" s="118"/>
      <c r="AU13" s="118"/>
      <c r="AV13" s="118"/>
      <c r="AW13" s="118"/>
      <c r="AX13" s="118"/>
      <c r="AY13" s="118"/>
      <c r="AZ13" s="118"/>
      <c r="BA13" s="118"/>
      <c r="BB13" s="118"/>
      <c r="BC13" s="118"/>
      <c r="BD13" s="118"/>
      <c r="BE13" s="118"/>
      <c r="BF13" s="118"/>
      <c r="BG13" s="118"/>
      <c r="BH13" s="118"/>
      <c r="BI13" s="118"/>
      <c r="BJ13" s="118"/>
      <c r="BK13" s="118"/>
      <c r="BL13" s="118"/>
      <c r="BM13" s="118"/>
      <c r="BN13" s="118"/>
      <c r="BO13" s="118"/>
      <c r="BP13" s="118"/>
      <c r="BQ13" s="118"/>
      <c r="BR13" s="118"/>
      <c r="BS13" s="118"/>
      <c r="BT13" s="118"/>
      <c r="BU13" s="118"/>
      <c r="BV13" s="118"/>
      <c r="BW13" s="118"/>
      <c r="BX13" s="118"/>
      <c r="BY13" s="118"/>
      <c r="BZ13" s="118"/>
      <c r="CA13" s="118"/>
      <c r="CB13" s="118"/>
      <c r="CC13" s="118"/>
      <c r="CD13" s="118"/>
      <c r="CE13" s="118"/>
      <c r="CF13" s="118"/>
      <c r="CG13" s="118"/>
      <c r="CH13" s="118"/>
      <c r="CI13" s="118"/>
      <c r="CJ13" s="118"/>
      <c r="CK13" s="118"/>
      <c r="CL13" s="207"/>
      <c r="CM13" s="207"/>
      <c r="CN13" s="207"/>
      <c r="CO13" s="207"/>
      <c r="CP13" s="207"/>
      <c r="CQ13" s="207"/>
      <c r="CR13" s="207"/>
      <c r="CS13" s="207"/>
      <c r="CT13" s="207"/>
      <c r="CU13" s="207"/>
      <c r="CV13" s="207"/>
      <c r="CW13" s="207"/>
      <c r="CX13" s="207"/>
      <c r="CY13" s="207"/>
      <c r="CZ13" s="207"/>
      <c r="DA13" s="207"/>
      <c r="DB13" s="207"/>
      <c r="DC13" s="207"/>
      <c r="DD13" s="207"/>
      <c r="DE13" s="207"/>
      <c r="DF13" s="207"/>
      <c r="DG13" s="207"/>
      <c r="DH13" s="207"/>
      <c r="DI13" s="207"/>
      <c r="DJ13" s="207"/>
      <c r="DK13" s="207"/>
      <c r="DL13" s="207"/>
      <c r="DM13" s="207"/>
    </row>
    <row r="14" spans="1:119" ht="12" customHeight="1" x14ac:dyDescent="0.25">
      <c r="A14" s="39"/>
      <c r="F14" s="10" t="s">
        <v>15</v>
      </c>
      <c r="G14" s="10" t="s">
        <v>14</v>
      </c>
      <c r="J14" s="208">
        <f>J13*'0.2.Parameters'!$H$12</f>
        <v>8784</v>
      </c>
      <c r="K14" s="208">
        <f>K13*'0.2.Parameters'!$H$12</f>
        <v>8760</v>
      </c>
      <c r="L14" s="208">
        <f>L13*'0.2.Parameters'!$H$12</f>
        <v>8760</v>
      </c>
      <c r="M14" s="208">
        <f>M13*'0.2.Parameters'!$H$12</f>
        <v>8760</v>
      </c>
      <c r="N14" s="208">
        <f>N13*'0.2.Parameters'!$H$12</f>
        <v>8784</v>
      </c>
      <c r="O14" s="208">
        <f>O13*'0.2.Parameters'!$H$12</f>
        <v>8760</v>
      </c>
      <c r="P14" s="208">
        <f>P13*'0.2.Parameters'!$H$12</f>
        <v>8760</v>
      </c>
      <c r="Q14" s="208">
        <f>Q13*'0.2.Parameters'!$H$12</f>
        <v>8760</v>
      </c>
      <c r="R14" s="208">
        <f>R13*'0.2.Parameters'!$H$12</f>
        <v>8784</v>
      </c>
      <c r="S14" s="208">
        <f>S13*'0.2.Parameters'!$H$12</f>
        <v>8760</v>
      </c>
      <c r="T14" s="208">
        <f>T13*'0.2.Parameters'!$H$12</f>
        <v>8760</v>
      </c>
      <c r="U14" s="118"/>
      <c r="V14" s="118"/>
      <c r="W14" s="118"/>
      <c r="X14" s="118"/>
      <c r="Y14" s="118"/>
      <c r="Z14" s="118"/>
      <c r="AA14" s="118"/>
      <c r="AB14" s="118"/>
      <c r="AC14" s="118"/>
      <c r="AD14" s="118"/>
      <c r="AE14" s="118"/>
      <c r="AF14" s="118"/>
      <c r="AG14" s="118"/>
      <c r="AH14" s="118"/>
      <c r="AI14" s="118"/>
      <c r="AJ14" s="118"/>
      <c r="AK14" s="118"/>
      <c r="AL14" s="118"/>
      <c r="AM14" s="118"/>
      <c r="AN14" s="118"/>
      <c r="AO14" s="118"/>
      <c r="AP14" s="118"/>
      <c r="AQ14" s="118"/>
      <c r="AR14" s="118"/>
      <c r="AS14" s="118"/>
      <c r="AT14" s="118"/>
      <c r="AU14" s="118"/>
      <c r="AV14" s="118"/>
      <c r="AW14" s="118"/>
      <c r="AX14" s="118"/>
      <c r="AY14" s="118"/>
      <c r="AZ14" s="118"/>
      <c r="BA14" s="118"/>
      <c r="BB14" s="118"/>
      <c r="BC14" s="118"/>
      <c r="BD14" s="118"/>
      <c r="BE14" s="118"/>
      <c r="BF14" s="118"/>
      <c r="BG14" s="118"/>
      <c r="BH14" s="118"/>
      <c r="BI14" s="118"/>
      <c r="BJ14" s="118"/>
      <c r="BK14" s="118"/>
      <c r="BL14" s="118"/>
      <c r="BM14" s="118"/>
      <c r="BN14" s="118"/>
      <c r="BO14" s="118"/>
      <c r="BP14" s="118"/>
      <c r="BQ14" s="118"/>
      <c r="BR14" s="118"/>
      <c r="BS14" s="118"/>
      <c r="BT14" s="118"/>
      <c r="BU14" s="118"/>
      <c r="BV14" s="118"/>
      <c r="BW14" s="118"/>
      <c r="BX14" s="118"/>
      <c r="BY14" s="118"/>
      <c r="BZ14" s="118"/>
      <c r="CA14" s="118"/>
      <c r="CB14" s="118"/>
      <c r="CC14" s="118"/>
      <c r="CD14" s="118"/>
      <c r="CE14" s="118"/>
      <c r="CF14" s="118"/>
      <c r="CG14" s="118"/>
      <c r="CH14" s="118"/>
      <c r="CI14" s="118"/>
      <c r="CJ14" s="118"/>
      <c r="CK14" s="118"/>
      <c r="CL14" s="207"/>
      <c r="CM14" s="207"/>
      <c r="CN14" s="207"/>
      <c r="CO14" s="207"/>
      <c r="CP14" s="207"/>
      <c r="CQ14" s="207"/>
      <c r="CR14" s="207"/>
      <c r="CS14" s="207"/>
      <c r="CT14" s="207"/>
      <c r="CU14" s="207"/>
      <c r="CV14" s="207"/>
      <c r="CW14" s="207"/>
      <c r="CX14" s="207"/>
      <c r="CY14" s="207"/>
      <c r="CZ14" s="207"/>
      <c r="DA14" s="207"/>
      <c r="DB14" s="207"/>
      <c r="DC14" s="207"/>
      <c r="DD14" s="207"/>
      <c r="DE14" s="207"/>
      <c r="DF14" s="207"/>
      <c r="DG14" s="207"/>
      <c r="DH14" s="207"/>
      <c r="DI14" s="207"/>
      <c r="DJ14" s="207"/>
      <c r="DK14" s="207"/>
      <c r="DL14" s="207"/>
      <c r="DM14" s="207"/>
    </row>
    <row r="15" spans="1:119" ht="12" customHeight="1" x14ac:dyDescent="0.25">
      <c r="A15" s="39"/>
      <c r="F15" s="10" t="s">
        <v>13</v>
      </c>
      <c r="G15" s="10" t="s">
        <v>12</v>
      </c>
      <c r="J15" s="208" t="str">
        <f>IF(J11=YEAR('0.2.Parameters'!$H$13),"Estimate",IF(J11&lt;YEAR('0.2.Parameters'!$H$13),"Actual","Forecast"))</f>
        <v>Actual</v>
      </c>
      <c r="K15" s="208" t="str">
        <f>IF(K11=YEAR('0.2.Parameters'!$H$13),"Estimate",IF(K11&lt;YEAR('0.2.Parameters'!$H$13),"Actual","Forecast"))</f>
        <v>Actual</v>
      </c>
      <c r="L15" s="208" t="str">
        <f>IF(L11=YEAR('0.2.Parameters'!$H$13),"Estimate",IF(L11&lt;YEAR('0.2.Parameters'!$H$13),"Actual","Forecast"))</f>
        <v>Actual</v>
      </c>
      <c r="M15" s="208" t="s">
        <v>289</v>
      </c>
      <c r="N15" s="208" t="str">
        <f>IF(N11=YEAR('0.2.Parameters'!$H$13),"Estimate",IF(N11&lt;YEAR('0.2.Parameters'!$H$13),"Actual","Forecast"))</f>
        <v>Forecast</v>
      </c>
      <c r="O15" s="208" t="str">
        <f>IF(O11=YEAR('0.2.Parameters'!$H$13),"Estimate",IF(O11&lt;YEAR('0.2.Parameters'!$H$13),"Actual","Forecast"))</f>
        <v>Forecast</v>
      </c>
      <c r="P15" s="208" t="str">
        <f>IF(P11=YEAR('0.2.Parameters'!$H$13),"Estimate",IF(P11&lt;YEAR('0.2.Parameters'!$H$13),"Actual","Forecast"))</f>
        <v>Forecast</v>
      </c>
      <c r="Q15" s="208" t="str">
        <f>IF(Q11=YEAR('0.2.Parameters'!$H$13),"Estimate",IF(Q11&lt;YEAR('0.2.Parameters'!$H$13),"Actual","Forecast"))</f>
        <v>Forecast</v>
      </c>
      <c r="R15" s="208" t="str">
        <f>IF(R11=YEAR('0.2.Parameters'!$H$13),"Estimate",IF(R11&lt;YEAR('0.2.Parameters'!$H$13),"Actual","Forecast"))</f>
        <v>Forecast</v>
      </c>
      <c r="S15" s="208" t="str">
        <f>IF(S11=YEAR('0.2.Parameters'!$H$13),"Estimate",IF(S11&lt;YEAR('0.2.Parameters'!$H$13),"Actual","Forecast"))</f>
        <v>Forecast</v>
      </c>
      <c r="T15" s="208" t="str">
        <f>IF(T11=YEAR('0.2.Parameters'!$H$13),"Estimate",IF(T11&lt;YEAR('0.2.Parameters'!$H$13),"Actual","Forecast"))</f>
        <v>Forecast</v>
      </c>
      <c r="U15" s="118"/>
      <c r="V15" s="118"/>
      <c r="W15" s="118"/>
      <c r="X15" s="118"/>
      <c r="Y15" s="118"/>
      <c r="Z15" s="118"/>
      <c r="AA15" s="118"/>
      <c r="AB15" s="118"/>
      <c r="AC15" s="118"/>
      <c r="AD15" s="118"/>
      <c r="AE15" s="118"/>
      <c r="AF15" s="118"/>
      <c r="AG15" s="118"/>
      <c r="AH15" s="118"/>
      <c r="AI15" s="118"/>
      <c r="AJ15" s="118"/>
      <c r="AK15" s="118"/>
      <c r="AL15" s="118"/>
      <c r="AM15" s="118"/>
      <c r="AN15" s="118"/>
      <c r="AO15" s="118"/>
      <c r="AP15" s="118"/>
      <c r="AQ15" s="118"/>
      <c r="AR15" s="118"/>
      <c r="AS15" s="118"/>
      <c r="AT15" s="118"/>
      <c r="AU15" s="118"/>
      <c r="AV15" s="118"/>
      <c r="AW15" s="118"/>
      <c r="AX15" s="118"/>
      <c r="AY15" s="118"/>
      <c r="AZ15" s="118"/>
      <c r="BA15" s="118"/>
      <c r="BB15" s="118"/>
      <c r="BC15" s="118"/>
      <c r="BD15" s="118"/>
      <c r="BE15" s="118"/>
      <c r="BF15" s="118"/>
      <c r="BG15" s="118"/>
      <c r="BH15" s="118"/>
      <c r="BI15" s="118"/>
      <c r="BJ15" s="118"/>
      <c r="BK15" s="118"/>
      <c r="BL15" s="118"/>
      <c r="BM15" s="118"/>
      <c r="BN15" s="118"/>
      <c r="BO15" s="118"/>
      <c r="BP15" s="118"/>
      <c r="BQ15" s="118"/>
      <c r="BR15" s="118"/>
      <c r="BS15" s="118"/>
      <c r="BT15" s="118"/>
      <c r="BU15" s="118"/>
      <c r="BV15" s="118"/>
      <c r="BW15" s="118"/>
      <c r="BX15" s="118"/>
      <c r="BY15" s="118"/>
      <c r="BZ15" s="118"/>
      <c r="CA15" s="118"/>
      <c r="CB15" s="118"/>
      <c r="CC15" s="118"/>
      <c r="CD15" s="118"/>
      <c r="CE15" s="118"/>
      <c r="CF15" s="118"/>
      <c r="CG15" s="118"/>
      <c r="CH15" s="118"/>
      <c r="CI15" s="118"/>
      <c r="CJ15" s="118"/>
      <c r="CK15" s="118"/>
      <c r="CL15" s="207"/>
      <c r="CM15" s="207"/>
      <c r="CN15" s="207"/>
      <c r="CO15" s="207"/>
      <c r="CP15" s="207"/>
      <c r="CQ15" s="207"/>
      <c r="CR15" s="207"/>
      <c r="CS15" s="207"/>
      <c r="CT15" s="207"/>
      <c r="CU15" s="207"/>
      <c r="CV15" s="207"/>
      <c r="CW15" s="207"/>
      <c r="CX15" s="207"/>
      <c r="CY15" s="207"/>
      <c r="CZ15" s="207"/>
      <c r="DA15" s="207"/>
      <c r="DB15" s="207"/>
      <c r="DC15" s="207"/>
      <c r="DD15" s="207"/>
      <c r="DE15" s="207"/>
      <c r="DF15" s="207"/>
      <c r="DG15" s="207"/>
      <c r="DH15" s="207"/>
      <c r="DI15" s="207"/>
      <c r="DJ15" s="207"/>
      <c r="DK15" s="207"/>
      <c r="DL15" s="207"/>
      <c r="DM15" s="207"/>
    </row>
    <row r="16" spans="1:119" ht="12" customHeight="1" x14ac:dyDescent="0.25">
      <c r="A16" s="39"/>
      <c r="B16" s="25">
        <f ca="1">MAX($A$1:B15)+0.1</f>
        <v>1.2000000000000002</v>
      </c>
      <c r="C16" s="9" t="s">
        <v>26</v>
      </c>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7"/>
      <c r="AI16" s="207"/>
      <c r="AJ16" s="207"/>
      <c r="AK16" s="207"/>
      <c r="AL16" s="207"/>
      <c r="AM16" s="207"/>
      <c r="AN16" s="207"/>
      <c r="AO16" s="207"/>
      <c r="AP16" s="207"/>
      <c r="AQ16" s="207"/>
      <c r="AR16" s="207"/>
      <c r="AS16" s="207"/>
      <c r="AT16" s="207"/>
      <c r="AU16" s="207"/>
      <c r="AV16" s="207"/>
      <c r="AW16" s="207"/>
      <c r="AX16" s="207"/>
      <c r="AY16" s="207"/>
      <c r="AZ16" s="207"/>
      <c r="BA16" s="207"/>
      <c r="BB16" s="207"/>
      <c r="BC16" s="207"/>
      <c r="BD16" s="207"/>
      <c r="BE16" s="207"/>
      <c r="BF16" s="207"/>
      <c r="BG16" s="207"/>
      <c r="BH16" s="207"/>
      <c r="BI16" s="207"/>
      <c r="BJ16" s="207"/>
      <c r="BK16" s="207"/>
      <c r="BL16" s="207"/>
      <c r="BM16" s="207"/>
      <c r="BN16" s="207"/>
      <c r="BO16" s="207"/>
      <c r="BP16" s="207"/>
      <c r="BQ16" s="207"/>
      <c r="BR16" s="207"/>
      <c r="BS16" s="207"/>
      <c r="BT16" s="207"/>
      <c r="BU16" s="207"/>
      <c r="BV16" s="207"/>
      <c r="BW16" s="207"/>
      <c r="BX16" s="207"/>
      <c r="BY16" s="207"/>
      <c r="BZ16" s="207"/>
      <c r="CA16" s="207"/>
      <c r="CB16" s="207"/>
      <c r="CC16" s="207"/>
      <c r="CD16" s="207"/>
      <c r="CE16" s="207"/>
      <c r="CF16" s="207"/>
      <c r="CG16" s="207"/>
      <c r="CH16" s="207"/>
      <c r="CI16" s="207"/>
      <c r="CJ16" s="207"/>
      <c r="CK16" s="207"/>
      <c r="CL16" s="207"/>
      <c r="CM16" s="207"/>
      <c r="CN16" s="207"/>
      <c r="CO16" s="207"/>
      <c r="CP16" s="207"/>
      <c r="CQ16" s="207"/>
      <c r="CR16" s="207"/>
      <c r="CS16" s="207"/>
      <c r="CT16" s="207"/>
      <c r="CU16" s="207"/>
      <c r="CV16" s="207"/>
      <c r="CW16" s="207"/>
      <c r="CX16" s="207"/>
      <c r="CY16" s="207"/>
      <c r="CZ16" s="207"/>
      <c r="DA16" s="207"/>
      <c r="DB16" s="207"/>
      <c r="DC16" s="207"/>
      <c r="DD16" s="207"/>
      <c r="DE16" s="207"/>
      <c r="DF16" s="207"/>
      <c r="DG16" s="207"/>
      <c r="DH16" s="207"/>
      <c r="DI16" s="207"/>
      <c r="DJ16" s="207"/>
      <c r="DK16" s="207"/>
      <c r="DL16" s="207"/>
      <c r="DM16" s="207"/>
    </row>
    <row r="17" spans="1:117" ht="12" customHeight="1" x14ac:dyDescent="0.25">
      <c r="A17" s="39"/>
      <c r="F17" s="10" t="s">
        <v>24</v>
      </c>
      <c r="G17" s="10" t="s">
        <v>22</v>
      </c>
      <c r="J17" s="199">
        <f>'0.2.Parameters'!$H$11</f>
        <v>42370</v>
      </c>
      <c r="K17" s="200">
        <f t="shared" ref="K17:AS17" si="5">J18+1</f>
        <v>42461</v>
      </c>
      <c r="L17" s="201">
        <f t="shared" si="5"/>
        <v>42552</v>
      </c>
      <c r="M17" s="201">
        <f t="shared" si="5"/>
        <v>42644</v>
      </c>
      <c r="N17" s="201">
        <f t="shared" si="5"/>
        <v>42736</v>
      </c>
      <c r="O17" s="201">
        <f t="shared" si="5"/>
        <v>42826</v>
      </c>
      <c r="P17" s="201">
        <f t="shared" si="5"/>
        <v>42917</v>
      </c>
      <c r="Q17" s="201">
        <f t="shared" si="5"/>
        <v>43009</v>
      </c>
      <c r="R17" s="201">
        <f t="shared" si="5"/>
        <v>43101</v>
      </c>
      <c r="S17" s="201">
        <f t="shared" si="5"/>
        <v>43191</v>
      </c>
      <c r="T17" s="201">
        <f t="shared" si="5"/>
        <v>43282</v>
      </c>
      <c r="U17" s="201">
        <f t="shared" si="5"/>
        <v>43374</v>
      </c>
      <c r="V17" s="201">
        <f t="shared" si="5"/>
        <v>43466</v>
      </c>
      <c r="W17" s="201">
        <f t="shared" si="5"/>
        <v>43556</v>
      </c>
      <c r="X17" s="201">
        <f t="shared" si="5"/>
        <v>43647</v>
      </c>
      <c r="Y17" s="201">
        <f t="shared" si="5"/>
        <v>43739</v>
      </c>
      <c r="Z17" s="201">
        <f t="shared" si="5"/>
        <v>43831</v>
      </c>
      <c r="AA17" s="201">
        <f t="shared" si="5"/>
        <v>43922</v>
      </c>
      <c r="AB17" s="201">
        <f t="shared" si="5"/>
        <v>44013</v>
      </c>
      <c r="AC17" s="201">
        <f t="shared" si="5"/>
        <v>44105</v>
      </c>
      <c r="AD17" s="201">
        <f t="shared" si="5"/>
        <v>44197</v>
      </c>
      <c r="AE17" s="201">
        <f t="shared" si="5"/>
        <v>44287</v>
      </c>
      <c r="AF17" s="201">
        <f t="shared" si="5"/>
        <v>44378</v>
      </c>
      <c r="AG17" s="201">
        <f t="shared" si="5"/>
        <v>44470</v>
      </c>
      <c r="AH17" s="201">
        <f t="shared" si="5"/>
        <v>44562</v>
      </c>
      <c r="AI17" s="201">
        <f t="shared" si="5"/>
        <v>44652</v>
      </c>
      <c r="AJ17" s="201">
        <f t="shared" si="5"/>
        <v>44743</v>
      </c>
      <c r="AK17" s="201">
        <f t="shared" si="5"/>
        <v>44835</v>
      </c>
      <c r="AL17" s="201">
        <f t="shared" si="5"/>
        <v>44927</v>
      </c>
      <c r="AM17" s="201">
        <f t="shared" si="5"/>
        <v>45017</v>
      </c>
      <c r="AN17" s="201">
        <f t="shared" si="5"/>
        <v>45108</v>
      </c>
      <c r="AO17" s="201">
        <f t="shared" si="5"/>
        <v>45200</v>
      </c>
      <c r="AP17" s="201">
        <f t="shared" si="5"/>
        <v>45292</v>
      </c>
      <c r="AQ17" s="201">
        <f t="shared" si="5"/>
        <v>45383</v>
      </c>
      <c r="AR17" s="201">
        <f t="shared" si="5"/>
        <v>45474</v>
      </c>
      <c r="AS17" s="201">
        <f t="shared" si="5"/>
        <v>45566</v>
      </c>
      <c r="AT17" s="29"/>
      <c r="AU17" s="29"/>
      <c r="AV17" s="29"/>
      <c r="AW17" s="29"/>
      <c r="AX17" s="29"/>
      <c r="AY17" s="29"/>
      <c r="AZ17" s="29"/>
      <c r="BA17" s="29"/>
      <c r="BB17" s="29"/>
      <c r="BC17" s="29"/>
      <c r="BD17" s="29"/>
      <c r="BE17" s="29"/>
      <c r="BF17" s="202"/>
      <c r="BG17" s="202"/>
      <c r="BH17" s="202"/>
      <c r="BI17" s="202"/>
      <c r="BJ17" s="202"/>
      <c r="BK17" s="202"/>
      <c r="BL17" s="202"/>
      <c r="BM17" s="202"/>
      <c r="BN17" s="202"/>
      <c r="BO17" s="202"/>
      <c r="BP17" s="202"/>
      <c r="BQ17" s="202"/>
      <c r="BR17" s="202"/>
      <c r="BS17" s="202"/>
      <c r="BT17" s="202"/>
      <c r="BU17" s="202"/>
      <c r="BV17" s="202"/>
      <c r="BW17" s="202"/>
      <c r="BX17" s="202"/>
      <c r="BY17" s="202"/>
      <c r="BZ17" s="202"/>
      <c r="CA17" s="202"/>
      <c r="CB17" s="202"/>
      <c r="CC17" s="202"/>
      <c r="CD17" s="202"/>
      <c r="CE17" s="202"/>
      <c r="CF17" s="202"/>
      <c r="CG17" s="202"/>
      <c r="CH17" s="202"/>
      <c r="CI17" s="202"/>
      <c r="CJ17" s="202"/>
      <c r="CK17" s="202"/>
      <c r="CL17" s="202"/>
      <c r="CM17" s="202"/>
      <c r="CN17" s="202"/>
      <c r="CO17" s="202"/>
      <c r="CP17" s="202"/>
      <c r="CQ17" s="202"/>
      <c r="CR17" s="202"/>
      <c r="CS17" s="202"/>
      <c r="CT17" s="202"/>
      <c r="CU17" s="202"/>
      <c r="CV17" s="202"/>
      <c r="CW17" s="202"/>
      <c r="CX17" s="202"/>
      <c r="CY17" s="202"/>
      <c r="CZ17" s="202"/>
      <c r="DA17" s="202"/>
      <c r="DB17" s="202"/>
      <c r="DC17" s="202"/>
      <c r="DD17" s="202"/>
      <c r="DE17" s="202"/>
      <c r="DF17" s="202"/>
      <c r="DG17" s="202"/>
      <c r="DH17" s="202"/>
      <c r="DI17" s="202"/>
      <c r="DJ17" s="202"/>
      <c r="DK17" s="202"/>
      <c r="DL17" s="202"/>
      <c r="DM17" s="202"/>
    </row>
    <row r="18" spans="1:117" ht="12" customHeight="1" x14ac:dyDescent="0.25">
      <c r="A18" s="39"/>
      <c r="F18" s="10" t="s">
        <v>23</v>
      </c>
      <c r="G18" s="10" t="s">
        <v>22</v>
      </c>
      <c r="J18" s="203">
        <f>EOMONTH(J17,'0.2.Parameters'!$H$9-1)</f>
        <v>42460</v>
      </c>
      <c r="K18" s="203">
        <f>EOMONTH(K17,'0.2.Parameters'!$H$9-1)</f>
        <v>42551</v>
      </c>
      <c r="L18" s="203">
        <f>EOMONTH(L17,'0.2.Parameters'!$H$9-1)</f>
        <v>42643</v>
      </c>
      <c r="M18" s="203">
        <f>EOMONTH(M17,'0.2.Parameters'!$H$9-1)</f>
        <v>42735</v>
      </c>
      <c r="N18" s="203">
        <f>EOMONTH(N17,'0.2.Parameters'!$H$9-1)</f>
        <v>42825</v>
      </c>
      <c r="O18" s="203">
        <f>EOMONTH(O17,'0.2.Parameters'!$H$9-1)</f>
        <v>42916</v>
      </c>
      <c r="P18" s="203">
        <f>EOMONTH(P17,'0.2.Parameters'!$H$9-1)</f>
        <v>43008</v>
      </c>
      <c r="Q18" s="203">
        <f>EOMONTH(Q17,'0.2.Parameters'!$H$9-1)</f>
        <v>43100</v>
      </c>
      <c r="R18" s="203">
        <f>EOMONTH(R17,'0.2.Parameters'!$H$9-1)</f>
        <v>43190</v>
      </c>
      <c r="S18" s="203">
        <f>EOMONTH(S17,'0.2.Parameters'!$H$9-1)</f>
        <v>43281</v>
      </c>
      <c r="T18" s="203">
        <f>EOMONTH(T17,'0.2.Parameters'!$H$9-1)</f>
        <v>43373</v>
      </c>
      <c r="U18" s="203">
        <f>EOMONTH(U17,'0.2.Parameters'!$H$9-1)</f>
        <v>43465</v>
      </c>
      <c r="V18" s="203">
        <f>EOMONTH(V17,'0.2.Parameters'!$H$9-1)</f>
        <v>43555</v>
      </c>
      <c r="W18" s="203">
        <f>EOMONTH(W17,'0.2.Parameters'!$H$9-1)</f>
        <v>43646</v>
      </c>
      <c r="X18" s="203">
        <f>EOMONTH(X17,'0.2.Parameters'!$H$9-1)</f>
        <v>43738</v>
      </c>
      <c r="Y18" s="203">
        <f>EOMONTH(Y17,'0.2.Parameters'!$H$9-1)</f>
        <v>43830</v>
      </c>
      <c r="Z18" s="203">
        <f>EOMONTH(Z17,'0.2.Parameters'!$H$9-1)</f>
        <v>43921</v>
      </c>
      <c r="AA18" s="203">
        <f>EOMONTH(AA17,'0.2.Parameters'!$H$9-1)</f>
        <v>44012</v>
      </c>
      <c r="AB18" s="203">
        <f>EOMONTH(AB17,'0.2.Parameters'!$H$9-1)</f>
        <v>44104</v>
      </c>
      <c r="AC18" s="203">
        <f>EOMONTH(AC17,'0.2.Parameters'!$H$9-1)</f>
        <v>44196</v>
      </c>
      <c r="AD18" s="203">
        <f>EOMONTH(AD17,'0.2.Parameters'!$H$9-1)</f>
        <v>44286</v>
      </c>
      <c r="AE18" s="203">
        <f>EOMONTH(AE17,'0.2.Parameters'!$H$9-1)</f>
        <v>44377</v>
      </c>
      <c r="AF18" s="203">
        <f>EOMONTH(AF17,'0.2.Parameters'!$H$9-1)</f>
        <v>44469</v>
      </c>
      <c r="AG18" s="203">
        <f>EOMONTH(AG17,'0.2.Parameters'!$H$9-1)</f>
        <v>44561</v>
      </c>
      <c r="AH18" s="203">
        <f>EOMONTH(AH17,'0.2.Parameters'!$H$9-1)</f>
        <v>44651</v>
      </c>
      <c r="AI18" s="203">
        <f>EOMONTH(AI17,'0.2.Parameters'!$H$9-1)</f>
        <v>44742</v>
      </c>
      <c r="AJ18" s="203">
        <f>EOMONTH(AJ17,'0.2.Parameters'!$H$9-1)</f>
        <v>44834</v>
      </c>
      <c r="AK18" s="203">
        <f>EOMONTH(AK17,'0.2.Parameters'!$H$9-1)</f>
        <v>44926</v>
      </c>
      <c r="AL18" s="203">
        <f>EOMONTH(AL17,'0.2.Parameters'!$H$9-1)</f>
        <v>45016</v>
      </c>
      <c r="AM18" s="203">
        <f>EOMONTH(AM17,'0.2.Parameters'!$H$9-1)</f>
        <v>45107</v>
      </c>
      <c r="AN18" s="203">
        <f>EOMONTH(AN17,'0.2.Parameters'!$H$9-1)</f>
        <v>45199</v>
      </c>
      <c r="AO18" s="203">
        <f>EOMONTH(AO17,'0.2.Parameters'!$H$9-1)</f>
        <v>45291</v>
      </c>
      <c r="AP18" s="203">
        <f>EOMONTH(AP17,'0.2.Parameters'!$H$9-1)</f>
        <v>45382</v>
      </c>
      <c r="AQ18" s="203">
        <f>EOMONTH(AQ17,'0.2.Parameters'!$H$9-1)</f>
        <v>45473</v>
      </c>
      <c r="AR18" s="203">
        <f>EOMONTH(AR17,'0.2.Parameters'!$H$9-1)</f>
        <v>45565</v>
      </c>
      <c r="AS18" s="203">
        <f>EOMONTH(AS17,'0.2.Parameters'!$H$9-1)</f>
        <v>45657</v>
      </c>
      <c r="AT18" s="29"/>
      <c r="AU18" s="29"/>
      <c r="AV18" s="29"/>
      <c r="AW18" s="29"/>
      <c r="AX18" s="29"/>
      <c r="AY18" s="29"/>
      <c r="AZ18" s="29"/>
      <c r="BA18" s="29"/>
      <c r="BB18" s="29"/>
      <c r="BC18" s="29"/>
      <c r="BD18" s="29"/>
      <c r="BE18" s="29"/>
      <c r="BF18" s="202"/>
      <c r="BG18" s="202"/>
      <c r="BH18" s="202"/>
      <c r="BI18" s="202"/>
      <c r="BJ18" s="202"/>
      <c r="BK18" s="202"/>
      <c r="BL18" s="202"/>
      <c r="BM18" s="202"/>
      <c r="BN18" s="202"/>
      <c r="BO18" s="202"/>
      <c r="BP18" s="202"/>
      <c r="BQ18" s="202"/>
      <c r="BR18" s="202"/>
      <c r="BS18" s="202"/>
      <c r="BT18" s="202"/>
      <c r="BU18" s="202"/>
      <c r="BV18" s="202"/>
      <c r="BW18" s="202"/>
      <c r="BX18" s="202"/>
      <c r="BY18" s="202"/>
      <c r="BZ18" s="202"/>
      <c r="CA18" s="202"/>
      <c r="CB18" s="202"/>
      <c r="CC18" s="202"/>
      <c r="CD18" s="202"/>
      <c r="CE18" s="202"/>
      <c r="CF18" s="202"/>
      <c r="CG18" s="202"/>
      <c r="CH18" s="202"/>
      <c r="CI18" s="202"/>
      <c r="CJ18" s="202"/>
      <c r="CK18" s="202"/>
      <c r="CL18" s="202"/>
      <c r="CM18" s="202"/>
      <c r="CN18" s="202"/>
      <c r="CO18" s="202"/>
      <c r="CP18" s="202"/>
      <c r="CQ18" s="202"/>
      <c r="CR18" s="202"/>
      <c r="CS18" s="202"/>
      <c r="CT18" s="202"/>
      <c r="CU18" s="202"/>
      <c r="CV18" s="202"/>
      <c r="CW18" s="202"/>
      <c r="CX18" s="202"/>
      <c r="CY18" s="202"/>
      <c r="CZ18" s="202"/>
      <c r="DA18" s="202"/>
      <c r="DB18" s="202"/>
      <c r="DC18" s="202"/>
      <c r="DD18" s="202"/>
      <c r="DE18" s="202"/>
      <c r="DF18" s="202"/>
      <c r="DG18" s="202"/>
      <c r="DH18" s="202"/>
      <c r="DI18" s="202"/>
      <c r="DJ18" s="202"/>
      <c r="DK18" s="202"/>
      <c r="DL18" s="202"/>
      <c r="DM18" s="202"/>
    </row>
    <row r="19" spans="1:117" ht="12" customHeight="1" x14ac:dyDescent="0.25">
      <c r="A19" s="39"/>
      <c r="F19" s="10" t="s">
        <v>21</v>
      </c>
      <c r="G19" s="10" t="s">
        <v>12</v>
      </c>
      <c r="J19" s="204">
        <f t="shared" ref="J19:AS19" si="6">YEAR(J18)</f>
        <v>2016</v>
      </c>
      <c r="K19" s="204">
        <f t="shared" si="6"/>
        <v>2016</v>
      </c>
      <c r="L19" s="204">
        <f t="shared" si="6"/>
        <v>2016</v>
      </c>
      <c r="M19" s="204">
        <f t="shared" si="6"/>
        <v>2016</v>
      </c>
      <c r="N19" s="204">
        <f t="shared" si="6"/>
        <v>2017</v>
      </c>
      <c r="O19" s="204">
        <f t="shared" si="6"/>
        <v>2017</v>
      </c>
      <c r="P19" s="204">
        <f t="shared" si="6"/>
        <v>2017</v>
      </c>
      <c r="Q19" s="204">
        <f t="shared" si="6"/>
        <v>2017</v>
      </c>
      <c r="R19" s="204">
        <f t="shared" si="6"/>
        <v>2018</v>
      </c>
      <c r="S19" s="204">
        <f t="shared" si="6"/>
        <v>2018</v>
      </c>
      <c r="T19" s="204">
        <f t="shared" si="6"/>
        <v>2018</v>
      </c>
      <c r="U19" s="204">
        <f t="shared" si="6"/>
        <v>2018</v>
      </c>
      <c r="V19" s="204">
        <f t="shared" si="6"/>
        <v>2019</v>
      </c>
      <c r="W19" s="204">
        <f t="shared" si="6"/>
        <v>2019</v>
      </c>
      <c r="X19" s="204">
        <f t="shared" si="6"/>
        <v>2019</v>
      </c>
      <c r="Y19" s="204">
        <f t="shared" si="6"/>
        <v>2019</v>
      </c>
      <c r="Z19" s="204">
        <f t="shared" si="6"/>
        <v>2020</v>
      </c>
      <c r="AA19" s="204">
        <f t="shared" si="6"/>
        <v>2020</v>
      </c>
      <c r="AB19" s="204">
        <f t="shared" si="6"/>
        <v>2020</v>
      </c>
      <c r="AC19" s="204">
        <f t="shared" si="6"/>
        <v>2020</v>
      </c>
      <c r="AD19" s="204">
        <f t="shared" si="6"/>
        <v>2021</v>
      </c>
      <c r="AE19" s="204">
        <f t="shared" si="6"/>
        <v>2021</v>
      </c>
      <c r="AF19" s="204">
        <f t="shared" si="6"/>
        <v>2021</v>
      </c>
      <c r="AG19" s="204">
        <f t="shared" si="6"/>
        <v>2021</v>
      </c>
      <c r="AH19" s="204">
        <f t="shared" si="6"/>
        <v>2022</v>
      </c>
      <c r="AI19" s="204">
        <f t="shared" si="6"/>
        <v>2022</v>
      </c>
      <c r="AJ19" s="204">
        <f t="shared" si="6"/>
        <v>2022</v>
      </c>
      <c r="AK19" s="204">
        <f t="shared" si="6"/>
        <v>2022</v>
      </c>
      <c r="AL19" s="204">
        <f t="shared" si="6"/>
        <v>2023</v>
      </c>
      <c r="AM19" s="204">
        <f t="shared" si="6"/>
        <v>2023</v>
      </c>
      <c r="AN19" s="204">
        <f t="shared" si="6"/>
        <v>2023</v>
      </c>
      <c r="AO19" s="204">
        <f t="shared" si="6"/>
        <v>2023</v>
      </c>
      <c r="AP19" s="204">
        <f t="shared" si="6"/>
        <v>2024</v>
      </c>
      <c r="AQ19" s="204">
        <f t="shared" si="6"/>
        <v>2024</v>
      </c>
      <c r="AR19" s="204">
        <f t="shared" si="6"/>
        <v>2024</v>
      </c>
      <c r="AS19" s="204">
        <f t="shared" si="6"/>
        <v>2024</v>
      </c>
      <c r="AT19" s="205"/>
      <c r="AU19" s="205"/>
      <c r="AV19" s="205"/>
      <c r="AW19" s="205"/>
      <c r="AX19" s="205"/>
      <c r="AY19" s="205"/>
      <c r="AZ19" s="205"/>
      <c r="BA19" s="205"/>
      <c r="BB19" s="205"/>
      <c r="BC19" s="205"/>
      <c r="BD19" s="205"/>
      <c r="BE19" s="205"/>
      <c r="BF19" s="205"/>
      <c r="BG19" s="205"/>
      <c r="BH19" s="205"/>
      <c r="BI19" s="205"/>
      <c r="BJ19" s="205"/>
      <c r="BK19" s="205"/>
      <c r="BL19" s="205"/>
      <c r="BM19" s="205"/>
      <c r="BN19" s="205"/>
      <c r="BO19" s="205"/>
      <c r="BP19" s="205"/>
      <c r="BQ19" s="205"/>
      <c r="BR19" s="205"/>
      <c r="BS19" s="205"/>
      <c r="BT19" s="205"/>
      <c r="BU19" s="205"/>
      <c r="BV19" s="205"/>
      <c r="BW19" s="205"/>
      <c r="BX19" s="205"/>
      <c r="BY19" s="205"/>
      <c r="BZ19" s="205"/>
      <c r="CA19" s="205"/>
      <c r="CB19" s="205"/>
      <c r="CC19" s="205"/>
      <c r="CD19" s="205"/>
      <c r="CE19" s="205"/>
      <c r="CF19" s="205"/>
      <c r="CG19" s="205"/>
      <c r="CH19" s="205"/>
      <c r="CI19" s="205"/>
      <c r="CJ19" s="205"/>
      <c r="CK19" s="205"/>
      <c r="CL19" s="205"/>
      <c r="CM19" s="205"/>
      <c r="CN19" s="205"/>
      <c r="CO19" s="205"/>
      <c r="CP19" s="205"/>
      <c r="CQ19" s="205"/>
      <c r="CR19" s="205"/>
      <c r="CS19" s="205"/>
      <c r="CT19" s="205"/>
      <c r="CU19" s="205"/>
      <c r="CV19" s="205"/>
      <c r="CW19" s="205"/>
      <c r="CX19" s="205"/>
      <c r="CY19" s="205"/>
      <c r="CZ19" s="205"/>
      <c r="DA19" s="205"/>
      <c r="DB19" s="205"/>
      <c r="DC19" s="205"/>
      <c r="DD19" s="205"/>
      <c r="DE19" s="205"/>
      <c r="DF19" s="205"/>
      <c r="DG19" s="205"/>
      <c r="DH19" s="205"/>
      <c r="DI19" s="205"/>
      <c r="DJ19" s="205"/>
      <c r="DK19" s="205"/>
      <c r="DL19" s="205"/>
      <c r="DM19" s="205"/>
    </row>
    <row r="20" spans="1:117" ht="12" customHeight="1" x14ac:dyDescent="0.25">
      <c r="A20" s="39"/>
      <c r="F20" s="10" t="s">
        <v>20</v>
      </c>
      <c r="G20" s="10" t="s">
        <v>12</v>
      </c>
      <c r="J20" s="209" t="str">
        <f>"Q"&amp;ROUNDUP(MONTH(J18)/'0.2.Parameters'!$H$9,0)&amp;" " &amp;YEAR(J18)</f>
        <v>Q1 2016</v>
      </c>
      <c r="K20" s="209" t="str">
        <f>"Q"&amp;ROUNDUP(MONTH(K18)/'0.2.Parameters'!$H$9,0)&amp;" " &amp;YEAR(K18)</f>
        <v>Q2 2016</v>
      </c>
      <c r="L20" s="209" t="str">
        <f>"Q"&amp;ROUNDUP(MONTH(L18)/'0.2.Parameters'!$H$9,0)&amp;" " &amp;YEAR(L18)</f>
        <v>Q3 2016</v>
      </c>
      <c r="M20" s="209" t="str">
        <f>"Q"&amp;ROUNDUP(MONTH(M18)/'0.2.Parameters'!$H$9,0)&amp;" " &amp;YEAR(M18)</f>
        <v>Q4 2016</v>
      </c>
      <c r="N20" s="209" t="str">
        <f>"Q"&amp;ROUNDUP(MONTH(N18)/'0.2.Parameters'!$H$9,0)&amp;" " &amp;YEAR(N18)</f>
        <v>Q1 2017</v>
      </c>
      <c r="O20" s="209" t="str">
        <f>"Q"&amp;ROUNDUP(MONTH(O18)/'0.2.Parameters'!$H$9,0)&amp;" " &amp;YEAR(O18)</f>
        <v>Q2 2017</v>
      </c>
      <c r="P20" s="209" t="str">
        <f>"Q"&amp;ROUNDUP(MONTH(P18)/'0.2.Parameters'!$H$9,0)&amp;" " &amp;YEAR(P18)</f>
        <v>Q3 2017</v>
      </c>
      <c r="Q20" s="209" t="str">
        <f>"Q"&amp;ROUNDUP(MONTH(Q18)/'0.2.Parameters'!$H$9,0)&amp;" " &amp;YEAR(Q18)</f>
        <v>Q4 2017</v>
      </c>
      <c r="R20" s="209" t="str">
        <f>"Q"&amp;ROUNDUP(MONTH(R18)/'0.2.Parameters'!$H$9,0)&amp;" " &amp;YEAR(R18)</f>
        <v>Q1 2018</v>
      </c>
      <c r="S20" s="209" t="str">
        <f>"Q"&amp;ROUNDUP(MONTH(S18)/'0.2.Parameters'!$H$9,0)&amp;" " &amp;YEAR(S18)</f>
        <v>Q2 2018</v>
      </c>
      <c r="T20" s="209" t="str">
        <f>"Q"&amp;ROUNDUP(MONTH(T18)/'0.2.Parameters'!$H$9,0)&amp;" " &amp;YEAR(T18)</f>
        <v>Q3 2018</v>
      </c>
      <c r="U20" s="209" t="str">
        <f>"Q"&amp;ROUNDUP(MONTH(U18)/'0.2.Parameters'!$H$9,0)&amp;" " &amp;YEAR(U18)</f>
        <v>Q4 2018</v>
      </c>
      <c r="V20" s="209" t="str">
        <f>"Q"&amp;ROUNDUP(MONTH(V18)/'0.2.Parameters'!$H$9,0)&amp;" " &amp;YEAR(V18)</f>
        <v>Q1 2019</v>
      </c>
      <c r="W20" s="209" t="str">
        <f>"Q"&amp;ROUNDUP(MONTH(W18)/'0.2.Parameters'!$H$9,0)&amp;" " &amp;YEAR(W18)</f>
        <v>Q2 2019</v>
      </c>
      <c r="X20" s="209" t="str">
        <f>"Q"&amp;ROUNDUP(MONTH(X18)/'0.2.Parameters'!$H$9,0)&amp;" " &amp;YEAR(X18)</f>
        <v>Q3 2019</v>
      </c>
      <c r="Y20" s="209" t="str">
        <f>"Q"&amp;ROUNDUP(MONTH(Y18)/'0.2.Parameters'!$H$9,0)&amp;" " &amp;YEAR(Y18)</f>
        <v>Q4 2019</v>
      </c>
      <c r="Z20" s="209" t="str">
        <f>"Q"&amp;ROUNDUP(MONTH(Z18)/'0.2.Parameters'!$H$9,0)&amp;" " &amp;YEAR(Z18)</f>
        <v>Q1 2020</v>
      </c>
      <c r="AA20" s="209" t="str">
        <f>"Q"&amp;ROUNDUP(MONTH(AA18)/'0.2.Parameters'!$H$9,0)&amp;" " &amp;YEAR(AA18)</f>
        <v>Q2 2020</v>
      </c>
      <c r="AB20" s="209" t="str">
        <f>"Q"&amp;ROUNDUP(MONTH(AB18)/'0.2.Parameters'!$H$9,0)&amp;" " &amp;YEAR(AB18)</f>
        <v>Q3 2020</v>
      </c>
      <c r="AC20" s="209" t="str">
        <f>"Q"&amp;ROUNDUP(MONTH(AC18)/'0.2.Parameters'!$H$9,0)&amp;" " &amp;YEAR(AC18)</f>
        <v>Q4 2020</v>
      </c>
      <c r="AD20" s="209" t="str">
        <f>"Q"&amp;ROUNDUP(MONTH(AD18)/'0.2.Parameters'!$H$9,0)&amp;" " &amp;YEAR(AD18)</f>
        <v>Q1 2021</v>
      </c>
      <c r="AE20" s="209" t="str">
        <f>"Q"&amp;ROUNDUP(MONTH(AE18)/'0.2.Parameters'!$H$9,0)&amp;" " &amp;YEAR(AE18)</f>
        <v>Q2 2021</v>
      </c>
      <c r="AF20" s="209" t="str">
        <f>"Q"&amp;ROUNDUP(MONTH(AF18)/'0.2.Parameters'!$H$9,0)&amp;" " &amp;YEAR(AF18)</f>
        <v>Q3 2021</v>
      </c>
      <c r="AG20" s="209" t="str">
        <f>"Q"&amp;ROUNDUP(MONTH(AG18)/'0.2.Parameters'!$H$9,0)&amp;" " &amp;YEAR(AG18)</f>
        <v>Q4 2021</v>
      </c>
      <c r="AH20" s="209" t="str">
        <f>"Q"&amp;ROUNDUP(MONTH(AH18)/'0.2.Parameters'!$H$9,0)&amp;" " &amp;YEAR(AH18)</f>
        <v>Q1 2022</v>
      </c>
      <c r="AI20" s="209" t="str">
        <f>"Q"&amp;ROUNDUP(MONTH(AI18)/'0.2.Parameters'!$H$9,0)&amp;" " &amp;YEAR(AI18)</f>
        <v>Q2 2022</v>
      </c>
      <c r="AJ20" s="209" t="str">
        <f>"Q"&amp;ROUNDUP(MONTH(AJ18)/'0.2.Parameters'!$H$9,0)&amp;" " &amp;YEAR(AJ18)</f>
        <v>Q3 2022</v>
      </c>
      <c r="AK20" s="209" t="str">
        <f>"Q"&amp;ROUNDUP(MONTH(AK18)/'0.2.Parameters'!$H$9,0)&amp;" " &amp;YEAR(AK18)</f>
        <v>Q4 2022</v>
      </c>
      <c r="AL20" s="209" t="str">
        <f>"Q"&amp;ROUNDUP(MONTH(AL18)/'0.2.Parameters'!$H$9,0)&amp;" " &amp;YEAR(AL18)</f>
        <v>Q1 2023</v>
      </c>
      <c r="AM20" s="209" t="str">
        <f>"Q"&amp;ROUNDUP(MONTH(AM18)/'0.2.Parameters'!$H$9,0)&amp;" " &amp;YEAR(AM18)</f>
        <v>Q2 2023</v>
      </c>
      <c r="AN20" s="209" t="str">
        <f>"Q"&amp;ROUNDUP(MONTH(AN18)/'0.2.Parameters'!$H$9,0)&amp;" " &amp;YEAR(AN18)</f>
        <v>Q3 2023</v>
      </c>
      <c r="AO20" s="209" t="str">
        <f>"Q"&amp;ROUNDUP(MONTH(AO18)/'0.2.Parameters'!$H$9,0)&amp;" " &amp;YEAR(AO18)</f>
        <v>Q4 2023</v>
      </c>
      <c r="AP20" s="209" t="str">
        <f>"Q"&amp;ROUNDUP(MONTH(AP18)/'0.2.Parameters'!$H$9,0)&amp;" " &amp;YEAR(AP18)</f>
        <v>Q1 2024</v>
      </c>
      <c r="AQ20" s="209" t="str">
        <f>"Q"&amp;ROUNDUP(MONTH(AQ18)/'0.2.Parameters'!$H$9,0)&amp;" " &amp;YEAR(AQ18)</f>
        <v>Q2 2024</v>
      </c>
      <c r="AR20" s="209" t="str">
        <f>"Q"&amp;ROUNDUP(MONTH(AR18)/'0.2.Parameters'!$H$9,0)&amp;" " &amp;YEAR(AR18)</f>
        <v>Q3 2024</v>
      </c>
      <c r="AS20" s="209" t="str">
        <f>"Q"&amp;ROUNDUP(MONTH(AS18)/'0.2.Parameters'!$H$9,0)&amp;" " &amp;YEAR(AS18)</f>
        <v>Q4 2024</v>
      </c>
      <c r="AT20" s="207"/>
      <c r="AU20" s="207"/>
      <c r="AV20" s="207"/>
      <c r="AW20" s="207"/>
      <c r="AX20" s="207"/>
      <c r="AY20" s="207"/>
      <c r="AZ20" s="207"/>
      <c r="BA20" s="207"/>
      <c r="BB20" s="207"/>
      <c r="BC20" s="207"/>
      <c r="BD20" s="207"/>
      <c r="BE20" s="207"/>
      <c r="BF20" s="207"/>
      <c r="BG20" s="207"/>
      <c r="BH20" s="207"/>
      <c r="BI20" s="207"/>
      <c r="BJ20" s="207"/>
      <c r="BK20" s="207"/>
      <c r="BL20" s="207"/>
      <c r="BM20" s="207"/>
      <c r="BN20" s="207"/>
      <c r="BO20" s="207"/>
      <c r="BP20" s="207"/>
      <c r="BQ20" s="207"/>
      <c r="BR20" s="207"/>
      <c r="BS20" s="207"/>
      <c r="BT20" s="207"/>
      <c r="BU20" s="207"/>
      <c r="BV20" s="207"/>
      <c r="BW20" s="207"/>
      <c r="BX20" s="207"/>
      <c r="BY20" s="207"/>
      <c r="BZ20" s="207"/>
      <c r="CA20" s="207"/>
      <c r="CB20" s="207"/>
      <c r="CC20" s="207"/>
      <c r="CD20" s="207"/>
      <c r="CE20" s="207"/>
      <c r="CF20" s="207"/>
      <c r="CG20" s="207"/>
      <c r="CH20" s="207"/>
      <c r="CI20" s="207"/>
      <c r="CJ20" s="207"/>
      <c r="CK20" s="207"/>
      <c r="CL20" s="207"/>
      <c r="CM20" s="207"/>
      <c r="CN20" s="207"/>
      <c r="CO20" s="207"/>
      <c r="CP20" s="207"/>
      <c r="CQ20" s="207"/>
      <c r="CR20" s="207"/>
      <c r="CS20" s="207"/>
      <c r="CT20" s="207"/>
      <c r="CU20" s="207"/>
      <c r="CV20" s="207"/>
      <c r="CW20" s="207"/>
      <c r="CX20" s="207"/>
      <c r="CY20" s="207"/>
      <c r="CZ20" s="207"/>
      <c r="DA20" s="207"/>
      <c r="DB20" s="207"/>
      <c r="DC20" s="207"/>
      <c r="DD20" s="207"/>
      <c r="DE20" s="207"/>
      <c r="DF20" s="207"/>
      <c r="DG20" s="207"/>
      <c r="DH20" s="207"/>
      <c r="DI20" s="207"/>
      <c r="DJ20" s="207"/>
      <c r="DK20" s="207"/>
      <c r="DL20" s="207"/>
      <c r="DM20" s="207"/>
    </row>
    <row r="21" spans="1:117" ht="12" customHeight="1" x14ac:dyDescent="0.25">
      <c r="A21" s="39"/>
      <c r="F21" s="10" t="s">
        <v>19</v>
      </c>
      <c r="G21" s="10" t="s">
        <v>12</v>
      </c>
      <c r="J21" s="206">
        <f>COUNT($J17:J17)</f>
        <v>1</v>
      </c>
      <c r="K21" s="206">
        <f>COUNT($J17:K17)</f>
        <v>2</v>
      </c>
      <c r="L21" s="206">
        <f>COUNT($J17:L17)</f>
        <v>3</v>
      </c>
      <c r="M21" s="206">
        <f>COUNT($J17:M17)</f>
        <v>4</v>
      </c>
      <c r="N21" s="206">
        <f>COUNT($J17:N17)</f>
        <v>5</v>
      </c>
      <c r="O21" s="206">
        <f>COUNT($J17:O17)</f>
        <v>6</v>
      </c>
      <c r="P21" s="206">
        <f>COUNT($J17:P17)</f>
        <v>7</v>
      </c>
      <c r="Q21" s="206">
        <f>COUNT($J17:Q17)</f>
        <v>8</v>
      </c>
      <c r="R21" s="206">
        <f>COUNT($J17:R17)</f>
        <v>9</v>
      </c>
      <c r="S21" s="206">
        <f>COUNT($J17:S17)</f>
        <v>10</v>
      </c>
      <c r="T21" s="206">
        <f>COUNT($J17:T17)</f>
        <v>11</v>
      </c>
      <c r="U21" s="206">
        <f>COUNT($J17:U17)</f>
        <v>12</v>
      </c>
      <c r="V21" s="206">
        <f>COUNT($J17:V17)</f>
        <v>13</v>
      </c>
      <c r="W21" s="206">
        <f>COUNT($J17:W17)</f>
        <v>14</v>
      </c>
      <c r="X21" s="206">
        <f>COUNT($J17:X17)</f>
        <v>15</v>
      </c>
      <c r="Y21" s="206">
        <f>COUNT($J17:Y17)</f>
        <v>16</v>
      </c>
      <c r="Z21" s="206">
        <f>COUNT($J17:Z17)</f>
        <v>17</v>
      </c>
      <c r="AA21" s="206">
        <f>COUNT($J17:AA17)</f>
        <v>18</v>
      </c>
      <c r="AB21" s="206">
        <f>COUNT($J17:AB17)</f>
        <v>19</v>
      </c>
      <c r="AC21" s="206">
        <f>COUNT($J17:AC17)</f>
        <v>20</v>
      </c>
      <c r="AD21" s="206">
        <f>COUNT($J17:AD17)</f>
        <v>21</v>
      </c>
      <c r="AE21" s="206">
        <f>COUNT($J17:AE17)</f>
        <v>22</v>
      </c>
      <c r="AF21" s="206">
        <f>COUNT($J17:AF17)</f>
        <v>23</v>
      </c>
      <c r="AG21" s="206">
        <f>COUNT($J17:AG17)</f>
        <v>24</v>
      </c>
      <c r="AH21" s="206">
        <f>COUNT($J17:AH17)</f>
        <v>25</v>
      </c>
      <c r="AI21" s="206">
        <f>COUNT($J17:AI17)</f>
        <v>26</v>
      </c>
      <c r="AJ21" s="206">
        <f>COUNT($J17:AJ17)</f>
        <v>27</v>
      </c>
      <c r="AK21" s="206">
        <f>COUNT($J17:AK17)</f>
        <v>28</v>
      </c>
      <c r="AL21" s="206">
        <f>COUNT($J17:AL17)</f>
        <v>29</v>
      </c>
      <c r="AM21" s="206">
        <f>COUNT($J17:AM17)</f>
        <v>30</v>
      </c>
      <c r="AN21" s="206">
        <f>COUNT($J17:AN17)</f>
        <v>31</v>
      </c>
      <c r="AO21" s="206">
        <f>COUNT($J17:AO17)</f>
        <v>32</v>
      </c>
      <c r="AP21" s="206">
        <f>COUNT($J17:AP17)</f>
        <v>33</v>
      </c>
      <c r="AQ21" s="206">
        <f>COUNT($J17:AQ17)</f>
        <v>34</v>
      </c>
      <c r="AR21" s="206">
        <f>COUNT($J17:AR17)</f>
        <v>35</v>
      </c>
      <c r="AS21" s="206">
        <f>COUNT($J17:AS17)</f>
        <v>36</v>
      </c>
      <c r="AT21" s="118"/>
      <c r="AU21" s="118"/>
      <c r="AV21" s="118"/>
      <c r="AW21" s="118"/>
      <c r="AX21" s="118"/>
      <c r="AY21" s="118"/>
      <c r="AZ21" s="118"/>
      <c r="BA21" s="118"/>
      <c r="BB21" s="118"/>
      <c r="BC21" s="118"/>
      <c r="BD21" s="118"/>
      <c r="BE21" s="118"/>
      <c r="BF21" s="118"/>
      <c r="BG21" s="118"/>
      <c r="BH21" s="118"/>
      <c r="BI21" s="118"/>
      <c r="BJ21" s="118"/>
      <c r="BK21" s="118"/>
      <c r="BL21" s="118"/>
      <c r="BM21" s="118"/>
      <c r="BN21" s="118"/>
      <c r="BO21" s="118"/>
      <c r="BP21" s="118"/>
      <c r="BQ21" s="118"/>
      <c r="BR21" s="118"/>
      <c r="BS21" s="118"/>
      <c r="BT21" s="118"/>
      <c r="BU21" s="118"/>
      <c r="BV21" s="118"/>
      <c r="BW21" s="118"/>
      <c r="BX21" s="118"/>
      <c r="BY21" s="118"/>
      <c r="BZ21" s="118"/>
      <c r="CA21" s="118"/>
      <c r="CB21" s="118"/>
      <c r="CC21" s="118"/>
      <c r="CD21" s="118"/>
      <c r="CE21" s="118"/>
      <c r="CF21" s="118"/>
      <c r="CG21" s="118"/>
      <c r="CH21" s="118"/>
      <c r="CI21" s="118"/>
      <c r="CJ21" s="118"/>
      <c r="CK21" s="118"/>
      <c r="CL21" s="210"/>
      <c r="CM21" s="210"/>
      <c r="CN21" s="210"/>
      <c r="CO21" s="210"/>
      <c r="CP21" s="210"/>
      <c r="CQ21" s="210"/>
      <c r="CR21" s="210"/>
      <c r="CS21" s="210"/>
      <c r="CT21" s="210"/>
      <c r="CU21" s="210"/>
      <c r="CV21" s="210"/>
      <c r="CW21" s="210"/>
      <c r="CX21" s="210"/>
      <c r="CY21" s="210"/>
      <c r="CZ21" s="210"/>
      <c r="DA21" s="210"/>
      <c r="DB21" s="210"/>
      <c r="DC21" s="210"/>
      <c r="DD21" s="210"/>
      <c r="DE21" s="210"/>
      <c r="DF21" s="210"/>
      <c r="DG21" s="210"/>
      <c r="DH21" s="210"/>
      <c r="DI21" s="210"/>
      <c r="DJ21" s="210"/>
      <c r="DK21" s="210"/>
      <c r="DL21" s="210"/>
      <c r="DM21" s="210"/>
    </row>
    <row r="22" spans="1:117" ht="12" customHeight="1" x14ac:dyDescent="0.25">
      <c r="A22" s="39"/>
      <c r="F22" s="10" t="s">
        <v>18</v>
      </c>
      <c r="G22" s="10" t="s">
        <v>12</v>
      </c>
      <c r="J22" s="206">
        <f>IF(MONTH(J17)&lt;=3,IF(ISNUMBER(G22),G22,0)+1,IF(ISNUMBER(G22),G22,0))</f>
        <v>1</v>
      </c>
      <c r="K22" s="206">
        <f t="shared" ref="K22:AS22" si="7">IF(MONTH(K17)&lt;=3,IF(ISNUMBER(J22),J22,0)+1,IF(ISNUMBER(J22),J22,0))</f>
        <v>1</v>
      </c>
      <c r="L22" s="206">
        <f t="shared" si="7"/>
        <v>1</v>
      </c>
      <c r="M22" s="206">
        <f t="shared" si="7"/>
        <v>1</v>
      </c>
      <c r="N22" s="206">
        <f t="shared" si="7"/>
        <v>2</v>
      </c>
      <c r="O22" s="206">
        <f t="shared" si="7"/>
        <v>2</v>
      </c>
      <c r="P22" s="206">
        <f t="shared" si="7"/>
        <v>2</v>
      </c>
      <c r="Q22" s="206">
        <f t="shared" si="7"/>
        <v>2</v>
      </c>
      <c r="R22" s="206">
        <f t="shared" si="7"/>
        <v>3</v>
      </c>
      <c r="S22" s="206">
        <f t="shared" si="7"/>
        <v>3</v>
      </c>
      <c r="T22" s="206">
        <f t="shared" si="7"/>
        <v>3</v>
      </c>
      <c r="U22" s="206">
        <f t="shared" si="7"/>
        <v>3</v>
      </c>
      <c r="V22" s="206">
        <f t="shared" si="7"/>
        <v>4</v>
      </c>
      <c r="W22" s="206">
        <f t="shared" si="7"/>
        <v>4</v>
      </c>
      <c r="X22" s="206">
        <f t="shared" si="7"/>
        <v>4</v>
      </c>
      <c r="Y22" s="206">
        <f t="shared" si="7"/>
        <v>4</v>
      </c>
      <c r="Z22" s="206">
        <f t="shared" si="7"/>
        <v>5</v>
      </c>
      <c r="AA22" s="206">
        <f t="shared" si="7"/>
        <v>5</v>
      </c>
      <c r="AB22" s="206">
        <f t="shared" si="7"/>
        <v>5</v>
      </c>
      <c r="AC22" s="206">
        <f t="shared" si="7"/>
        <v>5</v>
      </c>
      <c r="AD22" s="206">
        <f t="shared" si="7"/>
        <v>6</v>
      </c>
      <c r="AE22" s="206">
        <f t="shared" si="7"/>
        <v>6</v>
      </c>
      <c r="AF22" s="206">
        <f t="shared" si="7"/>
        <v>6</v>
      </c>
      <c r="AG22" s="206">
        <f t="shared" si="7"/>
        <v>6</v>
      </c>
      <c r="AH22" s="206">
        <f t="shared" si="7"/>
        <v>7</v>
      </c>
      <c r="AI22" s="206">
        <f t="shared" si="7"/>
        <v>7</v>
      </c>
      <c r="AJ22" s="206">
        <f t="shared" si="7"/>
        <v>7</v>
      </c>
      <c r="AK22" s="206">
        <f t="shared" si="7"/>
        <v>7</v>
      </c>
      <c r="AL22" s="206">
        <f t="shared" si="7"/>
        <v>8</v>
      </c>
      <c r="AM22" s="206">
        <f t="shared" si="7"/>
        <v>8</v>
      </c>
      <c r="AN22" s="206">
        <f t="shared" si="7"/>
        <v>8</v>
      </c>
      <c r="AO22" s="206">
        <f t="shared" si="7"/>
        <v>8</v>
      </c>
      <c r="AP22" s="206">
        <f t="shared" si="7"/>
        <v>9</v>
      </c>
      <c r="AQ22" s="206">
        <f t="shared" si="7"/>
        <v>9</v>
      </c>
      <c r="AR22" s="206">
        <f t="shared" si="7"/>
        <v>9</v>
      </c>
      <c r="AS22" s="206">
        <f t="shared" si="7"/>
        <v>9</v>
      </c>
      <c r="AT22" s="118"/>
      <c r="AU22" s="118"/>
      <c r="AV22" s="118"/>
      <c r="AW22" s="118"/>
      <c r="AX22" s="118"/>
      <c r="AY22" s="118"/>
      <c r="AZ22" s="118"/>
      <c r="BA22" s="118"/>
      <c r="BB22" s="118"/>
      <c r="BC22" s="118"/>
      <c r="BD22" s="118"/>
      <c r="BE22" s="118"/>
      <c r="BF22" s="118"/>
      <c r="BG22" s="118"/>
      <c r="BH22" s="118"/>
      <c r="BI22" s="118"/>
      <c r="BJ22" s="118"/>
      <c r="BK22" s="118"/>
      <c r="BL22" s="118"/>
      <c r="BM22" s="118"/>
      <c r="BN22" s="118"/>
      <c r="BO22" s="118"/>
      <c r="BP22" s="118"/>
      <c r="BQ22" s="118"/>
      <c r="BR22" s="118"/>
      <c r="BS22" s="118"/>
      <c r="BT22" s="118"/>
      <c r="BU22" s="118"/>
      <c r="BV22" s="118"/>
      <c r="BW22" s="118"/>
      <c r="BX22" s="118"/>
      <c r="BY22" s="118"/>
      <c r="BZ22" s="118"/>
      <c r="CA22" s="118"/>
      <c r="CB22" s="118"/>
      <c r="CC22" s="118"/>
      <c r="CD22" s="118"/>
      <c r="CE22" s="118"/>
      <c r="CF22" s="118"/>
      <c r="CG22" s="118"/>
      <c r="CH22" s="118"/>
      <c r="CI22" s="118"/>
      <c r="CJ22" s="118"/>
      <c r="CK22" s="118"/>
      <c r="CL22" s="210"/>
      <c r="CM22" s="210"/>
      <c r="CN22" s="210"/>
      <c r="CO22" s="210"/>
      <c r="CP22" s="210"/>
      <c r="CQ22" s="210"/>
      <c r="CR22" s="210"/>
      <c r="CS22" s="210"/>
      <c r="CT22" s="210"/>
      <c r="CU22" s="210"/>
      <c r="CV22" s="210"/>
      <c r="CW22" s="210"/>
      <c r="CX22" s="210"/>
      <c r="CY22" s="210"/>
      <c r="CZ22" s="210"/>
      <c r="DA22" s="210"/>
      <c r="DB22" s="210"/>
      <c r="DC22" s="210"/>
      <c r="DD22" s="210"/>
      <c r="DE22" s="210"/>
      <c r="DF22" s="210"/>
      <c r="DG22" s="210"/>
      <c r="DH22" s="210"/>
      <c r="DI22" s="210"/>
      <c r="DJ22" s="210"/>
      <c r="DK22" s="210"/>
      <c r="DL22" s="210"/>
      <c r="DM22" s="210"/>
    </row>
    <row r="23" spans="1:117" ht="12" customHeight="1" x14ac:dyDescent="0.25">
      <c r="A23" s="39"/>
      <c r="F23" s="10" t="s">
        <v>17</v>
      </c>
      <c r="G23" s="10" t="s">
        <v>16</v>
      </c>
      <c r="J23" s="206">
        <f t="shared" ref="J23:AS23" si="8">J18-J17+1</f>
        <v>91</v>
      </c>
      <c r="K23" s="206">
        <f t="shared" si="8"/>
        <v>91</v>
      </c>
      <c r="L23" s="206">
        <f t="shared" si="8"/>
        <v>92</v>
      </c>
      <c r="M23" s="206">
        <f t="shared" si="8"/>
        <v>92</v>
      </c>
      <c r="N23" s="206">
        <f t="shared" si="8"/>
        <v>90</v>
      </c>
      <c r="O23" s="206">
        <f t="shared" si="8"/>
        <v>91</v>
      </c>
      <c r="P23" s="206">
        <f t="shared" si="8"/>
        <v>92</v>
      </c>
      <c r="Q23" s="206">
        <f t="shared" si="8"/>
        <v>92</v>
      </c>
      <c r="R23" s="206">
        <f t="shared" si="8"/>
        <v>90</v>
      </c>
      <c r="S23" s="206">
        <f t="shared" si="8"/>
        <v>91</v>
      </c>
      <c r="T23" s="206">
        <f t="shared" si="8"/>
        <v>92</v>
      </c>
      <c r="U23" s="206">
        <f t="shared" si="8"/>
        <v>92</v>
      </c>
      <c r="V23" s="206">
        <f t="shared" si="8"/>
        <v>90</v>
      </c>
      <c r="W23" s="206">
        <f t="shared" si="8"/>
        <v>91</v>
      </c>
      <c r="X23" s="206">
        <f t="shared" si="8"/>
        <v>92</v>
      </c>
      <c r="Y23" s="206">
        <f t="shared" si="8"/>
        <v>92</v>
      </c>
      <c r="Z23" s="206">
        <f t="shared" si="8"/>
        <v>91</v>
      </c>
      <c r="AA23" s="206">
        <f t="shared" si="8"/>
        <v>91</v>
      </c>
      <c r="AB23" s="206">
        <f t="shared" si="8"/>
        <v>92</v>
      </c>
      <c r="AC23" s="206">
        <f t="shared" si="8"/>
        <v>92</v>
      </c>
      <c r="AD23" s="206">
        <f t="shared" si="8"/>
        <v>90</v>
      </c>
      <c r="AE23" s="206">
        <f t="shared" si="8"/>
        <v>91</v>
      </c>
      <c r="AF23" s="206">
        <f t="shared" si="8"/>
        <v>92</v>
      </c>
      <c r="AG23" s="206">
        <f t="shared" si="8"/>
        <v>92</v>
      </c>
      <c r="AH23" s="206">
        <f t="shared" si="8"/>
        <v>90</v>
      </c>
      <c r="AI23" s="206">
        <f t="shared" si="8"/>
        <v>91</v>
      </c>
      <c r="AJ23" s="206">
        <f t="shared" si="8"/>
        <v>92</v>
      </c>
      <c r="AK23" s="206">
        <f t="shared" si="8"/>
        <v>92</v>
      </c>
      <c r="AL23" s="206">
        <f t="shared" si="8"/>
        <v>90</v>
      </c>
      <c r="AM23" s="206">
        <f t="shared" si="8"/>
        <v>91</v>
      </c>
      <c r="AN23" s="206">
        <f t="shared" si="8"/>
        <v>92</v>
      </c>
      <c r="AO23" s="206">
        <f t="shared" si="8"/>
        <v>92</v>
      </c>
      <c r="AP23" s="206">
        <f t="shared" si="8"/>
        <v>91</v>
      </c>
      <c r="AQ23" s="206">
        <f t="shared" si="8"/>
        <v>91</v>
      </c>
      <c r="AR23" s="206">
        <f t="shared" si="8"/>
        <v>92</v>
      </c>
      <c r="AS23" s="206">
        <f t="shared" si="8"/>
        <v>92</v>
      </c>
      <c r="AT23" s="118"/>
      <c r="AU23" s="118"/>
      <c r="AV23" s="118"/>
      <c r="AW23" s="118"/>
      <c r="AX23" s="118"/>
      <c r="AY23" s="118"/>
      <c r="AZ23" s="118"/>
      <c r="BA23" s="118"/>
      <c r="BB23" s="118"/>
      <c r="BC23" s="118"/>
      <c r="BD23" s="118"/>
      <c r="BE23" s="118"/>
      <c r="BF23" s="118"/>
      <c r="BG23" s="118"/>
      <c r="BH23" s="118"/>
      <c r="BI23" s="118"/>
      <c r="BJ23" s="118"/>
      <c r="BK23" s="118"/>
      <c r="BL23" s="118"/>
      <c r="BM23" s="118"/>
      <c r="BN23" s="118"/>
      <c r="BO23" s="118"/>
      <c r="BP23" s="118"/>
      <c r="BQ23" s="118"/>
      <c r="BR23" s="118"/>
      <c r="BS23" s="118"/>
      <c r="BT23" s="118"/>
      <c r="BU23" s="118"/>
      <c r="BV23" s="118"/>
      <c r="BW23" s="118"/>
      <c r="BX23" s="118"/>
      <c r="BY23" s="118"/>
      <c r="BZ23" s="118"/>
      <c r="CA23" s="118"/>
      <c r="CB23" s="118"/>
      <c r="CC23" s="118"/>
      <c r="CD23" s="118"/>
      <c r="CE23" s="118"/>
      <c r="CF23" s="118"/>
      <c r="CG23" s="118"/>
      <c r="CH23" s="118"/>
      <c r="CI23" s="118"/>
      <c r="CJ23" s="118"/>
      <c r="CK23" s="118"/>
      <c r="CL23" s="210"/>
      <c r="CM23" s="210"/>
      <c r="CN23" s="210"/>
      <c r="CO23" s="210"/>
      <c r="CP23" s="210"/>
      <c r="CQ23" s="210"/>
      <c r="CR23" s="210"/>
      <c r="CS23" s="210"/>
      <c r="CT23" s="210"/>
      <c r="CU23" s="210"/>
      <c r="CV23" s="210"/>
      <c r="CW23" s="210"/>
      <c r="CX23" s="210"/>
      <c r="CY23" s="210"/>
      <c r="CZ23" s="210"/>
      <c r="DA23" s="210"/>
      <c r="DB23" s="210"/>
      <c r="DC23" s="210"/>
      <c r="DD23" s="210"/>
      <c r="DE23" s="210"/>
      <c r="DF23" s="210"/>
      <c r="DG23" s="210"/>
      <c r="DH23" s="210"/>
      <c r="DI23" s="210"/>
      <c r="DJ23" s="210"/>
      <c r="DK23" s="210"/>
      <c r="DL23" s="210"/>
      <c r="DM23" s="210"/>
    </row>
    <row r="24" spans="1:117" ht="12" customHeight="1" x14ac:dyDescent="0.25">
      <c r="A24" s="39"/>
      <c r="F24" s="10" t="s">
        <v>15</v>
      </c>
      <c r="G24" s="10" t="s">
        <v>14</v>
      </c>
      <c r="J24" s="208">
        <f>J23*'0.2.Parameters'!$H$12</f>
        <v>2184</v>
      </c>
      <c r="K24" s="208">
        <f>K23*'0.2.Parameters'!$H$12</f>
        <v>2184</v>
      </c>
      <c r="L24" s="208">
        <f>L23*'0.2.Parameters'!$H$12</f>
        <v>2208</v>
      </c>
      <c r="M24" s="208">
        <f>M23*'0.2.Parameters'!$H$12</f>
        <v>2208</v>
      </c>
      <c r="N24" s="208">
        <f>N23*'0.2.Parameters'!$H$12</f>
        <v>2160</v>
      </c>
      <c r="O24" s="208">
        <f>O23*'0.2.Parameters'!$H$12</f>
        <v>2184</v>
      </c>
      <c r="P24" s="208">
        <f>P23*'0.2.Parameters'!$H$12</f>
        <v>2208</v>
      </c>
      <c r="Q24" s="208">
        <f>Q23*'0.2.Parameters'!$H$12</f>
        <v>2208</v>
      </c>
      <c r="R24" s="208">
        <f>R23*'0.2.Parameters'!$H$12</f>
        <v>2160</v>
      </c>
      <c r="S24" s="208">
        <f>S23*'0.2.Parameters'!$H$12</f>
        <v>2184</v>
      </c>
      <c r="T24" s="208">
        <f>T23*'0.2.Parameters'!$H$12</f>
        <v>2208</v>
      </c>
      <c r="U24" s="208">
        <f>U23*'0.2.Parameters'!$H$12</f>
        <v>2208</v>
      </c>
      <c r="V24" s="208">
        <f>V23*'0.2.Parameters'!$H$12</f>
        <v>2160</v>
      </c>
      <c r="W24" s="208">
        <f>W23*'0.2.Parameters'!$H$12</f>
        <v>2184</v>
      </c>
      <c r="X24" s="208">
        <f>X23*'0.2.Parameters'!$H$12</f>
        <v>2208</v>
      </c>
      <c r="Y24" s="208">
        <f>Y23*'0.2.Parameters'!$H$12</f>
        <v>2208</v>
      </c>
      <c r="Z24" s="208">
        <f>Z23*'0.2.Parameters'!$H$12</f>
        <v>2184</v>
      </c>
      <c r="AA24" s="208">
        <f>AA23*'0.2.Parameters'!$H$12</f>
        <v>2184</v>
      </c>
      <c r="AB24" s="208">
        <f>AB23*'0.2.Parameters'!$H$12</f>
        <v>2208</v>
      </c>
      <c r="AC24" s="208">
        <f>AC23*'0.2.Parameters'!$H$12</f>
        <v>2208</v>
      </c>
      <c r="AD24" s="208">
        <f>AD23*'0.2.Parameters'!$H$12</f>
        <v>2160</v>
      </c>
      <c r="AE24" s="208">
        <f>AE23*'0.2.Parameters'!$H$12</f>
        <v>2184</v>
      </c>
      <c r="AF24" s="208">
        <f>AF23*'0.2.Parameters'!$H$12</f>
        <v>2208</v>
      </c>
      <c r="AG24" s="208">
        <f>AG23*'0.2.Parameters'!$H$12</f>
        <v>2208</v>
      </c>
      <c r="AH24" s="208">
        <f>AH23*'0.2.Parameters'!$H$12</f>
        <v>2160</v>
      </c>
      <c r="AI24" s="208">
        <f>AI23*'0.2.Parameters'!$H$12</f>
        <v>2184</v>
      </c>
      <c r="AJ24" s="208">
        <f>AJ23*'0.2.Parameters'!$H$12</f>
        <v>2208</v>
      </c>
      <c r="AK24" s="208">
        <f>AK23*'0.2.Parameters'!$H$12</f>
        <v>2208</v>
      </c>
      <c r="AL24" s="208">
        <f>AL23*'0.2.Parameters'!$H$12</f>
        <v>2160</v>
      </c>
      <c r="AM24" s="208">
        <f>AM23*'0.2.Parameters'!$H$12</f>
        <v>2184</v>
      </c>
      <c r="AN24" s="208">
        <f>AN23*'0.2.Parameters'!$H$12</f>
        <v>2208</v>
      </c>
      <c r="AO24" s="208">
        <f>AO23*'0.2.Parameters'!$H$12</f>
        <v>2208</v>
      </c>
      <c r="AP24" s="208">
        <f>AP23*'0.2.Parameters'!$H$12</f>
        <v>2184</v>
      </c>
      <c r="AQ24" s="208">
        <f>AQ23*'0.2.Parameters'!$H$12</f>
        <v>2184</v>
      </c>
      <c r="AR24" s="208">
        <f>AR23*'0.2.Parameters'!$H$12</f>
        <v>2208</v>
      </c>
      <c r="AS24" s="208">
        <f>AS23*'0.2.Parameters'!$H$12</f>
        <v>2208</v>
      </c>
      <c r="AT24" s="118"/>
      <c r="AU24" s="118"/>
      <c r="AV24" s="118"/>
      <c r="AW24" s="118"/>
      <c r="AX24" s="118"/>
      <c r="AY24" s="118"/>
      <c r="AZ24" s="118"/>
      <c r="BA24" s="118"/>
      <c r="BB24" s="118"/>
      <c r="BC24" s="118"/>
      <c r="BD24" s="118"/>
      <c r="BE24" s="118"/>
      <c r="BF24" s="118"/>
      <c r="BG24" s="118"/>
      <c r="BH24" s="118"/>
      <c r="BI24" s="118"/>
      <c r="BJ24" s="118"/>
      <c r="BK24" s="118"/>
      <c r="BL24" s="118"/>
      <c r="BM24" s="118"/>
      <c r="BN24" s="118"/>
      <c r="BO24" s="118"/>
      <c r="BP24" s="118"/>
      <c r="BQ24" s="118"/>
      <c r="BR24" s="118"/>
      <c r="BS24" s="118"/>
      <c r="BT24" s="118"/>
      <c r="BU24" s="118"/>
      <c r="BV24" s="118"/>
      <c r="BW24" s="118"/>
      <c r="BX24" s="118"/>
      <c r="BY24" s="118"/>
      <c r="BZ24" s="118"/>
      <c r="CA24" s="118"/>
      <c r="CB24" s="118"/>
      <c r="CC24" s="118"/>
      <c r="CD24" s="118"/>
      <c r="CE24" s="118"/>
      <c r="CF24" s="118"/>
      <c r="CG24" s="118"/>
      <c r="CH24" s="118"/>
      <c r="CI24" s="118"/>
      <c r="CJ24" s="118"/>
      <c r="CK24" s="118"/>
      <c r="CL24" s="210"/>
      <c r="CM24" s="210"/>
      <c r="CN24" s="210"/>
      <c r="CO24" s="210"/>
      <c r="CP24" s="210"/>
      <c r="CQ24" s="210"/>
      <c r="CR24" s="210"/>
      <c r="CS24" s="210"/>
      <c r="CT24" s="210"/>
      <c r="CU24" s="210"/>
      <c r="CV24" s="210"/>
      <c r="CW24" s="210"/>
      <c r="CX24" s="210"/>
      <c r="CY24" s="210"/>
      <c r="CZ24" s="210"/>
      <c r="DA24" s="210"/>
      <c r="DB24" s="210"/>
      <c r="DC24" s="210"/>
      <c r="DD24" s="210"/>
      <c r="DE24" s="210"/>
      <c r="DF24" s="210"/>
      <c r="DG24" s="210"/>
      <c r="DH24" s="210"/>
      <c r="DI24" s="210"/>
      <c r="DJ24" s="210"/>
      <c r="DK24" s="210"/>
      <c r="DL24" s="210"/>
      <c r="DM24" s="210"/>
    </row>
    <row r="25" spans="1:117" ht="12" customHeight="1" x14ac:dyDescent="0.25">
      <c r="A25" s="39"/>
      <c r="F25" s="10" t="s">
        <v>13</v>
      </c>
      <c r="G25" s="10" t="s">
        <v>12</v>
      </c>
      <c r="J25" s="208" t="str">
        <f>IF(J19=YEAR('0.2.Parameters'!$H$13),"Estimate",IF(J19&lt;YEAR('0.2.Parameters'!$H$13),"Actual","Forecast"))</f>
        <v>Actual</v>
      </c>
      <c r="K25" s="208" t="str">
        <f>IF(K19=YEAR('0.2.Parameters'!$H$13),"Estimate",IF(K19&lt;YEAR('0.2.Parameters'!$H$13),"Actual","Forecast"))</f>
        <v>Actual</v>
      </c>
      <c r="L25" s="208" t="str">
        <f>IF(L19=YEAR('0.2.Parameters'!$H$13),"Estimate",IF(L19&lt;YEAR('0.2.Parameters'!$H$13),"Actual","Forecast"))</f>
        <v>Actual</v>
      </c>
      <c r="M25" s="208" t="str">
        <f>IF(M19=YEAR('0.2.Parameters'!$H$13),"Estimate",IF(M19&lt;YEAR('0.2.Parameters'!$H$13),"Actual","Forecast"))</f>
        <v>Actual</v>
      </c>
      <c r="N25" s="208" t="str">
        <f>IF(N19=YEAR('0.2.Parameters'!$H$13),"Estimate",IF(N19&lt;YEAR('0.2.Parameters'!$H$13),"Actual","Forecast"))</f>
        <v>Actual</v>
      </c>
      <c r="O25" s="208" t="str">
        <f>IF(O19=YEAR('0.2.Parameters'!$H$13),"Estimate",IF(O19&lt;YEAR('0.2.Parameters'!$H$13),"Actual","Forecast"))</f>
        <v>Actual</v>
      </c>
      <c r="P25" s="208" t="str">
        <f>IF(P19=YEAR('0.2.Parameters'!$H$13),"Estimate",IF(P19&lt;YEAR('0.2.Parameters'!$H$13),"Actual","Forecast"))</f>
        <v>Actual</v>
      </c>
      <c r="Q25" s="208" t="str">
        <f>IF(Q19=YEAR('0.2.Parameters'!$H$13),"Estimate",IF(Q19&lt;YEAR('0.2.Parameters'!$H$13),"Actual","Forecast"))</f>
        <v>Actual</v>
      </c>
      <c r="R25" s="208" t="str">
        <f>IF(R19=YEAR('0.2.Parameters'!$H$13),"Estimate",IF(R19&lt;YEAR('0.2.Parameters'!$H$13),"Actual","Forecast"))</f>
        <v>Actual</v>
      </c>
      <c r="S25" s="208" t="str">
        <f>IF(S19=YEAR('0.2.Parameters'!$H$13),"Estimate",IF(S19&lt;YEAR('0.2.Parameters'!$H$13),"Actual","Forecast"))</f>
        <v>Actual</v>
      </c>
      <c r="T25" s="208" t="str">
        <f>IF(T19=YEAR('0.2.Parameters'!$H$13),"Estimate",IF(T19&lt;YEAR('0.2.Parameters'!$H$13),"Actual","Forecast"))</f>
        <v>Actual</v>
      </c>
      <c r="U25" s="208" t="str">
        <f>IF(U19=YEAR('0.2.Parameters'!$H$13),"Estimate",IF(U19&lt;YEAR('0.2.Parameters'!$H$13),"Actual","Forecast"))</f>
        <v>Actual</v>
      </c>
      <c r="V25" s="208" t="str">
        <f>IF(V19=YEAR('0.2.Parameters'!$H$13),"Estimate",IF(V19&lt;YEAR('0.2.Parameters'!$H$13),"Actual","Forecast"))</f>
        <v>Estimate</v>
      </c>
      <c r="W25" s="208" t="str">
        <f>IF(W19=YEAR('0.2.Parameters'!$H$13),"Estimate",IF(W19&lt;YEAR('0.2.Parameters'!$H$13),"Actual","Forecast"))</f>
        <v>Estimate</v>
      </c>
      <c r="X25" s="208" t="str">
        <f>IF(X19=YEAR('0.2.Parameters'!$H$13),"Estimate",IF(X19&lt;YEAR('0.2.Parameters'!$H$13),"Actual","Forecast"))</f>
        <v>Estimate</v>
      </c>
      <c r="Y25" s="208" t="str">
        <f>IF(Y19=YEAR('0.2.Parameters'!$H$13),"Estimate",IF(Y19&lt;YEAR('0.2.Parameters'!$H$13),"Actual","Forecast"))</f>
        <v>Estimate</v>
      </c>
      <c r="Z25" s="208" t="str">
        <f>IF(Z19=YEAR('0.2.Parameters'!$H$13),"Estimate",IF(Z19&lt;YEAR('0.2.Parameters'!$H$13),"Actual","Forecast"))</f>
        <v>Forecast</v>
      </c>
      <c r="AA25" s="208" t="str">
        <f>IF(AA19=YEAR('0.2.Parameters'!$H$13),"Estimate",IF(AA19&lt;YEAR('0.2.Parameters'!$H$13),"Actual","Forecast"))</f>
        <v>Forecast</v>
      </c>
      <c r="AB25" s="208" t="str">
        <f>IF(AB19=YEAR('0.2.Parameters'!$H$13),"Estimate",IF(AB19&lt;YEAR('0.2.Parameters'!$H$13),"Actual","Forecast"))</f>
        <v>Forecast</v>
      </c>
      <c r="AC25" s="208" t="str">
        <f>IF(AC19=YEAR('0.2.Parameters'!$H$13),"Estimate",IF(AC19&lt;YEAR('0.2.Parameters'!$H$13),"Actual","Forecast"))</f>
        <v>Forecast</v>
      </c>
      <c r="AD25" s="208" t="str">
        <f>IF(AD19=YEAR('0.2.Parameters'!$H$13),"Estimate",IF(AD19&lt;YEAR('0.2.Parameters'!$H$13),"Actual","Forecast"))</f>
        <v>Forecast</v>
      </c>
      <c r="AE25" s="208" t="str">
        <f>IF(AE19=YEAR('0.2.Parameters'!$H$13),"Estimate",IF(AE19&lt;YEAR('0.2.Parameters'!$H$13),"Actual","Forecast"))</f>
        <v>Forecast</v>
      </c>
      <c r="AF25" s="208" t="str">
        <f>IF(AF19=YEAR('0.2.Parameters'!$H$13),"Estimate",IF(AF19&lt;YEAR('0.2.Parameters'!$H$13),"Actual","Forecast"))</f>
        <v>Forecast</v>
      </c>
      <c r="AG25" s="208" t="str">
        <f>IF(AG19=YEAR('0.2.Parameters'!$H$13),"Estimate",IF(AG19&lt;YEAR('0.2.Parameters'!$H$13),"Actual","Forecast"))</f>
        <v>Forecast</v>
      </c>
      <c r="AH25" s="208" t="str">
        <f>IF(AH19=YEAR('0.2.Parameters'!$H$13),"Estimate",IF(AH19&lt;YEAR('0.2.Parameters'!$H$13),"Actual","Forecast"))</f>
        <v>Forecast</v>
      </c>
      <c r="AI25" s="208" t="str">
        <f>IF(AI19=YEAR('0.2.Parameters'!$H$13),"Estimate",IF(AI19&lt;YEAR('0.2.Parameters'!$H$13),"Actual","Forecast"))</f>
        <v>Forecast</v>
      </c>
      <c r="AJ25" s="208" t="str">
        <f>IF(AJ19=YEAR('0.2.Parameters'!$H$13),"Estimate",IF(AJ19&lt;YEAR('0.2.Parameters'!$H$13),"Actual","Forecast"))</f>
        <v>Forecast</v>
      </c>
      <c r="AK25" s="208" t="str">
        <f>IF(AK19=YEAR('0.2.Parameters'!$H$13),"Estimate",IF(AK19&lt;YEAR('0.2.Parameters'!$H$13),"Actual","Forecast"))</f>
        <v>Forecast</v>
      </c>
      <c r="AL25" s="208" t="str">
        <f>IF(AL19=YEAR('0.2.Parameters'!$H$13),"Estimate",IF(AL19&lt;YEAR('0.2.Parameters'!$H$13),"Actual","Forecast"))</f>
        <v>Forecast</v>
      </c>
      <c r="AM25" s="208" t="str">
        <f>IF(AM19=YEAR('0.2.Parameters'!$H$13),"Estimate",IF(AM19&lt;YEAR('0.2.Parameters'!$H$13),"Actual","Forecast"))</f>
        <v>Forecast</v>
      </c>
      <c r="AN25" s="208" t="str">
        <f>IF(AN19=YEAR('0.2.Parameters'!$H$13),"Estimate",IF(AN19&lt;YEAR('0.2.Parameters'!$H$13),"Actual","Forecast"))</f>
        <v>Forecast</v>
      </c>
      <c r="AO25" s="208" t="str">
        <f>IF(AO19=YEAR('0.2.Parameters'!$H$13),"Estimate",IF(AO19&lt;YEAR('0.2.Parameters'!$H$13),"Actual","Forecast"))</f>
        <v>Forecast</v>
      </c>
      <c r="AP25" s="208" t="str">
        <f>IF(AP19=YEAR('0.2.Parameters'!$H$13),"Estimate",IF(AP19&lt;YEAR('0.2.Parameters'!$H$13),"Actual","Forecast"))</f>
        <v>Forecast</v>
      </c>
      <c r="AQ25" s="208" t="str">
        <f>IF(AQ19=YEAR('0.2.Parameters'!$H$13),"Estimate",IF(AQ19&lt;YEAR('0.2.Parameters'!$H$13),"Actual","Forecast"))</f>
        <v>Forecast</v>
      </c>
      <c r="AR25" s="208" t="str">
        <f>IF(AR19=YEAR('0.2.Parameters'!$H$13),"Estimate",IF(AR19&lt;YEAR('0.2.Parameters'!$H$13),"Actual","Forecast"))</f>
        <v>Forecast</v>
      </c>
      <c r="AS25" s="208" t="str">
        <f>IF(AS19=YEAR('0.2.Parameters'!$H$13),"Estimate",IF(AS19&lt;YEAR('0.2.Parameters'!$H$13),"Actual","Forecast"))</f>
        <v>Forecast</v>
      </c>
      <c r="AT25" s="118"/>
      <c r="AU25" s="118"/>
      <c r="AV25" s="118"/>
      <c r="AW25" s="118"/>
      <c r="AX25" s="118"/>
      <c r="AY25" s="118"/>
      <c r="AZ25" s="118"/>
      <c r="BA25" s="118"/>
      <c r="BB25" s="118"/>
      <c r="BC25" s="118"/>
      <c r="BD25" s="118"/>
      <c r="BE25" s="118"/>
      <c r="BF25" s="118"/>
      <c r="BG25" s="118"/>
      <c r="BH25" s="118"/>
      <c r="BI25" s="118"/>
      <c r="BJ25" s="118"/>
      <c r="BK25" s="118"/>
      <c r="BL25" s="118"/>
      <c r="BM25" s="118"/>
      <c r="BN25" s="118"/>
      <c r="BO25" s="118"/>
      <c r="BP25" s="118"/>
      <c r="BQ25" s="118"/>
      <c r="BR25" s="118"/>
      <c r="BS25" s="118"/>
      <c r="BT25" s="118"/>
      <c r="BU25" s="118"/>
      <c r="BV25" s="118"/>
      <c r="BW25" s="118"/>
      <c r="BX25" s="118"/>
      <c r="BY25" s="118"/>
      <c r="BZ25" s="118"/>
      <c r="CA25" s="118"/>
      <c r="CB25" s="118"/>
      <c r="CC25" s="118"/>
      <c r="CD25" s="118"/>
      <c r="CE25" s="118"/>
      <c r="CF25" s="118"/>
      <c r="CG25" s="118"/>
      <c r="CH25" s="118"/>
      <c r="CI25" s="118"/>
      <c r="CJ25" s="118"/>
      <c r="CK25" s="118"/>
      <c r="CL25" s="118"/>
      <c r="CM25" s="118"/>
      <c r="CN25" s="118"/>
      <c r="CO25" s="118"/>
      <c r="CP25" s="118"/>
      <c r="CQ25" s="118"/>
      <c r="CR25" s="118"/>
      <c r="CS25" s="118"/>
      <c r="CT25" s="118"/>
      <c r="CU25" s="118"/>
      <c r="CV25" s="118"/>
      <c r="CW25" s="118"/>
      <c r="CX25" s="118"/>
      <c r="CY25" s="118"/>
      <c r="CZ25" s="118"/>
      <c r="DA25" s="118"/>
      <c r="DB25" s="118"/>
      <c r="DC25" s="118"/>
      <c r="DD25" s="118"/>
      <c r="DE25" s="118"/>
      <c r="DF25" s="118"/>
      <c r="DG25" s="118"/>
      <c r="DH25" s="118"/>
      <c r="DI25" s="118"/>
      <c r="DJ25" s="207"/>
      <c r="DK25" s="207"/>
      <c r="DL25" s="207"/>
      <c r="DM25" s="207"/>
    </row>
    <row r="26" spans="1:117" ht="12" customHeight="1" x14ac:dyDescent="0.25">
      <c r="A26" s="39"/>
      <c r="B26" s="25">
        <f ca="1">MAX($A$1:B25)+0.1</f>
        <v>1.3000000000000003</v>
      </c>
      <c r="C26" s="9" t="s">
        <v>25</v>
      </c>
      <c r="J26" s="207"/>
      <c r="K26" s="207"/>
      <c r="L26" s="207"/>
      <c r="M26" s="207"/>
      <c r="N26" s="207"/>
      <c r="O26" s="207"/>
      <c r="P26" s="207"/>
      <c r="Q26" s="207"/>
      <c r="R26" s="207"/>
      <c r="S26" s="207"/>
      <c r="T26" s="207"/>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c r="BC26" s="207"/>
      <c r="BD26" s="207"/>
      <c r="BE26" s="207"/>
      <c r="BF26" s="207"/>
      <c r="BG26" s="207"/>
      <c r="BH26" s="207"/>
      <c r="BI26" s="207"/>
      <c r="BJ26" s="207"/>
      <c r="BK26" s="207"/>
      <c r="BL26" s="207"/>
      <c r="BM26" s="207"/>
      <c r="BN26" s="207"/>
      <c r="BO26" s="207"/>
      <c r="BP26" s="207"/>
      <c r="BQ26" s="207"/>
      <c r="BR26" s="207"/>
      <c r="BS26" s="207"/>
      <c r="BT26" s="207"/>
      <c r="BU26" s="207"/>
      <c r="BV26" s="207"/>
      <c r="BW26" s="207"/>
      <c r="BX26" s="207"/>
      <c r="BY26" s="207"/>
      <c r="BZ26" s="207"/>
      <c r="CA26" s="207"/>
      <c r="CB26" s="207"/>
      <c r="CC26" s="207"/>
      <c r="CD26" s="207"/>
      <c r="CE26" s="207"/>
      <c r="CF26" s="207"/>
      <c r="CG26" s="207"/>
      <c r="CH26" s="207"/>
      <c r="CI26" s="207"/>
      <c r="CJ26" s="207"/>
      <c r="CK26" s="207"/>
      <c r="CL26" s="207"/>
      <c r="CM26" s="207"/>
      <c r="CN26" s="207"/>
      <c r="CO26" s="207"/>
      <c r="CP26" s="207"/>
      <c r="CQ26" s="207"/>
      <c r="CR26" s="207"/>
      <c r="CS26" s="207"/>
      <c r="CT26" s="207"/>
      <c r="CU26" s="207"/>
      <c r="CV26" s="207"/>
      <c r="CW26" s="207"/>
      <c r="CX26" s="207"/>
      <c r="CY26" s="207"/>
      <c r="CZ26" s="207"/>
      <c r="DA26" s="207"/>
      <c r="DB26" s="207"/>
      <c r="DC26" s="207"/>
      <c r="DD26" s="207"/>
      <c r="DE26" s="207"/>
      <c r="DF26" s="207"/>
      <c r="DG26" s="207"/>
      <c r="DH26" s="207"/>
      <c r="DI26" s="207"/>
      <c r="DJ26" s="207"/>
      <c r="DK26" s="207"/>
      <c r="DL26" s="207"/>
      <c r="DM26" s="207"/>
    </row>
    <row r="27" spans="1:117" ht="12" customHeight="1" x14ac:dyDescent="0.25">
      <c r="A27" s="39"/>
      <c r="F27" s="10" t="s">
        <v>24</v>
      </c>
      <c r="G27" s="10" t="s">
        <v>22</v>
      </c>
      <c r="J27" s="199">
        <f>'0.2.Parameters'!$H$11</f>
        <v>42370</v>
      </c>
      <c r="K27" s="200">
        <f t="shared" ref="K27:AP27" si="9">J28+1</f>
        <v>42401</v>
      </c>
      <c r="L27" s="201">
        <f t="shared" si="9"/>
        <v>42430</v>
      </c>
      <c r="M27" s="201">
        <f t="shared" si="9"/>
        <v>42461</v>
      </c>
      <c r="N27" s="201">
        <f t="shared" si="9"/>
        <v>42491</v>
      </c>
      <c r="O27" s="201">
        <f t="shared" si="9"/>
        <v>42522</v>
      </c>
      <c r="P27" s="201">
        <f t="shared" si="9"/>
        <v>42552</v>
      </c>
      <c r="Q27" s="201">
        <f t="shared" si="9"/>
        <v>42583</v>
      </c>
      <c r="R27" s="201">
        <f t="shared" si="9"/>
        <v>42614</v>
      </c>
      <c r="S27" s="201">
        <f t="shared" si="9"/>
        <v>42644</v>
      </c>
      <c r="T27" s="201">
        <f t="shared" si="9"/>
        <v>42675</v>
      </c>
      <c r="U27" s="201">
        <f t="shared" si="9"/>
        <v>42705</v>
      </c>
      <c r="V27" s="201">
        <f t="shared" si="9"/>
        <v>42736</v>
      </c>
      <c r="W27" s="201">
        <f t="shared" si="9"/>
        <v>42767</v>
      </c>
      <c r="X27" s="201">
        <f t="shared" si="9"/>
        <v>42795</v>
      </c>
      <c r="Y27" s="201">
        <f t="shared" si="9"/>
        <v>42826</v>
      </c>
      <c r="Z27" s="201">
        <f t="shared" si="9"/>
        <v>42856</v>
      </c>
      <c r="AA27" s="201">
        <f t="shared" si="9"/>
        <v>42887</v>
      </c>
      <c r="AB27" s="201">
        <f t="shared" si="9"/>
        <v>42917</v>
      </c>
      <c r="AC27" s="201">
        <f t="shared" si="9"/>
        <v>42948</v>
      </c>
      <c r="AD27" s="201">
        <f t="shared" si="9"/>
        <v>42979</v>
      </c>
      <c r="AE27" s="201">
        <f t="shared" si="9"/>
        <v>43009</v>
      </c>
      <c r="AF27" s="201">
        <f t="shared" si="9"/>
        <v>43040</v>
      </c>
      <c r="AG27" s="201">
        <f t="shared" si="9"/>
        <v>43070</v>
      </c>
      <c r="AH27" s="201">
        <f t="shared" si="9"/>
        <v>43101</v>
      </c>
      <c r="AI27" s="201">
        <f t="shared" si="9"/>
        <v>43132</v>
      </c>
      <c r="AJ27" s="201">
        <f t="shared" si="9"/>
        <v>43160</v>
      </c>
      <c r="AK27" s="201">
        <f t="shared" si="9"/>
        <v>43191</v>
      </c>
      <c r="AL27" s="201">
        <f t="shared" si="9"/>
        <v>43221</v>
      </c>
      <c r="AM27" s="201">
        <f t="shared" si="9"/>
        <v>43252</v>
      </c>
      <c r="AN27" s="201">
        <f t="shared" si="9"/>
        <v>43282</v>
      </c>
      <c r="AO27" s="201">
        <f t="shared" si="9"/>
        <v>43313</v>
      </c>
      <c r="AP27" s="201">
        <f t="shared" si="9"/>
        <v>43344</v>
      </c>
      <c r="AQ27" s="201">
        <f t="shared" ref="AQ27:BV27" si="10">AP28+1</f>
        <v>43374</v>
      </c>
      <c r="AR27" s="201">
        <f t="shared" si="10"/>
        <v>43405</v>
      </c>
      <c r="AS27" s="201">
        <f t="shared" si="10"/>
        <v>43435</v>
      </c>
      <c r="AT27" s="201">
        <f t="shared" si="10"/>
        <v>43466</v>
      </c>
      <c r="AU27" s="201">
        <f t="shared" si="10"/>
        <v>43497</v>
      </c>
      <c r="AV27" s="201">
        <f t="shared" si="10"/>
        <v>43525</v>
      </c>
      <c r="AW27" s="201">
        <f t="shared" si="10"/>
        <v>43556</v>
      </c>
      <c r="AX27" s="201">
        <f t="shared" si="10"/>
        <v>43586</v>
      </c>
      <c r="AY27" s="201">
        <f t="shared" si="10"/>
        <v>43617</v>
      </c>
      <c r="AZ27" s="201">
        <f t="shared" si="10"/>
        <v>43647</v>
      </c>
      <c r="BA27" s="201">
        <f t="shared" si="10"/>
        <v>43678</v>
      </c>
      <c r="BB27" s="201">
        <f t="shared" si="10"/>
        <v>43709</v>
      </c>
      <c r="BC27" s="201">
        <f t="shared" si="10"/>
        <v>43739</v>
      </c>
      <c r="BD27" s="201">
        <f t="shared" si="10"/>
        <v>43770</v>
      </c>
      <c r="BE27" s="201">
        <f t="shared" si="10"/>
        <v>43800</v>
      </c>
      <c r="BF27" s="201">
        <f t="shared" si="10"/>
        <v>43831</v>
      </c>
      <c r="BG27" s="201">
        <f t="shared" si="10"/>
        <v>43862</v>
      </c>
      <c r="BH27" s="201">
        <f t="shared" si="10"/>
        <v>43891</v>
      </c>
      <c r="BI27" s="201">
        <f t="shared" si="10"/>
        <v>43922</v>
      </c>
      <c r="BJ27" s="201">
        <f t="shared" si="10"/>
        <v>43952</v>
      </c>
      <c r="BK27" s="201">
        <f t="shared" si="10"/>
        <v>43983</v>
      </c>
      <c r="BL27" s="201">
        <f t="shared" si="10"/>
        <v>44013</v>
      </c>
      <c r="BM27" s="201">
        <f t="shared" si="10"/>
        <v>44044</v>
      </c>
      <c r="BN27" s="201">
        <f t="shared" si="10"/>
        <v>44075</v>
      </c>
      <c r="BO27" s="201">
        <f t="shared" si="10"/>
        <v>44105</v>
      </c>
      <c r="BP27" s="201">
        <f t="shared" si="10"/>
        <v>44136</v>
      </c>
      <c r="BQ27" s="201">
        <f t="shared" si="10"/>
        <v>44166</v>
      </c>
      <c r="BR27" s="201">
        <f t="shared" si="10"/>
        <v>44197</v>
      </c>
      <c r="BS27" s="201">
        <f t="shared" si="10"/>
        <v>44228</v>
      </c>
      <c r="BT27" s="201">
        <f t="shared" si="10"/>
        <v>44256</v>
      </c>
      <c r="BU27" s="201">
        <f t="shared" si="10"/>
        <v>44287</v>
      </c>
      <c r="BV27" s="201">
        <f t="shared" si="10"/>
        <v>44317</v>
      </c>
      <c r="BW27" s="201">
        <f t="shared" ref="BW27:DB27" si="11">BV28+1</f>
        <v>44348</v>
      </c>
      <c r="BX27" s="201">
        <f t="shared" si="11"/>
        <v>44378</v>
      </c>
      <c r="BY27" s="201">
        <f t="shared" si="11"/>
        <v>44409</v>
      </c>
      <c r="BZ27" s="201">
        <f t="shared" si="11"/>
        <v>44440</v>
      </c>
      <c r="CA27" s="201">
        <f t="shared" si="11"/>
        <v>44470</v>
      </c>
      <c r="CB27" s="201">
        <f t="shared" si="11"/>
        <v>44501</v>
      </c>
      <c r="CC27" s="201">
        <f t="shared" si="11"/>
        <v>44531</v>
      </c>
      <c r="CD27" s="201">
        <f t="shared" si="11"/>
        <v>44562</v>
      </c>
      <c r="CE27" s="201">
        <f t="shared" si="11"/>
        <v>44593</v>
      </c>
      <c r="CF27" s="201">
        <f t="shared" si="11"/>
        <v>44621</v>
      </c>
      <c r="CG27" s="201">
        <f t="shared" si="11"/>
        <v>44652</v>
      </c>
      <c r="CH27" s="201">
        <f t="shared" si="11"/>
        <v>44682</v>
      </c>
      <c r="CI27" s="201">
        <f t="shared" si="11"/>
        <v>44713</v>
      </c>
      <c r="CJ27" s="201">
        <f t="shared" si="11"/>
        <v>44743</v>
      </c>
      <c r="CK27" s="201">
        <f t="shared" si="11"/>
        <v>44774</v>
      </c>
      <c r="CL27" s="201">
        <f t="shared" si="11"/>
        <v>44805</v>
      </c>
      <c r="CM27" s="201">
        <f t="shared" si="11"/>
        <v>44835</v>
      </c>
      <c r="CN27" s="201">
        <f t="shared" si="11"/>
        <v>44866</v>
      </c>
      <c r="CO27" s="201">
        <f t="shared" si="11"/>
        <v>44896</v>
      </c>
      <c r="CP27" s="201">
        <f t="shared" si="11"/>
        <v>44927</v>
      </c>
      <c r="CQ27" s="201">
        <f t="shared" si="11"/>
        <v>44958</v>
      </c>
      <c r="CR27" s="201">
        <f t="shared" si="11"/>
        <v>44986</v>
      </c>
      <c r="CS27" s="201">
        <f t="shared" si="11"/>
        <v>45017</v>
      </c>
      <c r="CT27" s="201">
        <f t="shared" si="11"/>
        <v>45047</v>
      </c>
      <c r="CU27" s="201">
        <f t="shared" si="11"/>
        <v>45078</v>
      </c>
      <c r="CV27" s="201">
        <f t="shared" si="11"/>
        <v>45108</v>
      </c>
      <c r="CW27" s="201">
        <f t="shared" si="11"/>
        <v>45139</v>
      </c>
      <c r="CX27" s="201">
        <f t="shared" si="11"/>
        <v>45170</v>
      </c>
      <c r="CY27" s="201">
        <f t="shared" si="11"/>
        <v>45200</v>
      </c>
      <c r="CZ27" s="201">
        <f t="shared" si="11"/>
        <v>45231</v>
      </c>
      <c r="DA27" s="201">
        <f t="shared" si="11"/>
        <v>45261</v>
      </c>
      <c r="DB27" s="201">
        <f t="shared" si="11"/>
        <v>45292</v>
      </c>
      <c r="DC27" s="201">
        <f t="shared" ref="DC27:DM27" si="12">DB28+1</f>
        <v>45323</v>
      </c>
      <c r="DD27" s="201">
        <f t="shared" si="12"/>
        <v>45352</v>
      </c>
      <c r="DE27" s="201">
        <f t="shared" si="12"/>
        <v>45383</v>
      </c>
      <c r="DF27" s="201">
        <f t="shared" si="12"/>
        <v>45413</v>
      </c>
      <c r="DG27" s="201">
        <f t="shared" si="12"/>
        <v>45444</v>
      </c>
      <c r="DH27" s="201">
        <f t="shared" si="12"/>
        <v>45474</v>
      </c>
      <c r="DI27" s="201">
        <f t="shared" si="12"/>
        <v>45505</v>
      </c>
      <c r="DJ27" s="201">
        <f t="shared" si="12"/>
        <v>45536</v>
      </c>
      <c r="DK27" s="201">
        <f t="shared" si="12"/>
        <v>45566</v>
      </c>
      <c r="DL27" s="201">
        <f t="shared" si="12"/>
        <v>45597</v>
      </c>
      <c r="DM27" s="201">
        <f t="shared" si="12"/>
        <v>45627</v>
      </c>
    </row>
    <row r="28" spans="1:117" ht="12" customHeight="1" x14ac:dyDescent="0.25">
      <c r="A28" s="39"/>
      <c r="F28" s="10" t="s">
        <v>23</v>
      </c>
      <c r="G28" s="10" t="s">
        <v>22</v>
      </c>
      <c r="J28" s="203">
        <f>EOMONTH(J27,'0.2.Parameters'!$H$10-1)</f>
        <v>42400</v>
      </c>
      <c r="K28" s="203">
        <f>EOMONTH(K27,'0.2.Parameters'!$H$10-1)</f>
        <v>42429</v>
      </c>
      <c r="L28" s="203">
        <f>EOMONTH(L27,'0.2.Parameters'!$H$10-1)</f>
        <v>42460</v>
      </c>
      <c r="M28" s="203">
        <f>EOMONTH(M27,'0.2.Parameters'!$H$10-1)</f>
        <v>42490</v>
      </c>
      <c r="N28" s="203">
        <f>EOMONTH(N27,'0.2.Parameters'!$H$10-1)</f>
        <v>42521</v>
      </c>
      <c r="O28" s="203">
        <f>EOMONTH(O27,'0.2.Parameters'!$H$10-1)</f>
        <v>42551</v>
      </c>
      <c r="P28" s="203">
        <f>EOMONTH(P27,'0.2.Parameters'!$H$10-1)</f>
        <v>42582</v>
      </c>
      <c r="Q28" s="203">
        <f>EOMONTH(Q27,'0.2.Parameters'!$H$10-1)</f>
        <v>42613</v>
      </c>
      <c r="R28" s="203">
        <f>EOMONTH(R27,'0.2.Parameters'!$H$10-1)</f>
        <v>42643</v>
      </c>
      <c r="S28" s="203">
        <f>EOMONTH(S27,'0.2.Parameters'!$H$10-1)</f>
        <v>42674</v>
      </c>
      <c r="T28" s="203">
        <f>EOMONTH(T27,'0.2.Parameters'!$H$10-1)</f>
        <v>42704</v>
      </c>
      <c r="U28" s="203">
        <f>EOMONTH(U27,'0.2.Parameters'!$H$10-1)</f>
        <v>42735</v>
      </c>
      <c r="V28" s="203">
        <f>EOMONTH(V27,'0.2.Parameters'!$H$10-1)</f>
        <v>42766</v>
      </c>
      <c r="W28" s="203">
        <f>EOMONTH(W27,'0.2.Parameters'!$H$10-1)</f>
        <v>42794</v>
      </c>
      <c r="X28" s="203">
        <f>EOMONTH(X27,'0.2.Parameters'!$H$10-1)</f>
        <v>42825</v>
      </c>
      <c r="Y28" s="203">
        <f>EOMONTH(Y27,'0.2.Parameters'!$H$10-1)</f>
        <v>42855</v>
      </c>
      <c r="Z28" s="203">
        <f>EOMONTH(Z27,'0.2.Parameters'!$H$10-1)</f>
        <v>42886</v>
      </c>
      <c r="AA28" s="203">
        <f>EOMONTH(AA27,'0.2.Parameters'!$H$10-1)</f>
        <v>42916</v>
      </c>
      <c r="AB28" s="203">
        <f>EOMONTH(AB27,'0.2.Parameters'!$H$10-1)</f>
        <v>42947</v>
      </c>
      <c r="AC28" s="203">
        <f>EOMONTH(AC27,'0.2.Parameters'!$H$10-1)</f>
        <v>42978</v>
      </c>
      <c r="AD28" s="203">
        <f>EOMONTH(AD27,'0.2.Parameters'!$H$10-1)</f>
        <v>43008</v>
      </c>
      <c r="AE28" s="203">
        <f>EOMONTH(AE27,'0.2.Parameters'!$H$10-1)</f>
        <v>43039</v>
      </c>
      <c r="AF28" s="203">
        <f>EOMONTH(AF27,'0.2.Parameters'!$H$10-1)</f>
        <v>43069</v>
      </c>
      <c r="AG28" s="203">
        <f>EOMONTH(AG27,'0.2.Parameters'!$H$10-1)</f>
        <v>43100</v>
      </c>
      <c r="AH28" s="203">
        <f>EOMONTH(AH27,'0.2.Parameters'!$H$10-1)</f>
        <v>43131</v>
      </c>
      <c r="AI28" s="203">
        <f>EOMONTH(AI27,'0.2.Parameters'!$H$10-1)</f>
        <v>43159</v>
      </c>
      <c r="AJ28" s="203">
        <f>EOMONTH(AJ27,'0.2.Parameters'!$H$10-1)</f>
        <v>43190</v>
      </c>
      <c r="AK28" s="203">
        <f>EOMONTH(AK27,'0.2.Parameters'!$H$10-1)</f>
        <v>43220</v>
      </c>
      <c r="AL28" s="203">
        <f>EOMONTH(AL27,'0.2.Parameters'!$H$10-1)</f>
        <v>43251</v>
      </c>
      <c r="AM28" s="203">
        <f>EOMONTH(AM27,'0.2.Parameters'!$H$10-1)</f>
        <v>43281</v>
      </c>
      <c r="AN28" s="203">
        <f>EOMONTH(AN27,'0.2.Parameters'!$H$10-1)</f>
        <v>43312</v>
      </c>
      <c r="AO28" s="203">
        <f>EOMONTH(AO27,'0.2.Parameters'!$H$10-1)</f>
        <v>43343</v>
      </c>
      <c r="AP28" s="203">
        <f>EOMONTH(AP27,'0.2.Parameters'!$H$10-1)</f>
        <v>43373</v>
      </c>
      <c r="AQ28" s="203">
        <f>EOMONTH(AQ27,'0.2.Parameters'!$H$10-1)</f>
        <v>43404</v>
      </c>
      <c r="AR28" s="203">
        <f>EOMONTH(AR27,'0.2.Parameters'!$H$10-1)</f>
        <v>43434</v>
      </c>
      <c r="AS28" s="203">
        <f>EOMONTH(AS27,'0.2.Parameters'!$H$10-1)</f>
        <v>43465</v>
      </c>
      <c r="AT28" s="203">
        <f>EOMONTH(AT27,'0.2.Parameters'!$H$10-1)</f>
        <v>43496</v>
      </c>
      <c r="AU28" s="203">
        <f>EOMONTH(AU27,'0.2.Parameters'!$H$10-1)</f>
        <v>43524</v>
      </c>
      <c r="AV28" s="203">
        <f>EOMONTH(AV27,'0.2.Parameters'!$H$10-1)</f>
        <v>43555</v>
      </c>
      <c r="AW28" s="203">
        <f>EOMONTH(AW27,'0.2.Parameters'!$H$10-1)</f>
        <v>43585</v>
      </c>
      <c r="AX28" s="203">
        <f>EOMONTH(AX27,'0.2.Parameters'!$H$10-1)</f>
        <v>43616</v>
      </c>
      <c r="AY28" s="203">
        <f>EOMONTH(AY27,'0.2.Parameters'!$H$10-1)</f>
        <v>43646</v>
      </c>
      <c r="AZ28" s="203">
        <f>EOMONTH(AZ27,'0.2.Parameters'!$H$10-1)</f>
        <v>43677</v>
      </c>
      <c r="BA28" s="203">
        <f>EOMONTH(BA27,'0.2.Parameters'!$H$10-1)</f>
        <v>43708</v>
      </c>
      <c r="BB28" s="203">
        <f>EOMONTH(BB27,'0.2.Parameters'!$H$10-1)</f>
        <v>43738</v>
      </c>
      <c r="BC28" s="203">
        <f>EOMONTH(BC27,'0.2.Parameters'!$H$10-1)</f>
        <v>43769</v>
      </c>
      <c r="BD28" s="203">
        <f>EOMONTH(BD27,'0.2.Parameters'!$H$10-1)</f>
        <v>43799</v>
      </c>
      <c r="BE28" s="203">
        <f>EOMONTH(BE27,'0.2.Parameters'!$H$10-1)</f>
        <v>43830</v>
      </c>
      <c r="BF28" s="203">
        <f>EOMONTH(BF27,'0.2.Parameters'!$H$10-1)</f>
        <v>43861</v>
      </c>
      <c r="BG28" s="203">
        <f>EOMONTH(BG27,'0.2.Parameters'!$H$10-1)</f>
        <v>43890</v>
      </c>
      <c r="BH28" s="203">
        <f>EOMONTH(BH27,'0.2.Parameters'!$H$10-1)</f>
        <v>43921</v>
      </c>
      <c r="BI28" s="203">
        <f>EOMONTH(BI27,'0.2.Parameters'!$H$10-1)</f>
        <v>43951</v>
      </c>
      <c r="BJ28" s="203">
        <f>EOMONTH(BJ27,'0.2.Parameters'!$H$10-1)</f>
        <v>43982</v>
      </c>
      <c r="BK28" s="203">
        <f>EOMONTH(BK27,'0.2.Parameters'!$H$10-1)</f>
        <v>44012</v>
      </c>
      <c r="BL28" s="203">
        <f>EOMONTH(BL27,'0.2.Parameters'!$H$10-1)</f>
        <v>44043</v>
      </c>
      <c r="BM28" s="203">
        <f>EOMONTH(BM27,'0.2.Parameters'!$H$10-1)</f>
        <v>44074</v>
      </c>
      <c r="BN28" s="203">
        <f>EOMONTH(BN27,'0.2.Parameters'!$H$10-1)</f>
        <v>44104</v>
      </c>
      <c r="BO28" s="203">
        <f>EOMONTH(BO27,'0.2.Parameters'!$H$10-1)</f>
        <v>44135</v>
      </c>
      <c r="BP28" s="203">
        <f>EOMONTH(BP27,'0.2.Parameters'!$H$10-1)</f>
        <v>44165</v>
      </c>
      <c r="BQ28" s="203">
        <f>EOMONTH(BQ27,'0.2.Parameters'!$H$10-1)</f>
        <v>44196</v>
      </c>
      <c r="BR28" s="203">
        <f>EOMONTH(BR27,'0.2.Parameters'!$H$10-1)</f>
        <v>44227</v>
      </c>
      <c r="BS28" s="203">
        <f>EOMONTH(BS27,'0.2.Parameters'!$H$10-1)</f>
        <v>44255</v>
      </c>
      <c r="BT28" s="203">
        <f>EOMONTH(BT27,'0.2.Parameters'!$H$10-1)</f>
        <v>44286</v>
      </c>
      <c r="BU28" s="203">
        <f>EOMONTH(BU27,'0.2.Parameters'!$H$10-1)</f>
        <v>44316</v>
      </c>
      <c r="BV28" s="203">
        <f>EOMONTH(BV27,'0.2.Parameters'!$H$10-1)</f>
        <v>44347</v>
      </c>
      <c r="BW28" s="203">
        <f>EOMONTH(BW27,'0.2.Parameters'!$H$10-1)</f>
        <v>44377</v>
      </c>
      <c r="BX28" s="203">
        <f>EOMONTH(BX27,'0.2.Parameters'!$H$10-1)</f>
        <v>44408</v>
      </c>
      <c r="BY28" s="203">
        <f>EOMONTH(BY27,'0.2.Parameters'!$H$10-1)</f>
        <v>44439</v>
      </c>
      <c r="BZ28" s="203">
        <f>EOMONTH(BZ27,'0.2.Parameters'!$H$10-1)</f>
        <v>44469</v>
      </c>
      <c r="CA28" s="203">
        <f>EOMONTH(CA27,'0.2.Parameters'!$H$10-1)</f>
        <v>44500</v>
      </c>
      <c r="CB28" s="203">
        <f>EOMONTH(CB27,'0.2.Parameters'!$H$10-1)</f>
        <v>44530</v>
      </c>
      <c r="CC28" s="203">
        <f>EOMONTH(CC27,'0.2.Parameters'!$H$10-1)</f>
        <v>44561</v>
      </c>
      <c r="CD28" s="203">
        <f>EOMONTH(CD27,'0.2.Parameters'!$H$10-1)</f>
        <v>44592</v>
      </c>
      <c r="CE28" s="203">
        <f>EOMONTH(CE27,'0.2.Parameters'!$H$10-1)</f>
        <v>44620</v>
      </c>
      <c r="CF28" s="203">
        <f>EOMONTH(CF27,'0.2.Parameters'!$H$10-1)</f>
        <v>44651</v>
      </c>
      <c r="CG28" s="203">
        <f>EOMONTH(CG27,'0.2.Parameters'!$H$10-1)</f>
        <v>44681</v>
      </c>
      <c r="CH28" s="203">
        <f>EOMONTH(CH27,'0.2.Parameters'!$H$10-1)</f>
        <v>44712</v>
      </c>
      <c r="CI28" s="203">
        <f>EOMONTH(CI27,'0.2.Parameters'!$H$10-1)</f>
        <v>44742</v>
      </c>
      <c r="CJ28" s="203">
        <f>EOMONTH(CJ27,'0.2.Parameters'!$H$10-1)</f>
        <v>44773</v>
      </c>
      <c r="CK28" s="203">
        <f>EOMONTH(CK27,'0.2.Parameters'!$H$10-1)</f>
        <v>44804</v>
      </c>
      <c r="CL28" s="203">
        <f>EOMONTH(CL27,'0.2.Parameters'!$H$10-1)</f>
        <v>44834</v>
      </c>
      <c r="CM28" s="203">
        <f>EOMONTH(CM27,'0.2.Parameters'!$H$10-1)</f>
        <v>44865</v>
      </c>
      <c r="CN28" s="203">
        <f>EOMONTH(CN27,'0.2.Parameters'!$H$10-1)</f>
        <v>44895</v>
      </c>
      <c r="CO28" s="203">
        <f>EOMONTH(CO27,'0.2.Parameters'!$H$10-1)</f>
        <v>44926</v>
      </c>
      <c r="CP28" s="203">
        <f>EOMONTH(CP27,'0.2.Parameters'!$H$10-1)</f>
        <v>44957</v>
      </c>
      <c r="CQ28" s="203">
        <f>EOMONTH(CQ27,'0.2.Parameters'!$H$10-1)</f>
        <v>44985</v>
      </c>
      <c r="CR28" s="203">
        <f>EOMONTH(CR27,'0.2.Parameters'!$H$10-1)</f>
        <v>45016</v>
      </c>
      <c r="CS28" s="203">
        <f>EOMONTH(CS27,'0.2.Parameters'!$H$10-1)</f>
        <v>45046</v>
      </c>
      <c r="CT28" s="203">
        <f>EOMONTH(CT27,'0.2.Parameters'!$H$10-1)</f>
        <v>45077</v>
      </c>
      <c r="CU28" s="203">
        <f>EOMONTH(CU27,'0.2.Parameters'!$H$10-1)</f>
        <v>45107</v>
      </c>
      <c r="CV28" s="203">
        <f>EOMONTH(CV27,'0.2.Parameters'!$H$10-1)</f>
        <v>45138</v>
      </c>
      <c r="CW28" s="203">
        <f>EOMONTH(CW27,'0.2.Parameters'!$H$10-1)</f>
        <v>45169</v>
      </c>
      <c r="CX28" s="203">
        <f>EOMONTH(CX27,'0.2.Parameters'!$H$10-1)</f>
        <v>45199</v>
      </c>
      <c r="CY28" s="203">
        <f>EOMONTH(CY27,'0.2.Parameters'!$H$10-1)</f>
        <v>45230</v>
      </c>
      <c r="CZ28" s="203">
        <f>EOMONTH(CZ27,'0.2.Parameters'!$H$10-1)</f>
        <v>45260</v>
      </c>
      <c r="DA28" s="203">
        <f>EOMONTH(DA27,'0.2.Parameters'!$H$10-1)</f>
        <v>45291</v>
      </c>
      <c r="DB28" s="203">
        <f>EOMONTH(DB27,'0.2.Parameters'!$H$10-1)</f>
        <v>45322</v>
      </c>
      <c r="DC28" s="203">
        <f>EOMONTH(DC27,'0.2.Parameters'!$H$10-1)</f>
        <v>45351</v>
      </c>
      <c r="DD28" s="203">
        <f>EOMONTH(DD27,'0.2.Parameters'!$H$10-1)</f>
        <v>45382</v>
      </c>
      <c r="DE28" s="203">
        <f>EOMONTH(DE27,'0.2.Parameters'!$H$10-1)</f>
        <v>45412</v>
      </c>
      <c r="DF28" s="203">
        <f>EOMONTH(DF27,'0.2.Parameters'!$H$10-1)</f>
        <v>45443</v>
      </c>
      <c r="DG28" s="203">
        <f>EOMONTH(DG27,'0.2.Parameters'!$H$10-1)</f>
        <v>45473</v>
      </c>
      <c r="DH28" s="203">
        <f>EOMONTH(DH27,'0.2.Parameters'!$H$10-1)</f>
        <v>45504</v>
      </c>
      <c r="DI28" s="203">
        <f>EOMONTH(DI27,'0.2.Parameters'!$H$10-1)</f>
        <v>45535</v>
      </c>
      <c r="DJ28" s="203">
        <f>EOMONTH(DJ27,'0.2.Parameters'!$H$10-1)</f>
        <v>45565</v>
      </c>
      <c r="DK28" s="203">
        <f>EOMONTH(DK27,'0.2.Parameters'!$H$10-1)</f>
        <v>45596</v>
      </c>
      <c r="DL28" s="203">
        <f>EOMONTH(DL27,'0.2.Parameters'!$H$10-1)</f>
        <v>45626</v>
      </c>
      <c r="DM28" s="203">
        <f>EOMONTH(DM27,'0.2.Parameters'!$H$10-1)</f>
        <v>45657</v>
      </c>
    </row>
    <row r="29" spans="1:117" ht="12" customHeight="1" x14ac:dyDescent="0.25">
      <c r="A29" s="39"/>
      <c r="F29" s="10" t="s">
        <v>21</v>
      </c>
      <c r="G29" s="10" t="s">
        <v>12</v>
      </c>
      <c r="J29" s="204">
        <f t="shared" ref="J29:AO29" si="13">YEAR(J28)</f>
        <v>2016</v>
      </c>
      <c r="K29" s="204">
        <f t="shared" si="13"/>
        <v>2016</v>
      </c>
      <c r="L29" s="204">
        <f t="shared" si="13"/>
        <v>2016</v>
      </c>
      <c r="M29" s="204">
        <f t="shared" si="13"/>
        <v>2016</v>
      </c>
      <c r="N29" s="204">
        <f t="shared" si="13"/>
        <v>2016</v>
      </c>
      <c r="O29" s="204">
        <f t="shared" si="13"/>
        <v>2016</v>
      </c>
      <c r="P29" s="204">
        <f t="shared" si="13"/>
        <v>2016</v>
      </c>
      <c r="Q29" s="204">
        <f t="shared" si="13"/>
        <v>2016</v>
      </c>
      <c r="R29" s="204">
        <f t="shared" si="13"/>
        <v>2016</v>
      </c>
      <c r="S29" s="204">
        <f t="shared" si="13"/>
        <v>2016</v>
      </c>
      <c r="T29" s="204">
        <f t="shared" si="13"/>
        <v>2016</v>
      </c>
      <c r="U29" s="204">
        <f t="shared" si="13"/>
        <v>2016</v>
      </c>
      <c r="V29" s="204">
        <f t="shared" si="13"/>
        <v>2017</v>
      </c>
      <c r="W29" s="204">
        <f t="shared" si="13"/>
        <v>2017</v>
      </c>
      <c r="X29" s="204">
        <f t="shared" si="13"/>
        <v>2017</v>
      </c>
      <c r="Y29" s="204">
        <f t="shared" si="13"/>
        <v>2017</v>
      </c>
      <c r="Z29" s="204">
        <f t="shared" si="13"/>
        <v>2017</v>
      </c>
      <c r="AA29" s="204">
        <f t="shared" si="13"/>
        <v>2017</v>
      </c>
      <c r="AB29" s="204">
        <f t="shared" si="13"/>
        <v>2017</v>
      </c>
      <c r="AC29" s="204">
        <f t="shared" si="13"/>
        <v>2017</v>
      </c>
      <c r="AD29" s="204">
        <f t="shared" si="13"/>
        <v>2017</v>
      </c>
      <c r="AE29" s="204">
        <f t="shared" si="13"/>
        <v>2017</v>
      </c>
      <c r="AF29" s="204">
        <f t="shared" si="13"/>
        <v>2017</v>
      </c>
      <c r="AG29" s="204">
        <f t="shared" si="13"/>
        <v>2017</v>
      </c>
      <c r="AH29" s="204">
        <f t="shared" si="13"/>
        <v>2018</v>
      </c>
      <c r="AI29" s="204">
        <f t="shared" si="13"/>
        <v>2018</v>
      </c>
      <c r="AJ29" s="204">
        <f t="shared" si="13"/>
        <v>2018</v>
      </c>
      <c r="AK29" s="204">
        <f t="shared" si="13"/>
        <v>2018</v>
      </c>
      <c r="AL29" s="204">
        <f t="shared" si="13"/>
        <v>2018</v>
      </c>
      <c r="AM29" s="204">
        <f t="shared" si="13"/>
        <v>2018</v>
      </c>
      <c r="AN29" s="204">
        <f t="shared" si="13"/>
        <v>2018</v>
      </c>
      <c r="AO29" s="204">
        <f t="shared" si="13"/>
        <v>2018</v>
      </c>
      <c r="AP29" s="204">
        <f t="shared" ref="AP29:BU29" si="14">YEAR(AP28)</f>
        <v>2018</v>
      </c>
      <c r="AQ29" s="204">
        <f t="shared" si="14"/>
        <v>2018</v>
      </c>
      <c r="AR29" s="204">
        <f t="shared" si="14"/>
        <v>2018</v>
      </c>
      <c r="AS29" s="204">
        <f t="shared" si="14"/>
        <v>2018</v>
      </c>
      <c r="AT29" s="204">
        <f t="shared" si="14"/>
        <v>2019</v>
      </c>
      <c r="AU29" s="204">
        <f t="shared" si="14"/>
        <v>2019</v>
      </c>
      <c r="AV29" s="204">
        <f t="shared" si="14"/>
        <v>2019</v>
      </c>
      <c r="AW29" s="204">
        <f t="shared" si="14"/>
        <v>2019</v>
      </c>
      <c r="AX29" s="204">
        <f t="shared" si="14"/>
        <v>2019</v>
      </c>
      <c r="AY29" s="204">
        <f t="shared" si="14"/>
        <v>2019</v>
      </c>
      <c r="AZ29" s="204">
        <f t="shared" si="14"/>
        <v>2019</v>
      </c>
      <c r="BA29" s="204">
        <f t="shared" si="14"/>
        <v>2019</v>
      </c>
      <c r="BB29" s="204">
        <f t="shared" si="14"/>
        <v>2019</v>
      </c>
      <c r="BC29" s="204">
        <f t="shared" si="14"/>
        <v>2019</v>
      </c>
      <c r="BD29" s="204">
        <f t="shared" si="14"/>
        <v>2019</v>
      </c>
      <c r="BE29" s="204">
        <f t="shared" si="14"/>
        <v>2019</v>
      </c>
      <c r="BF29" s="204">
        <f t="shared" si="14"/>
        <v>2020</v>
      </c>
      <c r="BG29" s="204">
        <f t="shared" si="14"/>
        <v>2020</v>
      </c>
      <c r="BH29" s="204">
        <f t="shared" si="14"/>
        <v>2020</v>
      </c>
      <c r="BI29" s="204">
        <f t="shared" si="14"/>
        <v>2020</v>
      </c>
      <c r="BJ29" s="204">
        <f t="shared" si="14"/>
        <v>2020</v>
      </c>
      <c r="BK29" s="204">
        <f t="shared" si="14"/>
        <v>2020</v>
      </c>
      <c r="BL29" s="204">
        <f t="shared" si="14"/>
        <v>2020</v>
      </c>
      <c r="BM29" s="204">
        <f t="shared" si="14"/>
        <v>2020</v>
      </c>
      <c r="BN29" s="204">
        <f t="shared" si="14"/>
        <v>2020</v>
      </c>
      <c r="BO29" s="204">
        <f t="shared" si="14"/>
        <v>2020</v>
      </c>
      <c r="BP29" s="204">
        <f t="shared" si="14"/>
        <v>2020</v>
      </c>
      <c r="BQ29" s="204">
        <f t="shared" si="14"/>
        <v>2020</v>
      </c>
      <c r="BR29" s="204">
        <f t="shared" si="14"/>
        <v>2021</v>
      </c>
      <c r="BS29" s="204">
        <f t="shared" si="14"/>
        <v>2021</v>
      </c>
      <c r="BT29" s="204">
        <f t="shared" si="14"/>
        <v>2021</v>
      </c>
      <c r="BU29" s="204">
        <f t="shared" si="14"/>
        <v>2021</v>
      </c>
      <c r="BV29" s="204">
        <f t="shared" ref="BV29:DA29" si="15">YEAR(BV28)</f>
        <v>2021</v>
      </c>
      <c r="BW29" s="204">
        <f t="shared" si="15"/>
        <v>2021</v>
      </c>
      <c r="BX29" s="204">
        <f t="shared" si="15"/>
        <v>2021</v>
      </c>
      <c r="BY29" s="204">
        <f t="shared" si="15"/>
        <v>2021</v>
      </c>
      <c r="BZ29" s="204">
        <f t="shared" si="15"/>
        <v>2021</v>
      </c>
      <c r="CA29" s="204">
        <f t="shared" si="15"/>
        <v>2021</v>
      </c>
      <c r="CB29" s="204">
        <f t="shared" si="15"/>
        <v>2021</v>
      </c>
      <c r="CC29" s="204">
        <f t="shared" si="15"/>
        <v>2021</v>
      </c>
      <c r="CD29" s="204">
        <f t="shared" si="15"/>
        <v>2022</v>
      </c>
      <c r="CE29" s="204">
        <f t="shared" si="15"/>
        <v>2022</v>
      </c>
      <c r="CF29" s="204">
        <f t="shared" si="15"/>
        <v>2022</v>
      </c>
      <c r="CG29" s="204">
        <f t="shared" si="15"/>
        <v>2022</v>
      </c>
      <c r="CH29" s="204">
        <f t="shared" si="15"/>
        <v>2022</v>
      </c>
      <c r="CI29" s="204">
        <f t="shared" si="15"/>
        <v>2022</v>
      </c>
      <c r="CJ29" s="204">
        <f t="shared" si="15"/>
        <v>2022</v>
      </c>
      <c r="CK29" s="204">
        <f t="shared" si="15"/>
        <v>2022</v>
      </c>
      <c r="CL29" s="204">
        <f t="shared" si="15"/>
        <v>2022</v>
      </c>
      <c r="CM29" s="204">
        <f t="shared" si="15"/>
        <v>2022</v>
      </c>
      <c r="CN29" s="204">
        <f t="shared" si="15"/>
        <v>2022</v>
      </c>
      <c r="CO29" s="204">
        <f t="shared" si="15"/>
        <v>2022</v>
      </c>
      <c r="CP29" s="204">
        <f t="shared" si="15"/>
        <v>2023</v>
      </c>
      <c r="CQ29" s="204">
        <f t="shared" si="15"/>
        <v>2023</v>
      </c>
      <c r="CR29" s="204">
        <f t="shared" si="15"/>
        <v>2023</v>
      </c>
      <c r="CS29" s="204">
        <f t="shared" si="15"/>
        <v>2023</v>
      </c>
      <c r="CT29" s="204">
        <f t="shared" si="15"/>
        <v>2023</v>
      </c>
      <c r="CU29" s="204">
        <f t="shared" si="15"/>
        <v>2023</v>
      </c>
      <c r="CV29" s="204">
        <f t="shared" si="15"/>
        <v>2023</v>
      </c>
      <c r="CW29" s="204">
        <f t="shared" si="15"/>
        <v>2023</v>
      </c>
      <c r="CX29" s="204">
        <f t="shared" si="15"/>
        <v>2023</v>
      </c>
      <c r="CY29" s="204">
        <f t="shared" si="15"/>
        <v>2023</v>
      </c>
      <c r="CZ29" s="204">
        <f t="shared" si="15"/>
        <v>2023</v>
      </c>
      <c r="DA29" s="204">
        <f t="shared" si="15"/>
        <v>2023</v>
      </c>
      <c r="DB29" s="204">
        <f t="shared" ref="DB29:DM29" si="16">YEAR(DB28)</f>
        <v>2024</v>
      </c>
      <c r="DC29" s="204">
        <f t="shared" si="16"/>
        <v>2024</v>
      </c>
      <c r="DD29" s="204">
        <f t="shared" si="16"/>
        <v>2024</v>
      </c>
      <c r="DE29" s="204">
        <f t="shared" si="16"/>
        <v>2024</v>
      </c>
      <c r="DF29" s="204">
        <f t="shared" si="16"/>
        <v>2024</v>
      </c>
      <c r="DG29" s="204">
        <f t="shared" si="16"/>
        <v>2024</v>
      </c>
      <c r="DH29" s="204">
        <f t="shared" si="16"/>
        <v>2024</v>
      </c>
      <c r="DI29" s="204">
        <f t="shared" si="16"/>
        <v>2024</v>
      </c>
      <c r="DJ29" s="204">
        <f t="shared" si="16"/>
        <v>2024</v>
      </c>
      <c r="DK29" s="204">
        <f t="shared" si="16"/>
        <v>2024</v>
      </c>
      <c r="DL29" s="204">
        <f t="shared" si="16"/>
        <v>2024</v>
      </c>
      <c r="DM29" s="204">
        <f t="shared" si="16"/>
        <v>2024</v>
      </c>
    </row>
    <row r="30" spans="1:117" ht="12" customHeight="1" x14ac:dyDescent="0.25">
      <c r="A30" s="39"/>
      <c r="F30" s="10" t="s">
        <v>20</v>
      </c>
      <c r="G30" s="10" t="s">
        <v>12</v>
      </c>
      <c r="J30" s="209" t="str">
        <f>"M"&amp;ROUNDUP(MONTH(J28)/'0.2.Parameters'!$H$10,0)&amp;" " &amp;YEAR(J28)</f>
        <v>M1 2016</v>
      </c>
      <c r="K30" s="209" t="str">
        <f>"M"&amp;ROUNDUP(MONTH(K28)/'0.2.Parameters'!$H$10,0)&amp;" " &amp;YEAR(K28)</f>
        <v>M2 2016</v>
      </c>
      <c r="L30" s="209" t="str">
        <f>"M"&amp;ROUNDUP(MONTH(L28)/'0.2.Parameters'!$H$10,0)&amp;" " &amp;YEAR(L28)</f>
        <v>M3 2016</v>
      </c>
      <c r="M30" s="209" t="str">
        <f>"M"&amp;ROUNDUP(MONTH(M28)/'0.2.Parameters'!$H$10,0)&amp;" " &amp;YEAR(M28)</f>
        <v>M4 2016</v>
      </c>
      <c r="N30" s="209" t="str">
        <f>"M"&amp;ROUNDUP(MONTH(N28)/'0.2.Parameters'!$H$10,0)&amp;" " &amp;YEAR(N28)</f>
        <v>M5 2016</v>
      </c>
      <c r="O30" s="209" t="str">
        <f>"M"&amp;ROUNDUP(MONTH(O28)/'0.2.Parameters'!$H$10,0)&amp;" " &amp;YEAR(O28)</f>
        <v>M6 2016</v>
      </c>
      <c r="P30" s="209" t="str">
        <f>"M"&amp;ROUNDUP(MONTH(P28)/'0.2.Parameters'!$H$10,0)&amp;" " &amp;YEAR(P28)</f>
        <v>M7 2016</v>
      </c>
      <c r="Q30" s="209" t="str">
        <f>"M"&amp;ROUNDUP(MONTH(Q28)/'0.2.Parameters'!$H$10,0)&amp;" " &amp;YEAR(Q28)</f>
        <v>M8 2016</v>
      </c>
      <c r="R30" s="209" t="str">
        <f>"M"&amp;ROUNDUP(MONTH(R28)/'0.2.Parameters'!$H$10,0)&amp;" " &amp;YEAR(R28)</f>
        <v>M9 2016</v>
      </c>
      <c r="S30" s="209" t="str">
        <f>"M"&amp;ROUNDUP(MONTH(S28)/'0.2.Parameters'!$H$10,0)&amp;" " &amp;YEAR(S28)</f>
        <v>M10 2016</v>
      </c>
      <c r="T30" s="209" t="str">
        <f>"M"&amp;ROUNDUP(MONTH(T28)/'0.2.Parameters'!$H$10,0)&amp;" " &amp;YEAR(T28)</f>
        <v>M11 2016</v>
      </c>
      <c r="U30" s="209" t="str">
        <f>"M"&amp;ROUNDUP(MONTH(U28)/'0.2.Parameters'!$H$10,0)&amp;" " &amp;YEAR(U28)</f>
        <v>M12 2016</v>
      </c>
      <c r="V30" s="209" t="str">
        <f>"M"&amp;ROUNDUP(MONTH(V28)/'0.2.Parameters'!$H$10,0)&amp;" " &amp;YEAR(V28)</f>
        <v>M1 2017</v>
      </c>
      <c r="W30" s="209" t="str">
        <f>"M"&amp;ROUNDUP(MONTH(W28)/'0.2.Parameters'!$H$10,0)&amp;" " &amp;YEAR(W28)</f>
        <v>M2 2017</v>
      </c>
      <c r="X30" s="209" t="str">
        <f>"M"&amp;ROUNDUP(MONTH(X28)/'0.2.Parameters'!$H$10,0)&amp;" " &amp;YEAR(X28)</f>
        <v>M3 2017</v>
      </c>
      <c r="Y30" s="209" t="str">
        <f>"M"&amp;ROUNDUP(MONTH(Y28)/'0.2.Parameters'!$H$10,0)&amp;" " &amp;YEAR(Y28)</f>
        <v>M4 2017</v>
      </c>
      <c r="Z30" s="209" t="str">
        <f>"M"&amp;ROUNDUP(MONTH(Z28)/'0.2.Parameters'!$H$10,0)&amp;" " &amp;YEAR(Z28)</f>
        <v>M5 2017</v>
      </c>
      <c r="AA30" s="209" t="str">
        <f>"M"&amp;ROUNDUP(MONTH(AA28)/'0.2.Parameters'!$H$10,0)&amp;" " &amp;YEAR(AA28)</f>
        <v>M6 2017</v>
      </c>
      <c r="AB30" s="209" t="str">
        <f>"M"&amp;ROUNDUP(MONTH(AB28)/'0.2.Parameters'!$H$10,0)&amp;" " &amp;YEAR(AB28)</f>
        <v>M7 2017</v>
      </c>
      <c r="AC30" s="209" t="str">
        <f>"M"&amp;ROUNDUP(MONTH(AC28)/'0.2.Parameters'!$H$10,0)&amp;" " &amp;YEAR(AC28)</f>
        <v>M8 2017</v>
      </c>
      <c r="AD30" s="209" t="str">
        <f>"M"&amp;ROUNDUP(MONTH(AD28)/'0.2.Parameters'!$H$10,0)&amp;" " &amp;YEAR(AD28)</f>
        <v>M9 2017</v>
      </c>
      <c r="AE30" s="209" t="str">
        <f>"M"&amp;ROUNDUP(MONTH(AE28)/'0.2.Parameters'!$H$10,0)&amp;" " &amp;YEAR(AE28)</f>
        <v>M10 2017</v>
      </c>
      <c r="AF30" s="209" t="str">
        <f>"M"&amp;ROUNDUP(MONTH(AF28)/'0.2.Parameters'!$H$10,0)&amp;" " &amp;YEAR(AF28)</f>
        <v>M11 2017</v>
      </c>
      <c r="AG30" s="209" t="str">
        <f>"M"&amp;ROUNDUP(MONTH(AG28)/'0.2.Parameters'!$H$10,0)&amp;" " &amp;YEAR(AG28)</f>
        <v>M12 2017</v>
      </c>
      <c r="AH30" s="209" t="str">
        <f>"M"&amp;ROUNDUP(MONTH(AH28)/'0.2.Parameters'!$H$10,0)&amp;" " &amp;YEAR(AH28)</f>
        <v>M1 2018</v>
      </c>
      <c r="AI30" s="209" t="str">
        <f>"M"&amp;ROUNDUP(MONTH(AI28)/'0.2.Parameters'!$H$10,0)&amp;" " &amp;YEAR(AI28)</f>
        <v>M2 2018</v>
      </c>
      <c r="AJ30" s="209" t="str">
        <f>"M"&amp;ROUNDUP(MONTH(AJ28)/'0.2.Parameters'!$H$10,0)&amp;" " &amp;YEAR(AJ28)</f>
        <v>M3 2018</v>
      </c>
      <c r="AK30" s="209" t="str">
        <f>"M"&amp;ROUNDUP(MONTH(AK28)/'0.2.Parameters'!$H$10,0)&amp;" " &amp;YEAR(AK28)</f>
        <v>M4 2018</v>
      </c>
      <c r="AL30" s="209" t="str">
        <f>"M"&amp;ROUNDUP(MONTH(AL28)/'0.2.Parameters'!$H$10,0)&amp;" " &amp;YEAR(AL28)</f>
        <v>M5 2018</v>
      </c>
      <c r="AM30" s="209" t="str">
        <f>"M"&amp;ROUNDUP(MONTH(AM28)/'0.2.Parameters'!$H$10,0)&amp;" " &amp;YEAR(AM28)</f>
        <v>M6 2018</v>
      </c>
      <c r="AN30" s="209" t="str">
        <f>"M"&amp;ROUNDUP(MONTH(AN28)/'0.2.Parameters'!$H$10,0)&amp;" " &amp;YEAR(AN28)</f>
        <v>M7 2018</v>
      </c>
      <c r="AO30" s="209" t="str">
        <f>"M"&amp;ROUNDUP(MONTH(AO28)/'0.2.Parameters'!$H$10,0)&amp;" " &amp;YEAR(AO28)</f>
        <v>M8 2018</v>
      </c>
      <c r="AP30" s="209" t="str">
        <f>"M"&amp;ROUNDUP(MONTH(AP28)/'0.2.Parameters'!$H$10,0)&amp;" " &amp;YEAR(AP28)</f>
        <v>M9 2018</v>
      </c>
      <c r="AQ30" s="209" t="str">
        <f>"M"&amp;ROUNDUP(MONTH(AQ28)/'0.2.Parameters'!$H$10,0)&amp;" " &amp;YEAR(AQ28)</f>
        <v>M10 2018</v>
      </c>
      <c r="AR30" s="209" t="str">
        <f>"M"&amp;ROUNDUP(MONTH(AR28)/'0.2.Parameters'!$H$10,0)&amp;" " &amp;YEAR(AR28)</f>
        <v>M11 2018</v>
      </c>
      <c r="AS30" s="209" t="str">
        <f>"M"&amp;ROUNDUP(MONTH(AS28)/'0.2.Parameters'!$H$10,0)&amp;" " &amp;YEAR(AS28)</f>
        <v>M12 2018</v>
      </c>
      <c r="AT30" s="209" t="str">
        <f>"M"&amp;ROUNDUP(MONTH(AT28)/'0.2.Parameters'!$H$10,0)&amp;" " &amp;YEAR(AT28)</f>
        <v>M1 2019</v>
      </c>
      <c r="AU30" s="209" t="str">
        <f>"M"&amp;ROUNDUP(MONTH(AU28)/'0.2.Parameters'!$H$10,0)&amp;" " &amp;YEAR(AU28)</f>
        <v>M2 2019</v>
      </c>
      <c r="AV30" s="209" t="str">
        <f>"M"&amp;ROUNDUP(MONTH(AV28)/'0.2.Parameters'!$H$10,0)&amp;" " &amp;YEAR(AV28)</f>
        <v>M3 2019</v>
      </c>
      <c r="AW30" s="209" t="str">
        <f>"M"&amp;ROUNDUP(MONTH(AW28)/'0.2.Parameters'!$H$10,0)&amp;" " &amp;YEAR(AW28)</f>
        <v>M4 2019</v>
      </c>
      <c r="AX30" s="209" t="str">
        <f>"M"&amp;ROUNDUP(MONTH(AX28)/'0.2.Parameters'!$H$10,0)&amp;" " &amp;YEAR(AX28)</f>
        <v>M5 2019</v>
      </c>
      <c r="AY30" s="209" t="str">
        <f>"M"&amp;ROUNDUP(MONTH(AY28)/'0.2.Parameters'!$H$10,0)&amp;" " &amp;YEAR(AY28)</f>
        <v>M6 2019</v>
      </c>
      <c r="AZ30" s="209" t="str">
        <f>"M"&amp;ROUNDUP(MONTH(AZ28)/'0.2.Parameters'!$H$10,0)&amp;" " &amp;YEAR(AZ28)</f>
        <v>M7 2019</v>
      </c>
      <c r="BA30" s="209" t="str">
        <f>"M"&amp;ROUNDUP(MONTH(BA28)/'0.2.Parameters'!$H$10,0)&amp;" " &amp;YEAR(BA28)</f>
        <v>M8 2019</v>
      </c>
      <c r="BB30" s="209" t="str">
        <f>"M"&amp;ROUNDUP(MONTH(BB28)/'0.2.Parameters'!$H$10,0)&amp;" " &amp;YEAR(BB28)</f>
        <v>M9 2019</v>
      </c>
      <c r="BC30" s="209" t="str">
        <f>"M"&amp;ROUNDUP(MONTH(BC28)/'0.2.Parameters'!$H$10,0)&amp;" " &amp;YEAR(BC28)</f>
        <v>M10 2019</v>
      </c>
      <c r="BD30" s="209" t="str">
        <f>"M"&amp;ROUNDUP(MONTH(BD28)/'0.2.Parameters'!$H$10,0)&amp;" " &amp;YEAR(BD28)</f>
        <v>M11 2019</v>
      </c>
      <c r="BE30" s="209" t="str">
        <f>"M"&amp;ROUNDUP(MONTH(BE28)/'0.2.Parameters'!$H$10,0)&amp;" " &amp;YEAR(BE28)</f>
        <v>M12 2019</v>
      </c>
      <c r="BF30" s="209" t="str">
        <f>"M"&amp;ROUNDUP(MONTH(BF28)/'0.2.Parameters'!$H$10,0)&amp;" " &amp;YEAR(BF28)</f>
        <v>M1 2020</v>
      </c>
      <c r="BG30" s="209" t="str">
        <f>"M"&amp;ROUNDUP(MONTH(BG28)/'0.2.Parameters'!$H$10,0)&amp;" " &amp;YEAR(BG28)</f>
        <v>M2 2020</v>
      </c>
      <c r="BH30" s="209" t="str">
        <f>"M"&amp;ROUNDUP(MONTH(BH28)/'0.2.Parameters'!$H$10,0)&amp;" " &amp;YEAR(BH28)</f>
        <v>M3 2020</v>
      </c>
      <c r="BI30" s="209" t="str">
        <f>"M"&amp;ROUNDUP(MONTH(BI28)/'0.2.Parameters'!$H$10,0)&amp;" " &amp;YEAR(BI28)</f>
        <v>M4 2020</v>
      </c>
      <c r="BJ30" s="209" t="str">
        <f>"M"&amp;ROUNDUP(MONTH(BJ28)/'0.2.Parameters'!$H$10,0)&amp;" " &amp;YEAR(BJ28)</f>
        <v>M5 2020</v>
      </c>
      <c r="BK30" s="209" t="str">
        <f>"M"&amp;ROUNDUP(MONTH(BK28)/'0.2.Parameters'!$H$10,0)&amp;" " &amp;YEAR(BK28)</f>
        <v>M6 2020</v>
      </c>
      <c r="BL30" s="209" t="str">
        <f>"M"&amp;ROUNDUP(MONTH(BL28)/'0.2.Parameters'!$H$10,0)&amp;" " &amp;YEAR(BL28)</f>
        <v>M7 2020</v>
      </c>
      <c r="BM30" s="209" t="str">
        <f>"M"&amp;ROUNDUP(MONTH(BM28)/'0.2.Parameters'!$H$10,0)&amp;" " &amp;YEAR(BM28)</f>
        <v>M8 2020</v>
      </c>
      <c r="BN30" s="209" t="str">
        <f>"M"&amp;ROUNDUP(MONTH(BN28)/'0.2.Parameters'!$H$10,0)&amp;" " &amp;YEAR(BN28)</f>
        <v>M9 2020</v>
      </c>
      <c r="BO30" s="209" t="str">
        <f>"M"&amp;ROUNDUP(MONTH(BO28)/'0.2.Parameters'!$H$10,0)&amp;" " &amp;YEAR(BO28)</f>
        <v>M10 2020</v>
      </c>
      <c r="BP30" s="209" t="str">
        <f>"M"&amp;ROUNDUP(MONTH(BP28)/'0.2.Parameters'!$H$10,0)&amp;" " &amp;YEAR(BP28)</f>
        <v>M11 2020</v>
      </c>
      <c r="BQ30" s="209" t="str">
        <f>"M"&amp;ROUNDUP(MONTH(BQ28)/'0.2.Parameters'!$H$10,0)&amp;" " &amp;YEAR(BQ28)</f>
        <v>M12 2020</v>
      </c>
      <c r="BR30" s="209" t="str">
        <f>"M"&amp;ROUNDUP(MONTH(BR28)/'0.2.Parameters'!$H$10,0)&amp;" " &amp;YEAR(BR28)</f>
        <v>M1 2021</v>
      </c>
      <c r="BS30" s="209" t="str">
        <f>"M"&amp;ROUNDUP(MONTH(BS28)/'0.2.Parameters'!$H$10,0)&amp;" " &amp;YEAR(BS28)</f>
        <v>M2 2021</v>
      </c>
      <c r="BT30" s="209" t="str">
        <f>"M"&amp;ROUNDUP(MONTH(BT28)/'0.2.Parameters'!$H$10,0)&amp;" " &amp;YEAR(BT28)</f>
        <v>M3 2021</v>
      </c>
      <c r="BU30" s="209" t="str">
        <f>"M"&amp;ROUNDUP(MONTH(BU28)/'0.2.Parameters'!$H$10,0)&amp;" " &amp;YEAR(BU28)</f>
        <v>M4 2021</v>
      </c>
      <c r="BV30" s="209" t="str">
        <f>"M"&amp;ROUNDUP(MONTH(BV28)/'0.2.Parameters'!$H$10,0)&amp;" " &amp;YEAR(BV28)</f>
        <v>M5 2021</v>
      </c>
      <c r="BW30" s="209" t="str">
        <f>"M"&amp;ROUNDUP(MONTH(BW28)/'0.2.Parameters'!$H$10,0)&amp;" " &amp;YEAR(BW28)</f>
        <v>M6 2021</v>
      </c>
      <c r="BX30" s="209" t="str">
        <f>"M"&amp;ROUNDUP(MONTH(BX28)/'0.2.Parameters'!$H$10,0)&amp;" " &amp;YEAR(BX28)</f>
        <v>M7 2021</v>
      </c>
      <c r="BY30" s="209" t="str">
        <f>"M"&amp;ROUNDUP(MONTH(BY28)/'0.2.Parameters'!$H$10,0)&amp;" " &amp;YEAR(BY28)</f>
        <v>M8 2021</v>
      </c>
      <c r="BZ30" s="209" t="str">
        <f>"M"&amp;ROUNDUP(MONTH(BZ28)/'0.2.Parameters'!$H$10,0)&amp;" " &amp;YEAR(BZ28)</f>
        <v>M9 2021</v>
      </c>
      <c r="CA30" s="209" t="str">
        <f>"M"&amp;ROUNDUP(MONTH(CA28)/'0.2.Parameters'!$H$10,0)&amp;" " &amp;YEAR(CA28)</f>
        <v>M10 2021</v>
      </c>
      <c r="CB30" s="209" t="str">
        <f>"M"&amp;ROUNDUP(MONTH(CB28)/'0.2.Parameters'!$H$10,0)&amp;" " &amp;YEAR(CB28)</f>
        <v>M11 2021</v>
      </c>
      <c r="CC30" s="209" t="str">
        <f>"M"&amp;ROUNDUP(MONTH(CC28)/'0.2.Parameters'!$H$10,0)&amp;" " &amp;YEAR(CC28)</f>
        <v>M12 2021</v>
      </c>
      <c r="CD30" s="209" t="str">
        <f>"M"&amp;ROUNDUP(MONTH(CD28)/'0.2.Parameters'!$H$10,0)&amp;" " &amp;YEAR(CD28)</f>
        <v>M1 2022</v>
      </c>
      <c r="CE30" s="209" t="str">
        <f>"M"&amp;ROUNDUP(MONTH(CE28)/'0.2.Parameters'!$H$10,0)&amp;" " &amp;YEAR(CE28)</f>
        <v>M2 2022</v>
      </c>
      <c r="CF30" s="209" t="str">
        <f>"M"&amp;ROUNDUP(MONTH(CF28)/'0.2.Parameters'!$H$10,0)&amp;" " &amp;YEAR(CF28)</f>
        <v>M3 2022</v>
      </c>
      <c r="CG30" s="209" t="str">
        <f>"M"&amp;ROUNDUP(MONTH(CG28)/'0.2.Parameters'!$H$10,0)&amp;" " &amp;YEAR(CG28)</f>
        <v>M4 2022</v>
      </c>
      <c r="CH30" s="209" t="str">
        <f>"M"&amp;ROUNDUP(MONTH(CH28)/'0.2.Parameters'!$H$10,0)&amp;" " &amp;YEAR(CH28)</f>
        <v>M5 2022</v>
      </c>
      <c r="CI30" s="209" t="str">
        <f>"M"&amp;ROUNDUP(MONTH(CI28)/'0.2.Parameters'!$H$10,0)&amp;" " &amp;YEAR(CI28)</f>
        <v>M6 2022</v>
      </c>
      <c r="CJ30" s="209" t="str">
        <f>"M"&amp;ROUNDUP(MONTH(CJ28)/'0.2.Parameters'!$H$10,0)&amp;" " &amp;YEAR(CJ28)</f>
        <v>M7 2022</v>
      </c>
      <c r="CK30" s="209" t="str">
        <f>"M"&amp;ROUNDUP(MONTH(CK28)/'0.2.Parameters'!$H$10,0)&amp;" " &amp;YEAR(CK28)</f>
        <v>M8 2022</v>
      </c>
      <c r="CL30" s="209" t="str">
        <f>"M"&amp;ROUNDUP(MONTH(CL28)/'0.2.Parameters'!$H$10,0)&amp;" " &amp;YEAR(CL28)</f>
        <v>M9 2022</v>
      </c>
      <c r="CM30" s="209" t="str">
        <f>"M"&amp;ROUNDUP(MONTH(CM28)/'0.2.Parameters'!$H$10,0)&amp;" " &amp;YEAR(CM28)</f>
        <v>M10 2022</v>
      </c>
      <c r="CN30" s="209" t="str">
        <f>"M"&amp;ROUNDUP(MONTH(CN28)/'0.2.Parameters'!$H$10,0)&amp;" " &amp;YEAR(CN28)</f>
        <v>M11 2022</v>
      </c>
      <c r="CO30" s="209" t="str">
        <f>"M"&amp;ROUNDUP(MONTH(CO28)/'0.2.Parameters'!$H$10,0)&amp;" " &amp;YEAR(CO28)</f>
        <v>M12 2022</v>
      </c>
      <c r="CP30" s="209" t="str">
        <f>"M"&amp;ROUNDUP(MONTH(CP28)/'0.2.Parameters'!$H$10,0)&amp;" " &amp;YEAR(CP28)</f>
        <v>M1 2023</v>
      </c>
      <c r="CQ30" s="209" t="str">
        <f>"M"&amp;ROUNDUP(MONTH(CQ28)/'0.2.Parameters'!$H$10,0)&amp;" " &amp;YEAR(CQ28)</f>
        <v>M2 2023</v>
      </c>
      <c r="CR30" s="209" t="str">
        <f>"M"&amp;ROUNDUP(MONTH(CR28)/'0.2.Parameters'!$H$10,0)&amp;" " &amp;YEAR(CR28)</f>
        <v>M3 2023</v>
      </c>
      <c r="CS30" s="209" t="str">
        <f>"M"&amp;ROUNDUP(MONTH(CS28)/'0.2.Parameters'!$H$10,0)&amp;" " &amp;YEAR(CS28)</f>
        <v>M4 2023</v>
      </c>
      <c r="CT30" s="209" t="str">
        <f>"M"&amp;ROUNDUP(MONTH(CT28)/'0.2.Parameters'!$H$10,0)&amp;" " &amp;YEAR(CT28)</f>
        <v>M5 2023</v>
      </c>
      <c r="CU30" s="209" t="str">
        <f>"M"&amp;ROUNDUP(MONTH(CU28)/'0.2.Parameters'!$H$10,0)&amp;" " &amp;YEAR(CU28)</f>
        <v>M6 2023</v>
      </c>
      <c r="CV30" s="209" t="str">
        <f>"M"&amp;ROUNDUP(MONTH(CV28)/'0.2.Parameters'!$H$10,0)&amp;" " &amp;YEAR(CV28)</f>
        <v>M7 2023</v>
      </c>
      <c r="CW30" s="209" t="str">
        <f>"M"&amp;ROUNDUP(MONTH(CW28)/'0.2.Parameters'!$H$10,0)&amp;" " &amp;YEAR(CW28)</f>
        <v>M8 2023</v>
      </c>
      <c r="CX30" s="209" t="str">
        <f>"M"&amp;ROUNDUP(MONTH(CX28)/'0.2.Parameters'!$H$10,0)&amp;" " &amp;YEAR(CX28)</f>
        <v>M9 2023</v>
      </c>
      <c r="CY30" s="209" t="str">
        <f>"M"&amp;ROUNDUP(MONTH(CY28)/'0.2.Parameters'!$H$10,0)&amp;" " &amp;YEAR(CY28)</f>
        <v>M10 2023</v>
      </c>
      <c r="CZ30" s="209" t="str">
        <f>"M"&amp;ROUNDUP(MONTH(CZ28)/'0.2.Parameters'!$H$10,0)&amp;" " &amp;YEAR(CZ28)</f>
        <v>M11 2023</v>
      </c>
      <c r="DA30" s="209" t="str">
        <f>"M"&amp;ROUNDUP(MONTH(DA28)/'0.2.Parameters'!$H$10,0)&amp;" " &amp;YEAR(DA28)</f>
        <v>M12 2023</v>
      </c>
      <c r="DB30" s="209" t="str">
        <f>"M"&amp;ROUNDUP(MONTH(DB28)/'0.2.Parameters'!$H$10,0)&amp;" " &amp;YEAR(DB28)</f>
        <v>M1 2024</v>
      </c>
      <c r="DC30" s="209" t="str">
        <f>"M"&amp;ROUNDUP(MONTH(DC28)/'0.2.Parameters'!$H$10,0)&amp;" " &amp;YEAR(DC28)</f>
        <v>M2 2024</v>
      </c>
      <c r="DD30" s="209" t="str">
        <f>"M"&amp;ROUNDUP(MONTH(DD28)/'0.2.Parameters'!$H$10,0)&amp;" " &amp;YEAR(DD28)</f>
        <v>M3 2024</v>
      </c>
      <c r="DE30" s="209" t="str">
        <f>"M"&amp;ROUNDUP(MONTH(DE28)/'0.2.Parameters'!$H$10,0)&amp;" " &amp;YEAR(DE28)</f>
        <v>M4 2024</v>
      </c>
      <c r="DF30" s="209" t="str">
        <f>"M"&amp;ROUNDUP(MONTH(DF28)/'0.2.Parameters'!$H$10,0)&amp;" " &amp;YEAR(DF28)</f>
        <v>M5 2024</v>
      </c>
      <c r="DG30" s="209" t="str">
        <f>"M"&amp;ROUNDUP(MONTH(DG28)/'0.2.Parameters'!$H$10,0)&amp;" " &amp;YEAR(DG28)</f>
        <v>M6 2024</v>
      </c>
      <c r="DH30" s="209" t="str">
        <f>"M"&amp;ROUNDUP(MONTH(DH28)/'0.2.Parameters'!$H$10,0)&amp;" " &amp;YEAR(DH28)</f>
        <v>M7 2024</v>
      </c>
      <c r="DI30" s="209" t="str">
        <f>"M"&amp;ROUNDUP(MONTH(DI28)/'0.2.Parameters'!$H$10,0)&amp;" " &amp;YEAR(DI28)</f>
        <v>M8 2024</v>
      </c>
      <c r="DJ30" s="209" t="str">
        <f>"M"&amp;ROUNDUP(MONTH(DJ28)/'0.2.Parameters'!$H$10,0)&amp;" " &amp;YEAR(DJ28)</f>
        <v>M9 2024</v>
      </c>
      <c r="DK30" s="209" t="str">
        <f>"M"&amp;ROUNDUP(MONTH(DK28)/'0.2.Parameters'!$H$10,0)&amp;" " &amp;YEAR(DK28)</f>
        <v>M10 2024</v>
      </c>
      <c r="DL30" s="209" t="str">
        <f>"M"&amp;ROUNDUP(MONTH(DL28)/'0.2.Parameters'!$H$10,0)&amp;" " &amp;YEAR(DL28)</f>
        <v>M11 2024</v>
      </c>
      <c r="DM30" s="209" t="str">
        <f>"M"&amp;ROUNDUP(MONTH(DM28)/'0.2.Parameters'!$H$10,0)&amp;" " &amp;YEAR(DM28)</f>
        <v>M12 2024</v>
      </c>
    </row>
    <row r="31" spans="1:117" ht="12" customHeight="1" x14ac:dyDescent="0.25">
      <c r="A31" s="39"/>
      <c r="F31" s="10" t="s">
        <v>19</v>
      </c>
      <c r="G31" s="10" t="s">
        <v>12</v>
      </c>
      <c r="J31" s="206">
        <f>COUNT($J27:J27)</f>
        <v>1</v>
      </c>
      <c r="K31" s="206">
        <f>COUNT($J27:K27)</f>
        <v>2</v>
      </c>
      <c r="L31" s="206">
        <f>COUNT($J27:L27)</f>
        <v>3</v>
      </c>
      <c r="M31" s="206">
        <f>COUNT($J27:M27)</f>
        <v>4</v>
      </c>
      <c r="N31" s="206">
        <f>COUNT($J27:N27)</f>
        <v>5</v>
      </c>
      <c r="O31" s="206">
        <f>COUNT($J27:O27)</f>
        <v>6</v>
      </c>
      <c r="P31" s="206">
        <f>COUNT($J27:P27)</f>
        <v>7</v>
      </c>
      <c r="Q31" s="206">
        <f>COUNT($J27:Q27)</f>
        <v>8</v>
      </c>
      <c r="R31" s="206">
        <f>COUNT($J27:R27)</f>
        <v>9</v>
      </c>
      <c r="S31" s="206">
        <f>COUNT($J27:S27)</f>
        <v>10</v>
      </c>
      <c r="T31" s="206">
        <f>COUNT($J27:T27)</f>
        <v>11</v>
      </c>
      <c r="U31" s="206">
        <f>COUNT($J27:U27)</f>
        <v>12</v>
      </c>
      <c r="V31" s="206">
        <f>COUNT($J27:V27)</f>
        <v>13</v>
      </c>
      <c r="W31" s="206">
        <f>COUNT($J27:W27)</f>
        <v>14</v>
      </c>
      <c r="X31" s="206">
        <f>COUNT($J27:X27)</f>
        <v>15</v>
      </c>
      <c r="Y31" s="206">
        <f>COUNT($J27:Y27)</f>
        <v>16</v>
      </c>
      <c r="Z31" s="206">
        <f>COUNT($J27:Z27)</f>
        <v>17</v>
      </c>
      <c r="AA31" s="206">
        <f>COUNT($J27:AA27)</f>
        <v>18</v>
      </c>
      <c r="AB31" s="206">
        <f>COUNT($J27:AB27)</f>
        <v>19</v>
      </c>
      <c r="AC31" s="206">
        <f>COUNT($J27:AC27)</f>
        <v>20</v>
      </c>
      <c r="AD31" s="206">
        <f>COUNT($J27:AD27)</f>
        <v>21</v>
      </c>
      <c r="AE31" s="206">
        <f>COUNT($J27:AE27)</f>
        <v>22</v>
      </c>
      <c r="AF31" s="206">
        <f>COUNT($J27:AF27)</f>
        <v>23</v>
      </c>
      <c r="AG31" s="206">
        <f>COUNT($J27:AG27)</f>
        <v>24</v>
      </c>
      <c r="AH31" s="206">
        <f>COUNT($J27:AH27)</f>
        <v>25</v>
      </c>
      <c r="AI31" s="206">
        <f>COUNT($J27:AI27)</f>
        <v>26</v>
      </c>
      <c r="AJ31" s="206">
        <f>COUNT($J27:AJ27)</f>
        <v>27</v>
      </c>
      <c r="AK31" s="206">
        <f>COUNT($J27:AK27)</f>
        <v>28</v>
      </c>
      <c r="AL31" s="206">
        <f>COUNT($J27:AL27)</f>
        <v>29</v>
      </c>
      <c r="AM31" s="206">
        <f>COUNT($J27:AM27)</f>
        <v>30</v>
      </c>
      <c r="AN31" s="206">
        <f>COUNT($J27:AN27)</f>
        <v>31</v>
      </c>
      <c r="AO31" s="206">
        <f>COUNT($J27:AO27)</f>
        <v>32</v>
      </c>
      <c r="AP31" s="206">
        <f>COUNT($J27:AP27)</f>
        <v>33</v>
      </c>
      <c r="AQ31" s="206">
        <f>COUNT($J27:AQ27)</f>
        <v>34</v>
      </c>
      <c r="AR31" s="206">
        <f>COUNT($J27:AR27)</f>
        <v>35</v>
      </c>
      <c r="AS31" s="206">
        <f>COUNT($J27:AS27)</f>
        <v>36</v>
      </c>
      <c r="AT31" s="206">
        <f>COUNT($J27:AT27)</f>
        <v>37</v>
      </c>
      <c r="AU31" s="206">
        <f>COUNT($J27:AU27)</f>
        <v>38</v>
      </c>
      <c r="AV31" s="206">
        <f>COUNT($J27:AV27)</f>
        <v>39</v>
      </c>
      <c r="AW31" s="206">
        <f>COUNT($J27:AW27)</f>
        <v>40</v>
      </c>
      <c r="AX31" s="206">
        <f>COUNT($J27:AX27)</f>
        <v>41</v>
      </c>
      <c r="AY31" s="206">
        <f>COUNT($J27:AY27)</f>
        <v>42</v>
      </c>
      <c r="AZ31" s="206">
        <f>COUNT($J27:AZ27)</f>
        <v>43</v>
      </c>
      <c r="BA31" s="206">
        <f>COUNT($J27:BA27)</f>
        <v>44</v>
      </c>
      <c r="BB31" s="206">
        <f>COUNT($J27:BB27)</f>
        <v>45</v>
      </c>
      <c r="BC31" s="206">
        <f>COUNT($J27:BC27)</f>
        <v>46</v>
      </c>
      <c r="BD31" s="206">
        <f>COUNT($J27:BD27)</f>
        <v>47</v>
      </c>
      <c r="BE31" s="206">
        <f>COUNT($J27:BE27)</f>
        <v>48</v>
      </c>
      <c r="BF31" s="206">
        <f>COUNT($J27:BF27)</f>
        <v>49</v>
      </c>
      <c r="BG31" s="206">
        <f>COUNT($J27:BG27)</f>
        <v>50</v>
      </c>
      <c r="BH31" s="206">
        <f>COUNT($J27:BH27)</f>
        <v>51</v>
      </c>
      <c r="BI31" s="206">
        <f>COUNT($J27:BI27)</f>
        <v>52</v>
      </c>
      <c r="BJ31" s="206">
        <f>COUNT($J27:BJ27)</f>
        <v>53</v>
      </c>
      <c r="BK31" s="206">
        <f>COUNT($J27:BK27)</f>
        <v>54</v>
      </c>
      <c r="BL31" s="206">
        <f>COUNT($J27:BL27)</f>
        <v>55</v>
      </c>
      <c r="BM31" s="206">
        <f>COUNT($J27:BM27)</f>
        <v>56</v>
      </c>
      <c r="BN31" s="206">
        <f>COUNT($J27:BN27)</f>
        <v>57</v>
      </c>
      <c r="BO31" s="206">
        <f>COUNT($J27:BO27)</f>
        <v>58</v>
      </c>
      <c r="BP31" s="206">
        <f>COUNT($J27:BP27)</f>
        <v>59</v>
      </c>
      <c r="BQ31" s="206">
        <f>COUNT($J27:BQ27)</f>
        <v>60</v>
      </c>
      <c r="BR31" s="206">
        <f>COUNT($J27:BR27)</f>
        <v>61</v>
      </c>
      <c r="BS31" s="206">
        <f>COUNT($J27:BS27)</f>
        <v>62</v>
      </c>
      <c r="BT31" s="206">
        <f>COUNT($J27:BT27)</f>
        <v>63</v>
      </c>
      <c r="BU31" s="206">
        <f>COUNT($J27:BU27)</f>
        <v>64</v>
      </c>
      <c r="BV31" s="206">
        <f>COUNT($J27:BV27)</f>
        <v>65</v>
      </c>
      <c r="BW31" s="206">
        <f>COUNT($J27:BW27)</f>
        <v>66</v>
      </c>
      <c r="BX31" s="206">
        <f>COUNT($J27:BX27)</f>
        <v>67</v>
      </c>
      <c r="BY31" s="206">
        <f>COUNT($J27:BY27)</f>
        <v>68</v>
      </c>
      <c r="BZ31" s="206">
        <f>COUNT($J27:BZ27)</f>
        <v>69</v>
      </c>
      <c r="CA31" s="206">
        <f>COUNT($J27:CA27)</f>
        <v>70</v>
      </c>
      <c r="CB31" s="206">
        <f>COUNT($J27:CB27)</f>
        <v>71</v>
      </c>
      <c r="CC31" s="206">
        <f>COUNT($J27:CC27)</f>
        <v>72</v>
      </c>
      <c r="CD31" s="206">
        <f>COUNT($J27:CD27)</f>
        <v>73</v>
      </c>
      <c r="CE31" s="206">
        <f>COUNT($J27:CE27)</f>
        <v>74</v>
      </c>
      <c r="CF31" s="206">
        <f>COUNT($J27:CF27)</f>
        <v>75</v>
      </c>
      <c r="CG31" s="206">
        <f>COUNT($J27:CG27)</f>
        <v>76</v>
      </c>
      <c r="CH31" s="206">
        <f>COUNT($J27:CH27)</f>
        <v>77</v>
      </c>
      <c r="CI31" s="206">
        <f>COUNT($J27:CI27)</f>
        <v>78</v>
      </c>
      <c r="CJ31" s="206">
        <f>COUNT($J27:CJ27)</f>
        <v>79</v>
      </c>
      <c r="CK31" s="206">
        <f>COUNT($J27:CK27)</f>
        <v>80</v>
      </c>
      <c r="CL31" s="206">
        <f>COUNT($J27:CL27)</f>
        <v>81</v>
      </c>
      <c r="CM31" s="206">
        <f>COUNT($J27:CM27)</f>
        <v>82</v>
      </c>
      <c r="CN31" s="206">
        <f>COUNT($J27:CN27)</f>
        <v>83</v>
      </c>
      <c r="CO31" s="206">
        <f>COUNT($J27:CO27)</f>
        <v>84</v>
      </c>
      <c r="CP31" s="206">
        <f>COUNT($J27:CP27)</f>
        <v>85</v>
      </c>
      <c r="CQ31" s="206">
        <f>COUNT($J27:CQ27)</f>
        <v>86</v>
      </c>
      <c r="CR31" s="206">
        <f>COUNT($J27:CR27)</f>
        <v>87</v>
      </c>
      <c r="CS31" s="206">
        <f>COUNT($J27:CS27)</f>
        <v>88</v>
      </c>
      <c r="CT31" s="206">
        <f>COUNT($J27:CT27)</f>
        <v>89</v>
      </c>
      <c r="CU31" s="206">
        <f>COUNT($J27:CU27)</f>
        <v>90</v>
      </c>
      <c r="CV31" s="206">
        <f>COUNT($J27:CV27)</f>
        <v>91</v>
      </c>
      <c r="CW31" s="206">
        <f>COUNT($J27:CW27)</f>
        <v>92</v>
      </c>
      <c r="CX31" s="206">
        <f>COUNT($J27:CX27)</f>
        <v>93</v>
      </c>
      <c r="CY31" s="206">
        <f>COUNT($J27:CY27)</f>
        <v>94</v>
      </c>
      <c r="CZ31" s="206">
        <f>COUNT($J27:CZ27)</f>
        <v>95</v>
      </c>
      <c r="DA31" s="206">
        <f>COUNT($J27:DA27)</f>
        <v>96</v>
      </c>
      <c r="DB31" s="206">
        <f>COUNT($J27:DB27)</f>
        <v>97</v>
      </c>
      <c r="DC31" s="206">
        <f>COUNT($J27:DC27)</f>
        <v>98</v>
      </c>
      <c r="DD31" s="206">
        <f>COUNT($J27:DD27)</f>
        <v>99</v>
      </c>
      <c r="DE31" s="206">
        <f>COUNT($J27:DE27)</f>
        <v>100</v>
      </c>
      <c r="DF31" s="206">
        <f>COUNT($J27:DF27)</f>
        <v>101</v>
      </c>
      <c r="DG31" s="206">
        <f>COUNT($J27:DG27)</f>
        <v>102</v>
      </c>
      <c r="DH31" s="206">
        <f>COUNT($J27:DH27)</f>
        <v>103</v>
      </c>
      <c r="DI31" s="206">
        <f>COUNT($J27:DI27)</f>
        <v>104</v>
      </c>
      <c r="DJ31" s="206">
        <f>COUNT($J27:DJ27)</f>
        <v>105</v>
      </c>
      <c r="DK31" s="206">
        <f>COUNT($J27:DK27)</f>
        <v>106</v>
      </c>
      <c r="DL31" s="206">
        <f>COUNT($J27:DL27)</f>
        <v>107</v>
      </c>
      <c r="DM31" s="206">
        <f>COUNT($J27:DM27)</f>
        <v>108</v>
      </c>
    </row>
    <row r="32" spans="1:117" ht="12" customHeight="1" x14ac:dyDescent="0.25">
      <c r="A32" s="39"/>
      <c r="F32" s="10" t="s">
        <v>17</v>
      </c>
      <c r="G32" s="10" t="s">
        <v>16</v>
      </c>
      <c r="J32" s="206">
        <f t="shared" ref="J32:AO32" si="17">J28-J27+1</f>
        <v>31</v>
      </c>
      <c r="K32" s="206">
        <f t="shared" si="17"/>
        <v>29</v>
      </c>
      <c r="L32" s="206">
        <f t="shared" si="17"/>
        <v>31</v>
      </c>
      <c r="M32" s="206">
        <f t="shared" si="17"/>
        <v>30</v>
      </c>
      <c r="N32" s="206">
        <f t="shared" si="17"/>
        <v>31</v>
      </c>
      <c r="O32" s="206">
        <f t="shared" si="17"/>
        <v>30</v>
      </c>
      <c r="P32" s="206">
        <f t="shared" si="17"/>
        <v>31</v>
      </c>
      <c r="Q32" s="206">
        <f t="shared" si="17"/>
        <v>31</v>
      </c>
      <c r="R32" s="206">
        <f t="shared" si="17"/>
        <v>30</v>
      </c>
      <c r="S32" s="206">
        <f t="shared" si="17"/>
        <v>31</v>
      </c>
      <c r="T32" s="206">
        <f t="shared" si="17"/>
        <v>30</v>
      </c>
      <c r="U32" s="206">
        <f t="shared" si="17"/>
        <v>31</v>
      </c>
      <c r="V32" s="206">
        <f t="shared" si="17"/>
        <v>31</v>
      </c>
      <c r="W32" s="206">
        <f t="shared" si="17"/>
        <v>28</v>
      </c>
      <c r="X32" s="206">
        <f t="shared" si="17"/>
        <v>31</v>
      </c>
      <c r="Y32" s="206">
        <f t="shared" si="17"/>
        <v>30</v>
      </c>
      <c r="Z32" s="206">
        <f t="shared" si="17"/>
        <v>31</v>
      </c>
      <c r="AA32" s="206">
        <f t="shared" si="17"/>
        <v>30</v>
      </c>
      <c r="AB32" s="206">
        <f t="shared" si="17"/>
        <v>31</v>
      </c>
      <c r="AC32" s="206">
        <f t="shared" si="17"/>
        <v>31</v>
      </c>
      <c r="AD32" s="206">
        <f t="shared" si="17"/>
        <v>30</v>
      </c>
      <c r="AE32" s="206">
        <f t="shared" si="17"/>
        <v>31</v>
      </c>
      <c r="AF32" s="206">
        <f t="shared" si="17"/>
        <v>30</v>
      </c>
      <c r="AG32" s="206">
        <f t="shared" si="17"/>
        <v>31</v>
      </c>
      <c r="AH32" s="206">
        <f t="shared" si="17"/>
        <v>31</v>
      </c>
      <c r="AI32" s="206">
        <f t="shared" si="17"/>
        <v>28</v>
      </c>
      <c r="AJ32" s="206">
        <f t="shared" si="17"/>
        <v>31</v>
      </c>
      <c r="AK32" s="206">
        <f t="shared" si="17"/>
        <v>30</v>
      </c>
      <c r="AL32" s="206">
        <f t="shared" si="17"/>
        <v>31</v>
      </c>
      <c r="AM32" s="206">
        <f t="shared" si="17"/>
        <v>30</v>
      </c>
      <c r="AN32" s="206">
        <f t="shared" si="17"/>
        <v>31</v>
      </c>
      <c r="AO32" s="206">
        <f t="shared" si="17"/>
        <v>31</v>
      </c>
      <c r="AP32" s="206">
        <f t="shared" ref="AP32:BU32" si="18">AP28-AP27+1</f>
        <v>30</v>
      </c>
      <c r="AQ32" s="206">
        <f t="shared" si="18"/>
        <v>31</v>
      </c>
      <c r="AR32" s="206">
        <f t="shared" si="18"/>
        <v>30</v>
      </c>
      <c r="AS32" s="206">
        <f t="shared" si="18"/>
        <v>31</v>
      </c>
      <c r="AT32" s="206">
        <f t="shared" si="18"/>
        <v>31</v>
      </c>
      <c r="AU32" s="206">
        <f t="shared" si="18"/>
        <v>28</v>
      </c>
      <c r="AV32" s="206">
        <f t="shared" si="18"/>
        <v>31</v>
      </c>
      <c r="AW32" s="206">
        <f t="shared" si="18"/>
        <v>30</v>
      </c>
      <c r="AX32" s="206">
        <f t="shared" si="18"/>
        <v>31</v>
      </c>
      <c r="AY32" s="206">
        <f t="shared" si="18"/>
        <v>30</v>
      </c>
      <c r="AZ32" s="206">
        <f t="shared" si="18"/>
        <v>31</v>
      </c>
      <c r="BA32" s="206">
        <f t="shared" si="18"/>
        <v>31</v>
      </c>
      <c r="BB32" s="206">
        <f t="shared" si="18"/>
        <v>30</v>
      </c>
      <c r="BC32" s="206">
        <f t="shared" si="18"/>
        <v>31</v>
      </c>
      <c r="BD32" s="206">
        <f t="shared" si="18"/>
        <v>30</v>
      </c>
      <c r="BE32" s="206">
        <f t="shared" si="18"/>
        <v>31</v>
      </c>
      <c r="BF32" s="206">
        <f t="shared" si="18"/>
        <v>31</v>
      </c>
      <c r="BG32" s="206">
        <f t="shared" si="18"/>
        <v>29</v>
      </c>
      <c r="BH32" s="206">
        <f t="shared" si="18"/>
        <v>31</v>
      </c>
      <c r="BI32" s="206">
        <f t="shared" si="18"/>
        <v>30</v>
      </c>
      <c r="BJ32" s="206">
        <f t="shared" si="18"/>
        <v>31</v>
      </c>
      <c r="BK32" s="206">
        <f t="shared" si="18"/>
        <v>30</v>
      </c>
      <c r="BL32" s="206">
        <f t="shared" si="18"/>
        <v>31</v>
      </c>
      <c r="BM32" s="206">
        <f t="shared" si="18"/>
        <v>31</v>
      </c>
      <c r="BN32" s="206">
        <f t="shared" si="18"/>
        <v>30</v>
      </c>
      <c r="BO32" s="206">
        <f t="shared" si="18"/>
        <v>31</v>
      </c>
      <c r="BP32" s="206">
        <f t="shared" si="18"/>
        <v>30</v>
      </c>
      <c r="BQ32" s="206">
        <f t="shared" si="18"/>
        <v>31</v>
      </c>
      <c r="BR32" s="206">
        <f t="shared" si="18"/>
        <v>31</v>
      </c>
      <c r="BS32" s="206">
        <f t="shared" si="18"/>
        <v>28</v>
      </c>
      <c r="BT32" s="206">
        <f t="shared" si="18"/>
        <v>31</v>
      </c>
      <c r="BU32" s="206">
        <f t="shared" si="18"/>
        <v>30</v>
      </c>
      <c r="BV32" s="206">
        <f t="shared" ref="BV32:DA32" si="19">BV28-BV27+1</f>
        <v>31</v>
      </c>
      <c r="BW32" s="206">
        <f t="shared" si="19"/>
        <v>30</v>
      </c>
      <c r="BX32" s="206">
        <f t="shared" si="19"/>
        <v>31</v>
      </c>
      <c r="BY32" s="206">
        <f t="shared" si="19"/>
        <v>31</v>
      </c>
      <c r="BZ32" s="206">
        <f t="shared" si="19"/>
        <v>30</v>
      </c>
      <c r="CA32" s="206">
        <f t="shared" si="19"/>
        <v>31</v>
      </c>
      <c r="CB32" s="206">
        <f t="shared" si="19"/>
        <v>30</v>
      </c>
      <c r="CC32" s="206">
        <f t="shared" si="19"/>
        <v>31</v>
      </c>
      <c r="CD32" s="206">
        <f t="shared" si="19"/>
        <v>31</v>
      </c>
      <c r="CE32" s="206">
        <f t="shared" si="19"/>
        <v>28</v>
      </c>
      <c r="CF32" s="206">
        <f t="shared" si="19"/>
        <v>31</v>
      </c>
      <c r="CG32" s="206">
        <f t="shared" si="19"/>
        <v>30</v>
      </c>
      <c r="CH32" s="206">
        <f t="shared" si="19"/>
        <v>31</v>
      </c>
      <c r="CI32" s="206">
        <f t="shared" si="19"/>
        <v>30</v>
      </c>
      <c r="CJ32" s="206">
        <f t="shared" si="19"/>
        <v>31</v>
      </c>
      <c r="CK32" s="206">
        <f t="shared" si="19"/>
        <v>31</v>
      </c>
      <c r="CL32" s="206">
        <f t="shared" si="19"/>
        <v>30</v>
      </c>
      <c r="CM32" s="206">
        <f t="shared" si="19"/>
        <v>31</v>
      </c>
      <c r="CN32" s="206">
        <f t="shared" si="19"/>
        <v>30</v>
      </c>
      <c r="CO32" s="206">
        <f t="shared" si="19"/>
        <v>31</v>
      </c>
      <c r="CP32" s="206">
        <f t="shared" si="19"/>
        <v>31</v>
      </c>
      <c r="CQ32" s="206">
        <f t="shared" si="19"/>
        <v>28</v>
      </c>
      <c r="CR32" s="206">
        <f t="shared" si="19"/>
        <v>31</v>
      </c>
      <c r="CS32" s="206">
        <f t="shared" si="19"/>
        <v>30</v>
      </c>
      <c r="CT32" s="206">
        <f t="shared" si="19"/>
        <v>31</v>
      </c>
      <c r="CU32" s="206">
        <f t="shared" si="19"/>
        <v>30</v>
      </c>
      <c r="CV32" s="206">
        <f t="shared" si="19"/>
        <v>31</v>
      </c>
      <c r="CW32" s="206">
        <f t="shared" si="19"/>
        <v>31</v>
      </c>
      <c r="CX32" s="206">
        <f t="shared" si="19"/>
        <v>30</v>
      </c>
      <c r="CY32" s="206">
        <f t="shared" si="19"/>
        <v>31</v>
      </c>
      <c r="CZ32" s="206">
        <f t="shared" si="19"/>
        <v>30</v>
      </c>
      <c r="DA32" s="206">
        <f t="shared" si="19"/>
        <v>31</v>
      </c>
      <c r="DB32" s="206">
        <f t="shared" ref="DB32:DM32" si="20">DB28-DB27+1</f>
        <v>31</v>
      </c>
      <c r="DC32" s="206">
        <f t="shared" si="20"/>
        <v>29</v>
      </c>
      <c r="DD32" s="206">
        <f t="shared" si="20"/>
        <v>31</v>
      </c>
      <c r="DE32" s="206">
        <f t="shared" si="20"/>
        <v>30</v>
      </c>
      <c r="DF32" s="206">
        <f t="shared" si="20"/>
        <v>31</v>
      </c>
      <c r="DG32" s="206">
        <f t="shared" si="20"/>
        <v>30</v>
      </c>
      <c r="DH32" s="206">
        <f t="shared" si="20"/>
        <v>31</v>
      </c>
      <c r="DI32" s="206">
        <f t="shared" si="20"/>
        <v>31</v>
      </c>
      <c r="DJ32" s="206">
        <f t="shared" si="20"/>
        <v>30</v>
      </c>
      <c r="DK32" s="206">
        <f t="shared" si="20"/>
        <v>31</v>
      </c>
      <c r="DL32" s="206">
        <f t="shared" si="20"/>
        <v>30</v>
      </c>
      <c r="DM32" s="206">
        <f t="shared" si="20"/>
        <v>31</v>
      </c>
    </row>
    <row r="33" spans="1:119" ht="12" customHeight="1" x14ac:dyDescent="0.25">
      <c r="A33" s="39"/>
      <c r="F33" s="10" t="s">
        <v>15</v>
      </c>
      <c r="G33" s="10" t="s">
        <v>14</v>
      </c>
      <c r="J33" s="208">
        <f>J32*'0.2.Parameters'!$H$12</f>
        <v>744</v>
      </c>
      <c r="K33" s="208">
        <f>K32*'0.2.Parameters'!$H$12</f>
        <v>696</v>
      </c>
      <c r="L33" s="208">
        <f>L32*'0.2.Parameters'!$H$12</f>
        <v>744</v>
      </c>
      <c r="M33" s="208">
        <f>M32*'0.2.Parameters'!$H$12</f>
        <v>720</v>
      </c>
      <c r="N33" s="208">
        <f>N32*'0.2.Parameters'!$H$12</f>
        <v>744</v>
      </c>
      <c r="O33" s="208">
        <f>O32*'0.2.Parameters'!$H$12</f>
        <v>720</v>
      </c>
      <c r="P33" s="208">
        <f>P32*'0.2.Parameters'!$H$12</f>
        <v>744</v>
      </c>
      <c r="Q33" s="208">
        <f>Q32*'0.2.Parameters'!$H$12</f>
        <v>744</v>
      </c>
      <c r="R33" s="208">
        <f>R32*'0.2.Parameters'!$H$12</f>
        <v>720</v>
      </c>
      <c r="S33" s="208">
        <f>S32*'0.2.Parameters'!$H$12</f>
        <v>744</v>
      </c>
      <c r="T33" s="208">
        <f>T32*'0.2.Parameters'!$H$12</f>
        <v>720</v>
      </c>
      <c r="U33" s="208">
        <f>U32*'0.2.Parameters'!$H$12</f>
        <v>744</v>
      </c>
      <c r="V33" s="208">
        <f>V32*'0.2.Parameters'!$H$12</f>
        <v>744</v>
      </c>
      <c r="W33" s="208">
        <f>W32*'0.2.Parameters'!$H$12</f>
        <v>672</v>
      </c>
      <c r="X33" s="208">
        <f>X32*'0.2.Parameters'!$H$12</f>
        <v>744</v>
      </c>
      <c r="Y33" s="208">
        <f>Y32*'0.2.Parameters'!$H$12</f>
        <v>720</v>
      </c>
      <c r="Z33" s="208">
        <f>Z32*'0.2.Parameters'!$H$12</f>
        <v>744</v>
      </c>
      <c r="AA33" s="208">
        <f>AA32*'0.2.Parameters'!$H$12</f>
        <v>720</v>
      </c>
      <c r="AB33" s="208">
        <f>AB32*'0.2.Parameters'!$H$12</f>
        <v>744</v>
      </c>
      <c r="AC33" s="208">
        <f>AC32*'0.2.Parameters'!$H$12</f>
        <v>744</v>
      </c>
      <c r="AD33" s="208">
        <f>AD32*'0.2.Parameters'!$H$12</f>
        <v>720</v>
      </c>
      <c r="AE33" s="208">
        <f>AE32*'0.2.Parameters'!$H$12</f>
        <v>744</v>
      </c>
      <c r="AF33" s="208">
        <f>AF32*'0.2.Parameters'!$H$12</f>
        <v>720</v>
      </c>
      <c r="AG33" s="208">
        <f>AG32*'0.2.Parameters'!$H$12</f>
        <v>744</v>
      </c>
      <c r="AH33" s="208">
        <f>AH32*'0.2.Parameters'!$H$12</f>
        <v>744</v>
      </c>
      <c r="AI33" s="208">
        <f>AI32*'0.2.Parameters'!$H$12</f>
        <v>672</v>
      </c>
      <c r="AJ33" s="208">
        <f>AJ32*'0.2.Parameters'!$H$12</f>
        <v>744</v>
      </c>
      <c r="AK33" s="208">
        <f>AK32*'0.2.Parameters'!$H$12</f>
        <v>720</v>
      </c>
      <c r="AL33" s="208">
        <f>AL32*'0.2.Parameters'!$H$12</f>
        <v>744</v>
      </c>
      <c r="AM33" s="208">
        <f>AM32*'0.2.Parameters'!$H$12</f>
        <v>720</v>
      </c>
      <c r="AN33" s="208">
        <f>AN32*'0.2.Parameters'!$H$12</f>
        <v>744</v>
      </c>
      <c r="AO33" s="208">
        <f>AO32*'0.2.Parameters'!$H$12</f>
        <v>744</v>
      </c>
      <c r="AP33" s="208">
        <f>AP32*'0.2.Parameters'!$H$12</f>
        <v>720</v>
      </c>
      <c r="AQ33" s="208">
        <f>AQ32*'0.2.Parameters'!$H$12</f>
        <v>744</v>
      </c>
      <c r="AR33" s="208">
        <f>AR32*'0.2.Parameters'!$H$12</f>
        <v>720</v>
      </c>
      <c r="AS33" s="208">
        <f>AS32*'0.2.Parameters'!$H$12</f>
        <v>744</v>
      </c>
      <c r="AT33" s="208">
        <f>AT32*'0.2.Parameters'!$H$12</f>
        <v>744</v>
      </c>
      <c r="AU33" s="208">
        <f>AU32*'0.2.Parameters'!$H$12</f>
        <v>672</v>
      </c>
      <c r="AV33" s="208">
        <f>AV32*'0.2.Parameters'!$H$12</f>
        <v>744</v>
      </c>
      <c r="AW33" s="208">
        <f>AW32*'0.2.Parameters'!$H$12</f>
        <v>720</v>
      </c>
      <c r="AX33" s="208">
        <f>AX32*'0.2.Parameters'!$H$12</f>
        <v>744</v>
      </c>
      <c r="AY33" s="208">
        <f>AY32*'0.2.Parameters'!$H$12</f>
        <v>720</v>
      </c>
      <c r="AZ33" s="208">
        <f>AZ32*'0.2.Parameters'!$H$12</f>
        <v>744</v>
      </c>
      <c r="BA33" s="208">
        <f>BA32*'0.2.Parameters'!$H$12</f>
        <v>744</v>
      </c>
      <c r="BB33" s="208">
        <f>BB32*'0.2.Parameters'!$H$12</f>
        <v>720</v>
      </c>
      <c r="BC33" s="208">
        <f>BC32*'0.2.Parameters'!$H$12</f>
        <v>744</v>
      </c>
      <c r="BD33" s="208">
        <f>BD32*'0.2.Parameters'!$H$12</f>
        <v>720</v>
      </c>
      <c r="BE33" s="208">
        <f>BE32*'0.2.Parameters'!$H$12</f>
        <v>744</v>
      </c>
      <c r="BF33" s="208">
        <f>BF32*'0.2.Parameters'!$H$12</f>
        <v>744</v>
      </c>
      <c r="BG33" s="208">
        <f>BG32*'0.2.Parameters'!$H$12</f>
        <v>696</v>
      </c>
      <c r="BH33" s="208">
        <f>BH32*'0.2.Parameters'!$H$12</f>
        <v>744</v>
      </c>
      <c r="BI33" s="208">
        <f>BI32*'0.2.Parameters'!$H$12</f>
        <v>720</v>
      </c>
      <c r="BJ33" s="208">
        <f>BJ32*'0.2.Parameters'!$H$12</f>
        <v>744</v>
      </c>
      <c r="BK33" s="208">
        <f>BK32*'0.2.Parameters'!$H$12</f>
        <v>720</v>
      </c>
      <c r="BL33" s="208">
        <f>BL32*'0.2.Parameters'!$H$12</f>
        <v>744</v>
      </c>
      <c r="BM33" s="208">
        <f>BM32*'0.2.Parameters'!$H$12</f>
        <v>744</v>
      </c>
      <c r="BN33" s="208">
        <f>BN32*'0.2.Parameters'!$H$12</f>
        <v>720</v>
      </c>
      <c r="BO33" s="208">
        <f>BO32*'0.2.Parameters'!$H$12</f>
        <v>744</v>
      </c>
      <c r="BP33" s="208">
        <f>BP32*'0.2.Parameters'!$H$12</f>
        <v>720</v>
      </c>
      <c r="BQ33" s="208">
        <f>BQ32*'0.2.Parameters'!$H$12</f>
        <v>744</v>
      </c>
      <c r="BR33" s="208">
        <f>BR32*'0.2.Parameters'!$H$12</f>
        <v>744</v>
      </c>
      <c r="BS33" s="208">
        <f>BS32*'0.2.Parameters'!$H$12</f>
        <v>672</v>
      </c>
      <c r="BT33" s="208">
        <f>BT32*'0.2.Parameters'!$H$12</f>
        <v>744</v>
      </c>
      <c r="BU33" s="208">
        <f>BU32*'0.2.Parameters'!$H$12</f>
        <v>720</v>
      </c>
      <c r="BV33" s="208">
        <f>BV32*'0.2.Parameters'!$H$12</f>
        <v>744</v>
      </c>
      <c r="BW33" s="208">
        <f>BW32*'0.2.Parameters'!$H$12</f>
        <v>720</v>
      </c>
      <c r="BX33" s="208">
        <f>BX32*'0.2.Parameters'!$H$12</f>
        <v>744</v>
      </c>
      <c r="BY33" s="208">
        <f>BY32*'0.2.Parameters'!$H$12</f>
        <v>744</v>
      </c>
      <c r="BZ33" s="208">
        <f>BZ32*'0.2.Parameters'!$H$12</f>
        <v>720</v>
      </c>
      <c r="CA33" s="208">
        <f>CA32*'0.2.Parameters'!$H$12</f>
        <v>744</v>
      </c>
      <c r="CB33" s="208">
        <f>CB32*'0.2.Parameters'!$H$12</f>
        <v>720</v>
      </c>
      <c r="CC33" s="208">
        <f>CC32*'0.2.Parameters'!$H$12</f>
        <v>744</v>
      </c>
      <c r="CD33" s="208">
        <f>CD32*'0.2.Parameters'!$H$12</f>
        <v>744</v>
      </c>
      <c r="CE33" s="208">
        <f>CE32*'0.2.Parameters'!$H$12</f>
        <v>672</v>
      </c>
      <c r="CF33" s="208">
        <f>CF32*'0.2.Parameters'!$H$12</f>
        <v>744</v>
      </c>
      <c r="CG33" s="208">
        <f>CG32*'0.2.Parameters'!$H$12</f>
        <v>720</v>
      </c>
      <c r="CH33" s="208">
        <f>CH32*'0.2.Parameters'!$H$12</f>
        <v>744</v>
      </c>
      <c r="CI33" s="208">
        <f>CI32*'0.2.Parameters'!$H$12</f>
        <v>720</v>
      </c>
      <c r="CJ33" s="208">
        <f>CJ32*'0.2.Parameters'!$H$12</f>
        <v>744</v>
      </c>
      <c r="CK33" s="208">
        <f>CK32*'0.2.Parameters'!$H$12</f>
        <v>744</v>
      </c>
      <c r="CL33" s="208">
        <f>CL32*'0.2.Parameters'!$H$12</f>
        <v>720</v>
      </c>
      <c r="CM33" s="208">
        <f>CM32*'0.2.Parameters'!$H$12</f>
        <v>744</v>
      </c>
      <c r="CN33" s="208">
        <f>CN32*'0.2.Parameters'!$H$12</f>
        <v>720</v>
      </c>
      <c r="CO33" s="208">
        <f>CO32*'0.2.Parameters'!$H$12</f>
        <v>744</v>
      </c>
      <c r="CP33" s="208">
        <f>CP32*'0.2.Parameters'!$H$12</f>
        <v>744</v>
      </c>
      <c r="CQ33" s="208">
        <f>CQ32*'0.2.Parameters'!$H$12</f>
        <v>672</v>
      </c>
      <c r="CR33" s="208">
        <f>CR32*'0.2.Parameters'!$H$12</f>
        <v>744</v>
      </c>
      <c r="CS33" s="208">
        <f>CS32*'0.2.Parameters'!$H$12</f>
        <v>720</v>
      </c>
      <c r="CT33" s="208">
        <f>CT32*'0.2.Parameters'!$H$12</f>
        <v>744</v>
      </c>
      <c r="CU33" s="208">
        <f>CU32*'0.2.Parameters'!$H$12</f>
        <v>720</v>
      </c>
      <c r="CV33" s="208">
        <f>CV32*'0.2.Parameters'!$H$12</f>
        <v>744</v>
      </c>
      <c r="CW33" s="208">
        <f>CW32*'0.2.Parameters'!$H$12</f>
        <v>744</v>
      </c>
      <c r="CX33" s="208">
        <f>CX32*'0.2.Parameters'!$H$12</f>
        <v>720</v>
      </c>
      <c r="CY33" s="208">
        <f>CY32*'0.2.Parameters'!$H$12</f>
        <v>744</v>
      </c>
      <c r="CZ33" s="208">
        <f>CZ32*'0.2.Parameters'!$H$12</f>
        <v>720</v>
      </c>
      <c r="DA33" s="208">
        <f>DA32*'0.2.Parameters'!$H$12</f>
        <v>744</v>
      </c>
      <c r="DB33" s="208">
        <f>DB32*'0.2.Parameters'!$H$12</f>
        <v>744</v>
      </c>
      <c r="DC33" s="208">
        <f>DC32*'0.2.Parameters'!$H$12</f>
        <v>696</v>
      </c>
      <c r="DD33" s="208">
        <f>DD32*'0.2.Parameters'!$H$12</f>
        <v>744</v>
      </c>
      <c r="DE33" s="208">
        <f>DE32*'0.2.Parameters'!$H$12</f>
        <v>720</v>
      </c>
      <c r="DF33" s="208">
        <f>DF32*'0.2.Parameters'!$H$12</f>
        <v>744</v>
      </c>
      <c r="DG33" s="208">
        <f>DG32*'0.2.Parameters'!$H$12</f>
        <v>720</v>
      </c>
      <c r="DH33" s="208">
        <f>DH32*'0.2.Parameters'!$H$12</f>
        <v>744</v>
      </c>
      <c r="DI33" s="208">
        <f>DI32*'0.2.Parameters'!$H$12</f>
        <v>744</v>
      </c>
      <c r="DJ33" s="208">
        <f>DJ32*'0.2.Parameters'!$H$12</f>
        <v>720</v>
      </c>
      <c r="DK33" s="208">
        <f>DK32*'0.2.Parameters'!$H$12</f>
        <v>744</v>
      </c>
      <c r="DL33" s="208">
        <f>DL32*'0.2.Parameters'!$H$12</f>
        <v>720</v>
      </c>
      <c r="DM33" s="208">
        <f>DM32*'0.2.Parameters'!$H$12</f>
        <v>744</v>
      </c>
    </row>
    <row r="34" spans="1:119" ht="12" customHeight="1" x14ac:dyDescent="0.25">
      <c r="A34" s="39"/>
      <c r="F34" s="10" t="s">
        <v>13</v>
      </c>
      <c r="G34" s="10" t="s">
        <v>12</v>
      </c>
      <c r="J34" s="208" t="str">
        <f>IF(J29=YEAR('0.2.Parameters'!$H$13),"Estimate",IF(J29&lt;YEAR('0.2.Parameters'!$H$13),"Actual","Forecast"))</f>
        <v>Actual</v>
      </c>
      <c r="K34" s="208" t="str">
        <f>IF(K29=YEAR('0.2.Parameters'!$H$13),"Estimate",IF(K29&lt;YEAR('0.2.Parameters'!$H$13),"Actual","Forecast"))</f>
        <v>Actual</v>
      </c>
      <c r="L34" s="208" t="str">
        <f>IF(L29=YEAR('0.2.Parameters'!$H$13),"Estimate",IF(L29&lt;YEAR('0.2.Parameters'!$H$13),"Actual","Forecast"))</f>
        <v>Actual</v>
      </c>
      <c r="M34" s="208" t="str">
        <f>IF(M29=YEAR('0.2.Parameters'!$H$13),"Estimate",IF(M29&lt;YEAR('0.2.Parameters'!$H$13),"Actual","Forecast"))</f>
        <v>Actual</v>
      </c>
      <c r="N34" s="208" t="str">
        <f>IF(N29=YEAR('0.2.Parameters'!$H$13),"Estimate",IF(N29&lt;YEAR('0.2.Parameters'!$H$13),"Actual","Forecast"))</f>
        <v>Actual</v>
      </c>
      <c r="O34" s="208" t="str">
        <f>IF(O29=YEAR('0.2.Parameters'!$H$13),"Estimate",IF(O29&lt;YEAR('0.2.Parameters'!$H$13),"Actual","Forecast"))</f>
        <v>Actual</v>
      </c>
      <c r="P34" s="208" t="str">
        <f>IF(P29=YEAR('0.2.Parameters'!$H$13),"Estimate",IF(P29&lt;YEAR('0.2.Parameters'!$H$13),"Actual","Forecast"))</f>
        <v>Actual</v>
      </c>
      <c r="Q34" s="208" t="str">
        <f>IF(Q29=YEAR('0.2.Parameters'!$H$13),"Estimate",IF(Q29&lt;YEAR('0.2.Parameters'!$H$13),"Actual","Forecast"))</f>
        <v>Actual</v>
      </c>
      <c r="R34" s="208" t="str">
        <f>IF(R29=YEAR('0.2.Parameters'!$H$13),"Estimate",IF(R29&lt;YEAR('0.2.Parameters'!$H$13),"Actual","Forecast"))</f>
        <v>Actual</v>
      </c>
      <c r="S34" s="208" t="str">
        <f>IF(S29=YEAR('0.2.Parameters'!$H$13),"Estimate",IF(S29&lt;YEAR('0.2.Parameters'!$H$13),"Actual","Forecast"))</f>
        <v>Actual</v>
      </c>
      <c r="T34" s="208" t="str">
        <f>IF(T29=YEAR('0.2.Parameters'!$H$13),"Estimate",IF(T29&lt;YEAR('0.2.Parameters'!$H$13),"Actual","Forecast"))</f>
        <v>Actual</v>
      </c>
      <c r="U34" s="208" t="str">
        <f>IF(U29=YEAR('0.2.Parameters'!$H$13),"Estimate",IF(U29&lt;YEAR('0.2.Parameters'!$H$13),"Actual","Forecast"))</f>
        <v>Actual</v>
      </c>
      <c r="V34" s="208" t="str">
        <f>IF(V29=YEAR('0.2.Parameters'!$H$13),"Estimate",IF(V29&lt;YEAR('0.2.Parameters'!$H$13),"Actual","Forecast"))</f>
        <v>Actual</v>
      </c>
      <c r="W34" s="208" t="str">
        <f>IF(W29=YEAR('0.2.Parameters'!$H$13),"Estimate",IF(W29&lt;YEAR('0.2.Parameters'!$H$13),"Actual","Forecast"))</f>
        <v>Actual</v>
      </c>
      <c r="X34" s="208" t="str">
        <f>IF(X29=YEAR('0.2.Parameters'!$H$13),"Estimate",IF(X29&lt;YEAR('0.2.Parameters'!$H$13),"Actual","Forecast"))</f>
        <v>Actual</v>
      </c>
      <c r="Y34" s="208" t="str">
        <f>IF(Y29=YEAR('0.2.Parameters'!$H$13),"Estimate",IF(Y29&lt;YEAR('0.2.Parameters'!$H$13),"Actual","Forecast"))</f>
        <v>Actual</v>
      </c>
      <c r="Z34" s="208" t="str">
        <f>IF(Z29=YEAR('0.2.Parameters'!$H$13),"Estimate",IF(Z29&lt;YEAR('0.2.Parameters'!$H$13),"Actual","Forecast"))</f>
        <v>Actual</v>
      </c>
      <c r="AA34" s="208" t="str">
        <f>IF(AA29=YEAR('0.2.Parameters'!$H$13),"Estimate",IF(AA29&lt;YEAR('0.2.Parameters'!$H$13),"Actual","Forecast"))</f>
        <v>Actual</v>
      </c>
      <c r="AB34" s="208" t="str">
        <f>IF(AB29=YEAR('0.2.Parameters'!$H$13),"Estimate",IF(AB29&lt;YEAR('0.2.Parameters'!$H$13),"Actual","Forecast"))</f>
        <v>Actual</v>
      </c>
      <c r="AC34" s="208" t="str">
        <f>IF(AC29=YEAR('0.2.Parameters'!$H$13),"Estimate",IF(AC29&lt;YEAR('0.2.Parameters'!$H$13),"Actual","Forecast"))</f>
        <v>Actual</v>
      </c>
      <c r="AD34" s="208" t="str">
        <f>IF(AD29=YEAR('0.2.Parameters'!$H$13),"Estimate",IF(AD29&lt;YEAR('0.2.Parameters'!$H$13),"Actual","Forecast"))</f>
        <v>Actual</v>
      </c>
      <c r="AE34" s="208" t="str">
        <f>IF(AE29=YEAR('0.2.Parameters'!$H$13),"Estimate",IF(AE29&lt;YEAR('0.2.Parameters'!$H$13),"Actual","Forecast"))</f>
        <v>Actual</v>
      </c>
      <c r="AF34" s="208" t="str">
        <f>IF(AF29=YEAR('0.2.Parameters'!$H$13),"Estimate",IF(AF29&lt;YEAR('0.2.Parameters'!$H$13),"Actual","Forecast"))</f>
        <v>Actual</v>
      </c>
      <c r="AG34" s="208" t="str">
        <f>IF(AG29=YEAR('0.2.Parameters'!$H$13),"Estimate",IF(AG29&lt;YEAR('0.2.Parameters'!$H$13),"Actual","Forecast"))</f>
        <v>Actual</v>
      </c>
      <c r="AH34" s="208" t="str">
        <f>IF(AH29=YEAR('0.2.Parameters'!$H$13),"Estimate",IF(AH29&lt;YEAR('0.2.Parameters'!$H$13),"Actual","Forecast"))</f>
        <v>Actual</v>
      </c>
      <c r="AI34" s="208" t="str">
        <f>IF(AI29=YEAR('0.2.Parameters'!$H$13),"Estimate",IF(AI29&lt;YEAR('0.2.Parameters'!$H$13),"Actual","Forecast"))</f>
        <v>Actual</v>
      </c>
      <c r="AJ34" s="208" t="str">
        <f>IF(AJ29=YEAR('0.2.Parameters'!$H$13),"Estimate",IF(AJ29&lt;YEAR('0.2.Parameters'!$H$13),"Actual","Forecast"))</f>
        <v>Actual</v>
      </c>
      <c r="AK34" s="208" t="str">
        <f>IF(AK29=YEAR('0.2.Parameters'!$H$13),"Estimate",IF(AK29&lt;YEAR('0.2.Parameters'!$H$13),"Actual","Forecast"))</f>
        <v>Actual</v>
      </c>
      <c r="AL34" s="208" t="str">
        <f>IF(AL29=YEAR('0.2.Parameters'!$H$13),"Estimate",IF(AL29&lt;YEAR('0.2.Parameters'!$H$13),"Actual","Forecast"))</f>
        <v>Actual</v>
      </c>
      <c r="AM34" s="208" t="str">
        <f>IF(AM29=YEAR('0.2.Parameters'!$H$13),"Estimate",IF(AM29&lt;YEAR('0.2.Parameters'!$H$13),"Actual","Forecast"))</f>
        <v>Actual</v>
      </c>
      <c r="AN34" s="208" t="str">
        <f>IF(AN29=YEAR('0.2.Parameters'!$H$13),"Estimate",IF(AN29&lt;YEAR('0.2.Parameters'!$H$13),"Actual","Forecast"))</f>
        <v>Actual</v>
      </c>
      <c r="AO34" s="208" t="str">
        <f>IF(AO29=YEAR('0.2.Parameters'!$H$13),"Estimate",IF(AO29&lt;YEAR('0.2.Parameters'!$H$13),"Actual","Forecast"))</f>
        <v>Actual</v>
      </c>
      <c r="AP34" s="208" t="str">
        <f>IF(AP29=YEAR('0.2.Parameters'!$H$13),"Estimate",IF(AP29&lt;YEAR('0.2.Parameters'!$H$13),"Actual","Forecast"))</f>
        <v>Actual</v>
      </c>
      <c r="AQ34" s="208" t="str">
        <f>IF(AQ29=YEAR('0.2.Parameters'!$H$13),"Estimate",IF(AQ29&lt;YEAR('0.2.Parameters'!$H$13),"Actual","Forecast"))</f>
        <v>Actual</v>
      </c>
      <c r="AR34" s="208" t="str">
        <f>IF(AR29=YEAR('0.2.Parameters'!$H$13),"Estimate",IF(AR29&lt;YEAR('0.2.Parameters'!$H$13),"Actual","Forecast"))</f>
        <v>Actual</v>
      </c>
      <c r="AS34" s="208" t="str">
        <f>IF(AS29=YEAR('0.2.Parameters'!$H$13),"Estimate",IF(AS29&lt;YEAR('0.2.Parameters'!$H$13),"Actual","Forecast"))</f>
        <v>Actual</v>
      </c>
      <c r="AT34" s="208" t="str">
        <f>IF(AT29=YEAR('0.2.Parameters'!$H$13),"Estimate",IF(AT29&lt;YEAR('0.2.Parameters'!$H$13),"Actual","Forecast"))</f>
        <v>Estimate</v>
      </c>
      <c r="AU34" s="208" t="str">
        <f>IF(AU29=YEAR('0.2.Parameters'!$H$13),"Estimate",IF(AU29&lt;YEAR('0.2.Parameters'!$H$13),"Actual","Forecast"))</f>
        <v>Estimate</v>
      </c>
      <c r="AV34" s="208" t="str">
        <f>IF(AV29=YEAR('0.2.Parameters'!$H$13),"Estimate",IF(AV29&lt;YEAR('0.2.Parameters'!$H$13),"Actual","Forecast"))</f>
        <v>Estimate</v>
      </c>
      <c r="AW34" s="208" t="str">
        <f>IF(AW29=YEAR('0.2.Parameters'!$H$13),"Estimate",IF(AW29&lt;YEAR('0.2.Parameters'!$H$13),"Actual","Forecast"))</f>
        <v>Estimate</v>
      </c>
      <c r="AX34" s="208" t="str">
        <f>IF(AX29=YEAR('0.2.Parameters'!$H$13),"Estimate",IF(AX29&lt;YEAR('0.2.Parameters'!$H$13),"Actual","Forecast"))</f>
        <v>Estimate</v>
      </c>
      <c r="AY34" s="208" t="str">
        <f>IF(AY29=YEAR('0.2.Parameters'!$H$13),"Estimate",IF(AY29&lt;YEAR('0.2.Parameters'!$H$13),"Actual","Forecast"))</f>
        <v>Estimate</v>
      </c>
      <c r="AZ34" s="208" t="str">
        <f>IF(AZ29=YEAR('0.2.Parameters'!$H$13),"Estimate",IF(AZ29&lt;YEAR('0.2.Parameters'!$H$13),"Actual","Forecast"))</f>
        <v>Estimate</v>
      </c>
      <c r="BA34" s="208" t="str">
        <f>IF(BA29=YEAR('0.2.Parameters'!$H$13),"Estimate",IF(BA29&lt;YEAR('0.2.Parameters'!$H$13),"Actual","Forecast"))</f>
        <v>Estimate</v>
      </c>
      <c r="BB34" s="208" t="str">
        <f>IF(BB29=YEAR('0.2.Parameters'!$H$13),"Estimate",IF(BB29&lt;YEAR('0.2.Parameters'!$H$13),"Actual","Forecast"))</f>
        <v>Estimate</v>
      </c>
      <c r="BC34" s="208" t="str">
        <f>IF(BC29=YEAR('0.2.Parameters'!$H$13),"Estimate",IF(BC29&lt;YEAR('0.2.Parameters'!$H$13),"Actual","Forecast"))</f>
        <v>Estimate</v>
      </c>
      <c r="BD34" s="208" t="str">
        <f>IF(BD29=YEAR('0.2.Parameters'!$H$13),"Estimate",IF(BD29&lt;YEAR('0.2.Parameters'!$H$13),"Actual","Forecast"))</f>
        <v>Estimate</v>
      </c>
      <c r="BE34" s="208" t="str">
        <f>IF(BE29=YEAR('0.2.Parameters'!$H$13),"Estimate",IF(BE29&lt;YEAR('0.2.Parameters'!$H$13),"Actual","Forecast"))</f>
        <v>Estimate</v>
      </c>
      <c r="BF34" s="208" t="str">
        <f>IF(BF29=YEAR('0.2.Parameters'!$H$13),"Estimate",IF(BF29&lt;YEAR('0.2.Parameters'!$H$13),"Actual","Forecast"))</f>
        <v>Forecast</v>
      </c>
      <c r="BG34" s="208" t="str">
        <f>IF(BG29=YEAR('0.2.Parameters'!$H$13),"Estimate",IF(BG29&lt;YEAR('0.2.Parameters'!$H$13),"Actual","Forecast"))</f>
        <v>Forecast</v>
      </c>
      <c r="BH34" s="208" t="str">
        <f>IF(BH29=YEAR('0.2.Parameters'!$H$13),"Estimate",IF(BH29&lt;YEAR('0.2.Parameters'!$H$13),"Actual","Forecast"))</f>
        <v>Forecast</v>
      </c>
      <c r="BI34" s="208" t="str">
        <f>IF(BI29=YEAR('0.2.Parameters'!$H$13),"Estimate",IF(BI29&lt;YEAR('0.2.Parameters'!$H$13),"Actual","Forecast"))</f>
        <v>Forecast</v>
      </c>
      <c r="BJ34" s="208" t="str">
        <f>IF(BJ29=YEAR('0.2.Parameters'!$H$13),"Estimate",IF(BJ29&lt;YEAR('0.2.Parameters'!$H$13),"Actual","Forecast"))</f>
        <v>Forecast</v>
      </c>
      <c r="BK34" s="208" t="str">
        <f>IF(BK29=YEAR('0.2.Parameters'!$H$13),"Estimate",IF(BK29&lt;YEAR('0.2.Parameters'!$H$13),"Actual","Forecast"))</f>
        <v>Forecast</v>
      </c>
      <c r="BL34" s="208" t="str">
        <f>IF(BL29=YEAR('0.2.Parameters'!$H$13),"Estimate",IF(BL29&lt;YEAR('0.2.Parameters'!$H$13),"Actual","Forecast"))</f>
        <v>Forecast</v>
      </c>
      <c r="BM34" s="208" t="str">
        <f>IF(BM29=YEAR('0.2.Parameters'!$H$13),"Estimate",IF(BM29&lt;YEAR('0.2.Parameters'!$H$13),"Actual","Forecast"))</f>
        <v>Forecast</v>
      </c>
      <c r="BN34" s="208" t="str">
        <f>IF(BN29=YEAR('0.2.Parameters'!$H$13),"Estimate",IF(BN29&lt;YEAR('0.2.Parameters'!$H$13),"Actual","Forecast"))</f>
        <v>Forecast</v>
      </c>
      <c r="BO34" s="208" t="str">
        <f>IF(BO29=YEAR('0.2.Parameters'!$H$13),"Estimate",IF(BO29&lt;YEAR('0.2.Parameters'!$H$13),"Actual","Forecast"))</f>
        <v>Forecast</v>
      </c>
      <c r="BP34" s="208" t="str">
        <f>IF(BP29=YEAR('0.2.Parameters'!$H$13),"Estimate",IF(BP29&lt;YEAR('0.2.Parameters'!$H$13),"Actual","Forecast"))</f>
        <v>Forecast</v>
      </c>
      <c r="BQ34" s="208" t="str">
        <f>IF(BQ29=YEAR('0.2.Parameters'!$H$13),"Estimate",IF(BQ29&lt;YEAR('0.2.Parameters'!$H$13),"Actual","Forecast"))</f>
        <v>Forecast</v>
      </c>
      <c r="BR34" s="208" t="str">
        <f>IF(BR29=YEAR('0.2.Parameters'!$H$13),"Estimate",IF(BR29&lt;YEAR('0.2.Parameters'!$H$13),"Actual","Forecast"))</f>
        <v>Forecast</v>
      </c>
      <c r="BS34" s="208" t="str">
        <f>IF(BS29=YEAR('0.2.Parameters'!$H$13),"Estimate",IF(BS29&lt;YEAR('0.2.Parameters'!$H$13),"Actual","Forecast"))</f>
        <v>Forecast</v>
      </c>
      <c r="BT34" s="208" t="str">
        <f>IF(BT29=YEAR('0.2.Parameters'!$H$13),"Estimate",IF(BT29&lt;YEAR('0.2.Parameters'!$H$13),"Actual","Forecast"))</f>
        <v>Forecast</v>
      </c>
      <c r="BU34" s="208" t="str">
        <f>IF(BU29=YEAR('0.2.Parameters'!$H$13),"Estimate",IF(BU29&lt;YEAR('0.2.Parameters'!$H$13),"Actual","Forecast"))</f>
        <v>Forecast</v>
      </c>
      <c r="BV34" s="208" t="str">
        <f>IF(BV29=YEAR('0.2.Parameters'!$H$13),"Estimate",IF(BV29&lt;YEAR('0.2.Parameters'!$H$13),"Actual","Forecast"))</f>
        <v>Forecast</v>
      </c>
      <c r="BW34" s="208" t="str">
        <f>IF(BW29=YEAR('0.2.Parameters'!$H$13),"Estimate",IF(BW29&lt;YEAR('0.2.Parameters'!$H$13),"Actual","Forecast"))</f>
        <v>Forecast</v>
      </c>
      <c r="BX34" s="208" t="str">
        <f>IF(BX29=YEAR('0.2.Parameters'!$H$13),"Estimate",IF(BX29&lt;YEAR('0.2.Parameters'!$H$13),"Actual","Forecast"))</f>
        <v>Forecast</v>
      </c>
      <c r="BY34" s="208" t="str">
        <f>IF(BY29=YEAR('0.2.Parameters'!$H$13),"Estimate",IF(BY29&lt;YEAR('0.2.Parameters'!$H$13),"Actual","Forecast"))</f>
        <v>Forecast</v>
      </c>
      <c r="BZ34" s="208" t="str">
        <f>IF(BZ29=YEAR('0.2.Parameters'!$H$13),"Estimate",IF(BZ29&lt;YEAR('0.2.Parameters'!$H$13),"Actual","Forecast"))</f>
        <v>Forecast</v>
      </c>
      <c r="CA34" s="208" t="str">
        <f>IF(CA29=YEAR('0.2.Parameters'!$H$13),"Estimate",IF(CA29&lt;YEAR('0.2.Parameters'!$H$13),"Actual","Forecast"))</f>
        <v>Forecast</v>
      </c>
      <c r="CB34" s="208" t="str">
        <f>IF(CB29=YEAR('0.2.Parameters'!$H$13),"Estimate",IF(CB29&lt;YEAR('0.2.Parameters'!$H$13),"Actual","Forecast"))</f>
        <v>Forecast</v>
      </c>
      <c r="CC34" s="208" t="str">
        <f>IF(CC29=YEAR('0.2.Parameters'!$H$13),"Estimate",IF(CC29&lt;YEAR('0.2.Parameters'!$H$13),"Actual","Forecast"))</f>
        <v>Forecast</v>
      </c>
      <c r="CD34" s="208" t="str">
        <f>IF(CD29=YEAR('0.2.Parameters'!$H$13),"Estimate",IF(CD29&lt;YEAR('0.2.Parameters'!$H$13),"Actual","Forecast"))</f>
        <v>Forecast</v>
      </c>
      <c r="CE34" s="208" t="str">
        <f>IF(CE29=YEAR('0.2.Parameters'!$H$13),"Estimate",IF(CE29&lt;YEAR('0.2.Parameters'!$H$13),"Actual","Forecast"))</f>
        <v>Forecast</v>
      </c>
      <c r="CF34" s="208" t="str">
        <f>IF(CF29=YEAR('0.2.Parameters'!$H$13),"Estimate",IF(CF29&lt;YEAR('0.2.Parameters'!$H$13),"Actual","Forecast"))</f>
        <v>Forecast</v>
      </c>
      <c r="CG34" s="208" t="str">
        <f>IF(CG29=YEAR('0.2.Parameters'!$H$13),"Estimate",IF(CG29&lt;YEAR('0.2.Parameters'!$H$13),"Actual","Forecast"))</f>
        <v>Forecast</v>
      </c>
      <c r="CH34" s="208" t="str">
        <f>IF(CH29=YEAR('0.2.Parameters'!$H$13),"Estimate",IF(CH29&lt;YEAR('0.2.Parameters'!$H$13),"Actual","Forecast"))</f>
        <v>Forecast</v>
      </c>
      <c r="CI34" s="208" t="str">
        <f>IF(CI29=YEAR('0.2.Parameters'!$H$13),"Estimate",IF(CI29&lt;YEAR('0.2.Parameters'!$H$13),"Actual","Forecast"))</f>
        <v>Forecast</v>
      </c>
      <c r="CJ34" s="208" t="str">
        <f>IF(CJ29=YEAR('0.2.Parameters'!$H$13),"Estimate",IF(CJ29&lt;YEAR('0.2.Parameters'!$H$13),"Actual","Forecast"))</f>
        <v>Forecast</v>
      </c>
      <c r="CK34" s="208" t="str">
        <f>IF(CK29=YEAR('0.2.Parameters'!$H$13),"Estimate",IF(CK29&lt;YEAR('0.2.Parameters'!$H$13),"Actual","Forecast"))</f>
        <v>Forecast</v>
      </c>
      <c r="CL34" s="208" t="str">
        <f>IF(CL29=YEAR('0.2.Parameters'!$H$13),"Estimate",IF(CL29&lt;YEAR('0.2.Parameters'!$H$13),"Actual","Forecast"))</f>
        <v>Forecast</v>
      </c>
      <c r="CM34" s="208" t="str">
        <f>IF(CM29=YEAR('0.2.Parameters'!$H$13),"Estimate",IF(CM29&lt;YEAR('0.2.Parameters'!$H$13),"Actual","Forecast"))</f>
        <v>Forecast</v>
      </c>
      <c r="CN34" s="208" t="str">
        <f>IF(CN29=YEAR('0.2.Parameters'!$H$13),"Estimate",IF(CN29&lt;YEAR('0.2.Parameters'!$H$13),"Actual","Forecast"))</f>
        <v>Forecast</v>
      </c>
      <c r="CO34" s="208" t="str">
        <f>IF(CO29=YEAR('0.2.Parameters'!$H$13),"Estimate",IF(CO29&lt;YEAR('0.2.Parameters'!$H$13),"Actual","Forecast"))</f>
        <v>Forecast</v>
      </c>
      <c r="CP34" s="208" t="str">
        <f>IF(CP29=YEAR('0.2.Parameters'!$H$13),"Estimate",IF(CP29&lt;YEAR('0.2.Parameters'!$H$13),"Actual","Forecast"))</f>
        <v>Forecast</v>
      </c>
      <c r="CQ34" s="208" t="str">
        <f>IF(CQ29=YEAR('0.2.Parameters'!$H$13),"Estimate",IF(CQ29&lt;YEAR('0.2.Parameters'!$H$13),"Actual","Forecast"))</f>
        <v>Forecast</v>
      </c>
      <c r="CR34" s="208" t="str">
        <f>IF(CR29=YEAR('0.2.Parameters'!$H$13),"Estimate",IF(CR29&lt;YEAR('0.2.Parameters'!$H$13),"Actual","Forecast"))</f>
        <v>Forecast</v>
      </c>
      <c r="CS34" s="208" t="str">
        <f>IF(CS29=YEAR('0.2.Parameters'!$H$13),"Estimate",IF(CS29&lt;YEAR('0.2.Parameters'!$H$13),"Actual","Forecast"))</f>
        <v>Forecast</v>
      </c>
      <c r="CT34" s="208" t="str">
        <f>IF(CT29=YEAR('0.2.Parameters'!$H$13),"Estimate",IF(CT29&lt;YEAR('0.2.Parameters'!$H$13),"Actual","Forecast"))</f>
        <v>Forecast</v>
      </c>
      <c r="CU34" s="208" t="str">
        <f>IF(CU29=YEAR('0.2.Parameters'!$H$13),"Estimate",IF(CU29&lt;YEAR('0.2.Parameters'!$H$13),"Actual","Forecast"))</f>
        <v>Forecast</v>
      </c>
      <c r="CV34" s="208" t="str">
        <f>IF(CV29=YEAR('0.2.Parameters'!$H$13),"Estimate",IF(CV29&lt;YEAR('0.2.Parameters'!$H$13),"Actual","Forecast"))</f>
        <v>Forecast</v>
      </c>
      <c r="CW34" s="208" t="str">
        <f>IF(CW29=YEAR('0.2.Parameters'!$H$13),"Estimate",IF(CW29&lt;YEAR('0.2.Parameters'!$H$13),"Actual","Forecast"))</f>
        <v>Forecast</v>
      </c>
      <c r="CX34" s="208" t="str">
        <f>IF(CX29=YEAR('0.2.Parameters'!$H$13),"Estimate",IF(CX29&lt;YEAR('0.2.Parameters'!$H$13),"Actual","Forecast"))</f>
        <v>Forecast</v>
      </c>
      <c r="CY34" s="208" t="str">
        <f>IF(CY29=YEAR('0.2.Parameters'!$H$13),"Estimate",IF(CY29&lt;YEAR('0.2.Parameters'!$H$13),"Actual","Forecast"))</f>
        <v>Forecast</v>
      </c>
      <c r="CZ34" s="208" t="str">
        <f>IF(CZ29=YEAR('0.2.Parameters'!$H$13),"Estimate",IF(CZ29&lt;YEAR('0.2.Parameters'!$H$13),"Actual","Forecast"))</f>
        <v>Forecast</v>
      </c>
      <c r="DA34" s="208" t="str">
        <f>IF(DA29=YEAR('0.2.Parameters'!$H$13),"Estimate",IF(DA29&lt;YEAR('0.2.Parameters'!$H$13),"Actual","Forecast"))</f>
        <v>Forecast</v>
      </c>
      <c r="DB34" s="208" t="str">
        <f>IF(DB29=YEAR('0.2.Parameters'!$H$13),"Estimate",IF(DB29&lt;YEAR('0.2.Parameters'!$H$13),"Actual","Forecast"))</f>
        <v>Forecast</v>
      </c>
      <c r="DC34" s="208" t="str">
        <f>IF(DC29=YEAR('0.2.Parameters'!$H$13),"Estimate",IF(DC29&lt;YEAR('0.2.Parameters'!$H$13),"Actual","Forecast"))</f>
        <v>Forecast</v>
      </c>
      <c r="DD34" s="208" t="str">
        <f>IF(DD29=YEAR('0.2.Parameters'!$H$13),"Estimate",IF(DD29&lt;YEAR('0.2.Parameters'!$H$13),"Actual","Forecast"))</f>
        <v>Forecast</v>
      </c>
      <c r="DE34" s="208" t="str">
        <f>IF(DE29=YEAR('0.2.Parameters'!$H$13),"Estimate",IF(DE29&lt;YEAR('0.2.Parameters'!$H$13),"Actual","Forecast"))</f>
        <v>Forecast</v>
      </c>
      <c r="DF34" s="208" t="str">
        <f>IF(DF29=YEAR('0.2.Parameters'!$H$13),"Estimate",IF(DF29&lt;YEAR('0.2.Parameters'!$H$13),"Actual","Forecast"))</f>
        <v>Forecast</v>
      </c>
      <c r="DG34" s="208" t="str">
        <f>IF(DG29=YEAR('0.2.Parameters'!$H$13),"Estimate",IF(DG29&lt;YEAR('0.2.Parameters'!$H$13),"Actual","Forecast"))</f>
        <v>Forecast</v>
      </c>
      <c r="DH34" s="208" t="str">
        <f>IF(DH29=YEAR('0.2.Parameters'!$H$13),"Estimate",IF(DH29&lt;YEAR('0.2.Parameters'!$H$13),"Actual","Forecast"))</f>
        <v>Forecast</v>
      </c>
      <c r="DI34" s="208" t="str">
        <f>IF(DI29=YEAR('0.2.Parameters'!$H$13),"Estimate",IF(DI29&lt;YEAR('0.2.Parameters'!$H$13),"Actual","Forecast"))</f>
        <v>Forecast</v>
      </c>
      <c r="DJ34" s="208" t="str">
        <f>IF(DJ29=YEAR('0.2.Parameters'!$H$13),"Estimate",IF(DJ29&lt;YEAR('0.2.Parameters'!$H$13),"Actual","Forecast"))</f>
        <v>Forecast</v>
      </c>
      <c r="DK34" s="208" t="str">
        <f>IF(DK29=YEAR('0.2.Parameters'!$H$13),"Estimate",IF(DK29&lt;YEAR('0.2.Parameters'!$H$13),"Actual","Forecast"))</f>
        <v>Forecast</v>
      </c>
      <c r="DL34" s="208" t="str">
        <f>IF(DL29=YEAR('0.2.Parameters'!$H$13),"Estimate",IF(DL29&lt;YEAR('0.2.Parameters'!$H$13),"Actual","Forecast"))</f>
        <v>Forecast</v>
      </c>
      <c r="DM34" s="208" t="str">
        <f>IF(DM29=YEAR('0.2.Parameters'!$H$13),"Estimate",IF(DM29&lt;YEAR('0.2.Parameters'!$H$13),"Actual","Forecast"))</f>
        <v>Forecast</v>
      </c>
    </row>
    <row r="36" spans="1:119" ht="12" customHeight="1" x14ac:dyDescent="0.25">
      <c r="A36" s="63" t="s">
        <v>0</v>
      </c>
      <c r="B36" s="63"/>
      <c r="C36" s="63"/>
      <c r="D36" s="64"/>
      <c r="E36" s="64"/>
      <c r="F36" s="63"/>
      <c r="G36" s="65"/>
      <c r="H36" s="65"/>
      <c r="I36" s="65"/>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c r="AK36" s="68"/>
      <c r="AL36" s="68"/>
      <c r="AM36" s="68"/>
      <c r="AN36" s="68"/>
      <c r="AO36" s="68"/>
      <c r="AP36" s="68"/>
      <c r="AQ36" s="68"/>
      <c r="AR36" s="68"/>
      <c r="AS36" s="68"/>
      <c r="AT36" s="68"/>
      <c r="AU36" s="68"/>
      <c r="AV36" s="68"/>
      <c r="AW36" s="68"/>
      <c r="AX36" s="68"/>
      <c r="AY36" s="68"/>
      <c r="AZ36" s="68"/>
      <c r="BA36" s="68"/>
      <c r="BB36" s="68"/>
      <c r="BC36" s="68"/>
      <c r="BD36" s="68"/>
      <c r="BE36" s="68"/>
      <c r="BF36" s="68"/>
      <c r="BG36" s="68"/>
      <c r="BH36" s="68"/>
      <c r="BI36" s="68"/>
      <c r="BJ36" s="68"/>
      <c r="BK36" s="68"/>
      <c r="BL36" s="68"/>
      <c r="BM36" s="68"/>
      <c r="BN36" s="68"/>
      <c r="BO36" s="68"/>
      <c r="BP36" s="68"/>
      <c r="BQ36" s="68"/>
      <c r="BR36" s="68"/>
      <c r="BS36" s="68"/>
      <c r="BT36" s="68"/>
      <c r="BU36" s="68"/>
      <c r="BV36" s="68"/>
      <c r="BW36" s="68"/>
      <c r="BX36" s="68"/>
      <c r="BY36" s="68"/>
      <c r="BZ36" s="68"/>
      <c r="CA36" s="68"/>
      <c r="CB36" s="68"/>
      <c r="CC36" s="68"/>
      <c r="CD36" s="68"/>
      <c r="CE36" s="68"/>
      <c r="CF36" s="68"/>
      <c r="CG36" s="68"/>
      <c r="CH36" s="68"/>
      <c r="CI36" s="68"/>
      <c r="CJ36" s="68"/>
      <c r="CK36" s="68"/>
      <c r="CL36" s="68"/>
      <c r="CM36" s="68"/>
      <c r="CN36" s="68"/>
      <c r="CO36" s="68"/>
      <c r="CP36" s="68"/>
      <c r="CQ36" s="68"/>
      <c r="CR36" s="68"/>
      <c r="CS36" s="68"/>
      <c r="CT36" s="68"/>
      <c r="CU36" s="68"/>
      <c r="CV36" s="68"/>
      <c r="CW36" s="68"/>
      <c r="CX36" s="68"/>
      <c r="CY36" s="68"/>
      <c r="CZ36" s="68"/>
      <c r="DA36" s="68"/>
      <c r="DB36" s="68"/>
      <c r="DC36" s="68"/>
      <c r="DD36" s="68"/>
      <c r="DE36" s="68"/>
      <c r="DF36" s="68"/>
      <c r="DG36" s="68"/>
      <c r="DH36" s="68"/>
      <c r="DI36" s="68"/>
      <c r="DJ36" s="68"/>
      <c r="DK36" s="68"/>
      <c r="DL36" s="68"/>
      <c r="DM36" s="68"/>
      <c r="DN36" s="68"/>
      <c r="DO36" s="68"/>
    </row>
  </sheetData>
  <conditionalFormatting sqref="A3">
    <cfRule type="containsText" dxfId="27" priority="1" operator="containsText" text="OK">
      <formula>NOT(ISERROR(SEARCH("OK",A3)))</formula>
    </cfRule>
    <cfRule type="containsText" dxfId="26" priority="2" operator="containsText" text="Error">
      <formula>NOT(ISERROR(SEARCH("Error",A3)))</formula>
    </cfRule>
  </conditionalFormatting>
  <pageMargins left="0.7" right="0.7" top="0.75" bottom="0.75" header="0.3" footer="0.3"/>
  <pageSetup paperSize="9" orientation="portrait" r:id="rId1"/>
  <headerFooter>
    <oddFooter>&amp;C&amp;7&amp;B&amp;"Arial"Document Classification: KPMG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1997" r:id="rId4" name="Button 13">
              <controlPr defaultSize="0" autoFill="0" autoPict="0" macro="[0]!scenario1">
                <anchor moveWithCells="1" sizeWithCells="1">
                  <from>
                    <xdr:col>6</xdr:col>
                    <xdr:colOff>518160</xdr:colOff>
                    <xdr:row>1</xdr:row>
                    <xdr:rowOff>0</xdr:rowOff>
                  </from>
                  <to>
                    <xdr:col>7</xdr:col>
                    <xdr:colOff>99060</xdr:colOff>
                    <xdr:row>2</xdr:row>
                    <xdr:rowOff>99060</xdr:rowOff>
                  </to>
                </anchor>
              </controlPr>
            </control>
          </mc:Choice>
        </mc:AlternateContent>
        <mc:AlternateContent xmlns:mc="http://schemas.openxmlformats.org/markup-compatibility/2006">
          <mc:Choice Requires="x14">
            <control shapeId="41998" r:id="rId5" name="Button 14">
              <controlPr defaultSize="0" autoFill="0" autoPict="0" macro="[0]!scenario2">
                <anchor moveWithCells="1" sizeWithCells="1">
                  <from>
                    <xdr:col>7</xdr:col>
                    <xdr:colOff>106680</xdr:colOff>
                    <xdr:row>1</xdr:row>
                    <xdr:rowOff>0</xdr:rowOff>
                  </from>
                  <to>
                    <xdr:col>7</xdr:col>
                    <xdr:colOff>419100</xdr:colOff>
                    <xdr:row>2</xdr:row>
                    <xdr:rowOff>99060</xdr:rowOff>
                  </to>
                </anchor>
              </controlPr>
            </control>
          </mc:Choice>
        </mc:AlternateContent>
        <mc:AlternateContent xmlns:mc="http://schemas.openxmlformats.org/markup-compatibility/2006">
          <mc:Choice Requires="x14">
            <control shapeId="41999" r:id="rId6" name="Button 15">
              <controlPr defaultSize="0" autoFill="0" autoPict="0" macro="[0]!scenario3">
                <anchor moveWithCells="1" sizeWithCells="1">
                  <from>
                    <xdr:col>7</xdr:col>
                    <xdr:colOff>426720</xdr:colOff>
                    <xdr:row>1</xdr:row>
                    <xdr:rowOff>0</xdr:rowOff>
                  </from>
                  <to>
                    <xdr:col>8</xdr:col>
                    <xdr:colOff>0</xdr:colOff>
                    <xdr:row>2</xdr:row>
                    <xdr:rowOff>99060</xdr:rowOff>
                  </to>
                </anchor>
              </controlPr>
            </control>
          </mc:Choice>
        </mc:AlternateContent>
        <mc:AlternateContent xmlns:mc="http://schemas.openxmlformats.org/markup-compatibility/2006">
          <mc:Choice Requires="x14">
            <control shapeId="42000" r:id="rId7" name="Button 16">
              <controlPr defaultSize="0" print="0" autoFill="0" autoPict="0" macro="[0]!Module3.ModelMap">
                <anchor moveWithCells="1" sizeWithCells="1">
                  <from>
                    <xdr:col>5</xdr:col>
                    <xdr:colOff>2331720</xdr:colOff>
                    <xdr:row>1</xdr:row>
                    <xdr:rowOff>0</xdr:rowOff>
                  </from>
                  <to>
                    <xdr:col>6</xdr:col>
                    <xdr:colOff>518160</xdr:colOff>
                    <xdr:row>2</xdr:row>
                    <xdr:rowOff>99060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B2:F45"/>
  <sheetViews>
    <sheetView zoomScale="85" zoomScaleNormal="85" workbookViewId="0">
      <selection activeCell="E26" sqref="E26"/>
    </sheetView>
  </sheetViews>
  <sheetFormatPr defaultRowHeight="13.2" x14ac:dyDescent="0.25"/>
  <cols>
    <col min="1" max="1" width="8.88671875" style="833"/>
    <col min="2" max="2" width="5.44140625" style="834" customWidth="1"/>
    <col min="3" max="3" width="52.44140625" style="833" customWidth="1"/>
    <col min="4" max="4" width="8.88671875" style="833"/>
    <col min="5" max="5" width="15.33203125" style="833" customWidth="1"/>
    <col min="6" max="16384" width="8.88671875" style="833"/>
  </cols>
  <sheetData>
    <row r="2" spans="2:6" ht="26.4" x14ac:dyDescent="0.25">
      <c r="B2" s="836" t="s">
        <v>1194</v>
      </c>
      <c r="C2" s="835" t="s">
        <v>208</v>
      </c>
      <c r="D2" s="835" t="s">
        <v>1195</v>
      </c>
      <c r="E2" s="835" t="s">
        <v>1193</v>
      </c>
    </row>
    <row r="3" spans="2:6" x14ac:dyDescent="0.25">
      <c r="B3" s="834">
        <v>1</v>
      </c>
      <c r="C3" s="837"/>
    </row>
    <row r="4" spans="2:6" x14ac:dyDescent="0.25">
      <c r="B4" s="834">
        <f>B3+1</f>
        <v>2</v>
      </c>
      <c r="C4" s="837"/>
    </row>
    <row r="5" spans="2:6" x14ac:dyDescent="0.25">
      <c r="B5" s="834">
        <f t="shared" ref="B5:B45" si="0">B4+1</f>
        <v>3</v>
      </c>
      <c r="C5" s="837" t="s">
        <v>1197</v>
      </c>
      <c r="D5" s="838">
        <f ca="1">'2.1. Working LT assets'!M63</f>
        <v>0</v>
      </c>
      <c r="E5" s="833" t="s">
        <v>1204</v>
      </c>
      <c r="F5" s="833" t="s">
        <v>1203</v>
      </c>
    </row>
    <row r="6" spans="2:6" x14ac:dyDescent="0.25">
      <c r="B6" s="834">
        <f t="shared" si="0"/>
        <v>4</v>
      </c>
      <c r="C6" s="837" t="s">
        <v>1199</v>
      </c>
      <c r="D6" s="833">
        <f>'2.2. OPEX'!J13</f>
        <v>25</v>
      </c>
      <c r="E6" s="833" t="s">
        <v>1202</v>
      </c>
      <c r="F6" s="833" t="s">
        <v>1206</v>
      </c>
    </row>
    <row r="7" spans="2:6" x14ac:dyDescent="0.25">
      <c r="B7" s="834">
        <f t="shared" si="0"/>
        <v>5</v>
      </c>
      <c r="C7" s="837" t="s">
        <v>1200</v>
      </c>
      <c r="D7" s="833">
        <f>'HRC1216'!K31</f>
        <v>45133.66</v>
      </c>
      <c r="E7" s="833" t="s">
        <v>1202</v>
      </c>
      <c r="F7" s="833" t="s">
        <v>1205</v>
      </c>
    </row>
    <row r="8" spans="2:6" ht="26.4" x14ac:dyDescent="0.25">
      <c r="B8" s="834">
        <f t="shared" si="0"/>
        <v>6</v>
      </c>
      <c r="C8" s="837" t="s">
        <v>1201</v>
      </c>
      <c r="E8" s="833" t="s">
        <v>1196</v>
      </c>
    </row>
    <row r="9" spans="2:6" x14ac:dyDescent="0.25">
      <c r="B9" s="834">
        <f t="shared" si="0"/>
        <v>7</v>
      </c>
      <c r="C9" s="837"/>
    </row>
    <row r="10" spans="2:6" x14ac:dyDescent="0.25">
      <c r="B10" s="834">
        <f t="shared" si="0"/>
        <v>8</v>
      </c>
      <c r="C10" s="837"/>
    </row>
    <row r="11" spans="2:6" x14ac:dyDescent="0.25">
      <c r="B11" s="834">
        <f t="shared" si="0"/>
        <v>9</v>
      </c>
      <c r="C11" s="837"/>
    </row>
    <row r="12" spans="2:6" x14ac:dyDescent="0.25">
      <c r="B12" s="834">
        <f t="shared" si="0"/>
        <v>10</v>
      </c>
      <c r="C12" s="837"/>
    </row>
    <row r="13" spans="2:6" x14ac:dyDescent="0.25">
      <c r="B13" s="834">
        <f t="shared" si="0"/>
        <v>11</v>
      </c>
      <c r="C13" s="837"/>
    </row>
    <row r="14" spans="2:6" x14ac:dyDescent="0.25">
      <c r="B14" s="834">
        <f t="shared" si="0"/>
        <v>12</v>
      </c>
      <c r="C14" s="837"/>
    </row>
    <row r="15" spans="2:6" x14ac:dyDescent="0.25">
      <c r="B15" s="834">
        <f t="shared" si="0"/>
        <v>13</v>
      </c>
      <c r="C15" s="837"/>
    </row>
    <row r="16" spans="2:6" x14ac:dyDescent="0.25">
      <c r="B16" s="834">
        <f t="shared" si="0"/>
        <v>14</v>
      </c>
      <c r="C16" s="837"/>
    </row>
    <row r="17" spans="2:3" x14ac:dyDescent="0.25">
      <c r="B17" s="834">
        <f t="shared" si="0"/>
        <v>15</v>
      </c>
      <c r="C17" s="837"/>
    </row>
    <row r="18" spans="2:3" x14ac:dyDescent="0.25">
      <c r="B18" s="834">
        <f t="shared" si="0"/>
        <v>16</v>
      </c>
      <c r="C18" s="837"/>
    </row>
    <row r="19" spans="2:3" x14ac:dyDescent="0.25">
      <c r="B19" s="834">
        <f t="shared" si="0"/>
        <v>17</v>
      </c>
      <c r="C19" s="837"/>
    </row>
    <row r="20" spans="2:3" x14ac:dyDescent="0.25">
      <c r="B20" s="834">
        <f t="shared" si="0"/>
        <v>18</v>
      </c>
      <c r="C20" s="837"/>
    </row>
    <row r="21" spans="2:3" x14ac:dyDescent="0.25">
      <c r="B21" s="834">
        <f t="shared" si="0"/>
        <v>19</v>
      </c>
      <c r="C21" s="837"/>
    </row>
    <row r="22" spans="2:3" x14ac:dyDescent="0.25">
      <c r="B22" s="834">
        <f t="shared" si="0"/>
        <v>20</v>
      </c>
      <c r="C22" s="837"/>
    </row>
    <row r="23" spans="2:3" x14ac:dyDescent="0.25">
      <c r="B23" s="834">
        <f t="shared" si="0"/>
        <v>21</v>
      </c>
      <c r="C23" s="837"/>
    </row>
    <row r="24" spans="2:3" x14ac:dyDescent="0.25">
      <c r="B24" s="834">
        <f t="shared" si="0"/>
        <v>22</v>
      </c>
      <c r="C24" s="837"/>
    </row>
    <row r="25" spans="2:3" x14ac:dyDescent="0.25">
      <c r="B25" s="834">
        <f t="shared" si="0"/>
        <v>23</v>
      </c>
      <c r="C25" s="837"/>
    </row>
    <row r="26" spans="2:3" x14ac:dyDescent="0.25">
      <c r="B26" s="834">
        <f t="shared" si="0"/>
        <v>24</v>
      </c>
      <c r="C26" s="837"/>
    </row>
    <row r="27" spans="2:3" x14ac:dyDescent="0.25">
      <c r="B27" s="834">
        <f t="shared" si="0"/>
        <v>25</v>
      </c>
      <c r="C27" s="837"/>
    </row>
    <row r="28" spans="2:3" x14ac:dyDescent="0.25">
      <c r="B28" s="834">
        <f t="shared" si="0"/>
        <v>26</v>
      </c>
      <c r="C28" s="837"/>
    </row>
    <row r="29" spans="2:3" x14ac:dyDescent="0.25">
      <c r="B29" s="834">
        <f t="shared" si="0"/>
        <v>27</v>
      </c>
      <c r="C29" s="837"/>
    </row>
    <row r="30" spans="2:3" x14ac:dyDescent="0.25">
      <c r="B30" s="834">
        <f t="shared" si="0"/>
        <v>28</v>
      </c>
      <c r="C30" s="837"/>
    </row>
    <row r="31" spans="2:3" x14ac:dyDescent="0.25">
      <c r="B31" s="834">
        <f t="shared" si="0"/>
        <v>29</v>
      </c>
      <c r="C31" s="837"/>
    </row>
    <row r="32" spans="2:3" x14ac:dyDescent="0.25">
      <c r="B32" s="834">
        <f t="shared" si="0"/>
        <v>30</v>
      </c>
      <c r="C32" s="837"/>
    </row>
    <row r="33" spans="2:3" x14ac:dyDescent="0.25">
      <c r="B33" s="834">
        <f t="shared" si="0"/>
        <v>31</v>
      </c>
      <c r="C33" s="837"/>
    </row>
    <row r="34" spans="2:3" x14ac:dyDescent="0.25">
      <c r="B34" s="834">
        <f t="shared" si="0"/>
        <v>32</v>
      </c>
      <c r="C34" s="837"/>
    </row>
    <row r="35" spans="2:3" x14ac:dyDescent="0.25">
      <c r="B35" s="834">
        <f t="shared" si="0"/>
        <v>33</v>
      </c>
      <c r="C35" s="837"/>
    </row>
    <row r="36" spans="2:3" x14ac:dyDescent="0.25">
      <c r="B36" s="834">
        <f t="shared" si="0"/>
        <v>34</v>
      </c>
      <c r="C36" s="837"/>
    </row>
    <row r="37" spans="2:3" x14ac:dyDescent="0.25">
      <c r="B37" s="834">
        <f t="shared" si="0"/>
        <v>35</v>
      </c>
      <c r="C37" s="837"/>
    </row>
    <row r="38" spans="2:3" x14ac:dyDescent="0.25">
      <c r="B38" s="834">
        <f t="shared" si="0"/>
        <v>36</v>
      </c>
      <c r="C38" s="837"/>
    </row>
    <row r="39" spans="2:3" x14ac:dyDescent="0.25">
      <c r="B39" s="834">
        <f t="shared" si="0"/>
        <v>37</v>
      </c>
      <c r="C39" s="837"/>
    </row>
    <row r="40" spans="2:3" x14ac:dyDescent="0.25">
      <c r="B40" s="834">
        <f t="shared" si="0"/>
        <v>38</v>
      </c>
      <c r="C40" s="837"/>
    </row>
    <row r="41" spans="2:3" x14ac:dyDescent="0.25">
      <c r="B41" s="834">
        <f t="shared" si="0"/>
        <v>39</v>
      </c>
      <c r="C41" s="837"/>
    </row>
    <row r="42" spans="2:3" x14ac:dyDescent="0.25">
      <c r="B42" s="834">
        <f t="shared" si="0"/>
        <v>40</v>
      </c>
      <c r="C42" s="837"/>
    </row>
    <row r="43" spans="2:3" x14ac:dyDescent="0.25">
      <c r="B43" s="834">
        <f t="shared" si="0"/>
        <v>41</v>
      </c>
      <c r="C43" s="837"/>
    </row>
    <row r="44" spans="2:3" x14ac:dyDescent="0.25">
      <c r="B44" s="834">
        <f t="shared" si="0"/>
        <v>42</v>
      </c>
      <c r="C44" s="837"/>
    </row>
    <row r="45" spans="2:3" x14ac:dyDescent="0.25">
      <c r="B45" s="834">
        <f t="shared" si="0"/>
        <v>43</v>
      </c>
      <c r="C45" s="837"/>
    </row>
  </sheetData>
  <conditionalFormatting sqref="E3:E45">
    <cfRule type="cellIs" dxfId="25" priority="1" operator="equal">
      <formula>"De clarificat"</formula>
    </cfRule>
  </conditionalFormatting>
  <dataValidations count="1">
    <dataValidation type="list" allowBlank="1" showInputMessage="1" showErrorMessage="1" sqref="E3:E45">
      <formula1>"De clarificat, OK, ?"</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499984740745262"/>
    <outlinePr summaryBelow="0" summaryRight="0"/>
  </sheetPr>
  <dimension ref="A1:Y18"/>
  <sheetViews>
    <sheetView showGridLines="0" zoomScale="85" zoomScaleNormal="85" workbookViewId="0">
      <pane xSplit="9" ySplit="4" topLeftCell="J5" activePane="bottomRight" state="frozen"/>
      <selection activeCell="N34" sqref="N34"/>
      <selection pane="topRight" activeCell="N34" sqref="N34"/>
      <selection pane="bottomLeft" activeCell="N34" sqref="N34"/>
      <selection pane="bottomRight" activeCell="F10" sqref="F10:L10"/>
    </sheetView>
  </sheetViews>
  <sheetFormatPr defaultColWidth="0" defaultRowHeight="12" customHeight="1" outlineLevelCol="1" x14ac:dyDescent="0.25"/>
  <cols>
    <col min="1" max="1" width="3.6640625" style="9" customWidth="1"/>
    <col min="2" max="4" width="5.6640625" style="9" customWidth="1"/>
    <col min="5" max="5" width="2.6640625" style="9" customWidth="1"/>
    <col min="6" max="6" width="40.6640625" style="10" customWidth="1"/>
    <col min="7" max="7" width="10.6640625" style="10" customWidth="1"/>
    <col min="8" max="8" width="10.6640625" style="11" customWidth="1"/>
    <col min="9" max="9" width="2.6640625" style="10" customWidth="1"/>
    <col min="10" max="18" width="10.6640625" style="12" customWidth="1"/>
    <col min="19" max="20" width="10.6640625" style="12" customWidth="1" outlineLevel="1"/>
    <col min="21" max="21" width="2.6640625" style="12" customWidth="1"/>
    <col min="22" max="22" width="9.88671875" style="12" bestFit="1" customWidth="1"/>
    <col min="23" max="23" width="11.33203125" style="12" bestFit="1" customWidth="1"/>
    <col min="24" max="24" width="10.33203125" style="12" bestFit="1" customWidth="1"/>
    <col min="25" max="25" width="25.6640625" style="122" customWidth="1"/>
    <col min="26" max="16384" width="0" style="12" hidden="1"/>
  </cols>
  <sheetData>
    <row r="1" spans="1:25" s="6" customFormat="1" ht="12" customHeight="1" x14ac:dyDescent="0.25">
      <c r="A1" s="1" t="str">
        <f ca="1">MID(CELL("filename"),SEARCH("[",CELL("filename"))+1, SEARCH("]",CELL("filename"))-SEARCH("[",CELL("filename"))-1)</f>
        <v>Project Horeco_190409_1810.xlsm</v>
      </c>
      <c r="B1" s="1"/>
      <c r="C1" s="1"/>
      <c r="D1" s="1"/>
      <c r="E1" s="1"/>
      <c r="F1" s="1"/>
      <c r="G1" s="1"/>
      <c r="H1" s="2"/>
      <c r="I1" s="1"/>
      <c r="J1" s="3">
        <f>'1.0.Model timing'!J9</f>
        <v>42370</v>
      </c>
      <c r="K1" s="3">
        <f>'1.0.Model timing'!K9</f>
        <v>42736</v>
      </c>
      <c r="L1" s="3">
        <f>'1.0.Model timing'!L9</f>
        <v>43101</v>
      </c>
      <c r="M1" s="3">
        <f>'1.0.Model timing'!M9</f>
        <v>43466</v>
      </c>
      <c r="N1" s="3">
        <f>'1.0.Model timing'!N9</f>
        <v>43831</v>
      </c>
      <c r="O1" s="3">
        <f>'1.0.Model timing'!O9</f>
        <v>44197</v>
      </c>
      <c r="P1" s="3">
        <f>'1.0.Model timing'!P9</f>
        <v>44562</v>
      </c>
      <c r="Q1" s="3">
        <f>'1.0.Model timing'!Q9</f>
        <v>44927</v>
      </c>
      <c r="R1" s="3">
        <f>'1.0.Model timing'!R9</f>
        <v>45292</v>
      </c>
      <c r="S1" s="3">
        <f>'1.0.Model timing'!S9</f>
        <v>45658</v>
      </c>
      <c r="T1" s="3">
        <f>'1.0.Model timing'!T9</f>
        <v>46023</v>
      </c>
      <c r="U1" s="4"/>
      <c r="V1" s="4"/>
      <c r="W1" s="4"/>
      <c r="X1" s="4"/>
      <c r="Y1" s="140" t="s">
        <v>11</v>
      </c>
    </row>
    <row r="2" spans="1:25" s="6" customFormat="1" ht="12" customHeight="1" x14ac:dyDescent="0.25">
      <c r="A2" s="1" t="str">
        <f ca="1">RIGHT(CELL("filename",A2),LEN(CELL("filename",A2))-FIND("]",CELL("filename",A2)))</f>
        <v>1.1.Macroeconomic</v>
      </c>
      <c r="B2" s="1"/>
      <c r="C2" s="1"/>
      <c r="D2" s="1"/>
      <c r="E2" s="1"/>
      <c r="F2" s="1"/>
      <c r="G2" s="1"/>
      <c r="H2" s="2"/>
      <c r="I2" s="1"/>
      <c r="J2" s="3">
        <f>'1.0.Model timing'!J10</f>
        <v>42735</v>
      </c>
      <c r="K2" s="3">
        <f>'1.0.Model timing'!K10</f>
        <v>43100</v>
      </c>
      <c r="L2" s="3">
        <f>'1.0.Model timing'!L10</f>
        <v>43465</v>
      </c>
      <c r="M2" s="3">
        <f>'1.0.Model timing'!M10</f>
        <v>43830</v>
      </c>
      <c r="N2" s="3">
        <f>'1.0.Model timing'!N10</f>
        <v>44196</v>
      </c>
      <c r="O2" s="3">
        <f>'1.0.Model timing'!O10</f>
        <v>44561</v>
      </c>
      <c r="P2" s="3">
        <f>'1.0.Model timing'!P10</f>
        <v>44926</v>
      </c>
      <c r="Q2" s="3">
        <f>'1.0.Model timing'!Q10</f>
        <v>45291</v>
      </c>
      <c r="R2" s="3">
        <f>'1.0.Model timing'!R10</f>
        <v>45657</v>
      </c>
      <c r="S2" s="3">
        <f>'1.0.Model timing'!S10</f>
        <v>46022</v>
      </c>
      <c r="T2" s="3">
        <f>'1.0.Model timing'!T10</f>
        <v>46387</v>
      </c>
      <c r="U2" s="4"/>
      <c r="V2" s="4"/>
      <c r="W2" s="4"/>
      <c r="X2" s="4"/>
      <c r="Y2" s="140"/>
    </row>
    <row r="3" spans="1:25" s="6" customFormat="1" ht="12" customHeight="1" x14ac:dyDescent="0.25">
      <c r="A3" s="1"/>
      <c r="B3" s="1"/>
      <c r="C3" s="1"/>
      <c r="D3" s="1"/>
      <c r="E3" s="1"/>
      <c r="F3" s="1"/>
      <c r="G3" s="1"/>
      <c r="H3" s="2"/>
      <c r="I3" s="1"/>
      <c r="J3" s="7">
        <f>'1.0.Model timing'!J11</f>
        <v>2016</v>
      </c>
      <c r="K3" s="7">
        <f>'1.0.Model timing'!K11</f>
        <v>2017</v>
      </c>
      <c r="L3" s="7">
        <f>'1.0.Model timing'!L11</f>
        <v>2018</v>
      </c>
      <c r="M3" s="7">
        <f>'1.0.Model timing'!M11</f>
        <v>2019</v>
      </c>
      <c r="N3" s="7">
        <f>'1.0.Model timing'!N11</f>
        <v>2020</v>
      </c>
      <c r="O3" s="7">
        <f>'1.0.Model timing'!O11</f>
        <v>2021</v>
      </c>
      <c r="P3" s="7">
        <f>'1.0.Model timing'!P11</f>
        <v>2022</v>
      </c>
      <c r="Q3" s="7">
        <f>'1.0.Model timing'!Q11</f>
        <v>2023</v>
      </c>
      <c r="R3" s="7">
        <f>'1.0.Model timing'!R11</f>
        <v>2024</v>
      </c>
      <c r="S3" s="7">
        <f>'1.0.Model timing'!S11</f>
        <v>2025</v>
      </c>
      <c r="T3" s="7">
        <f>'1.0.Model timing'!T11</f>
        <v>2026</v>
      </c>
      <c r="U3" s="4"/>
      <c r="V3" s="4" t="s">
        <v>9</v>
      </c>
      <c r="W3" s="4" t="s">
        <v>10</v>
      </c>
      <c r="X3" s="4" t="s">
        <v>9</v>
      </c>
      <c r="Y3" s="140"/>
    </row>
    <row r="4" spans="1:25" s="6" customFormat="1" ht="12" customHeight="1" x14ac:dyDescent="0.25">
      <c r="A4" s="1"/>
      <c r="B4" s="1"/>
      <c r="C4" s="1"/>
      <c r="D4" s="1"/>
      <c r="E4" s="1"/>
      <c r="F4" s="1"/>
      <c r="G4" s="1" t="s">
        <v>8</v>
      </c>
      <c r="H4" s="2" t="s">
        <v>7</v>
      </c>
      <c r="I4" s="1"/>
      <c r="J4" s="8" t="str">
        <f>'1.0.Model timing'!J15</f>
        <v>Actual</v>
      </c>
      <c r="K4" s="8" t="str">
        <f>'1.0.Model timing'!K15</f>
        <v>Actual</v>
      </c>
      <c r="L4" s="8" t="str">
        <f>'1.0.Model timing'!L15</f>
        <v>Actual</v>
      </c>
      <c r="M4" s="8" t="str">
        <f>'1.0.Model timing'!M15</f>
        <v>Forecast</v>
      </c>
      <c r="N4" s="8" t="str">
        <f>'1.0.Model timing'!N15</f>
        <v>Forecast</v>
      </c>
      <c r="O4" s="8" t="str">
        <f>'1.0.Model timing'!O15</f>
        <v>Forecast</v>
      </c>
      <c r="P4" s="8" t="str">
        <f>'1.0.Model timing'!P15</f>
        <v>Forecast</v>
      </c>
      <c r="Q4" s="8" t="str">
        <f>'1.0.Model timing'!Q15</f>
        <v>Forecast</v>
      </c>
      <c r="R4" s="8" t="str">
        <f>'1.0.Model timing'!R15</f>
        <v>Forecast</v>
      </c>
      <c r="S4" s="8" t="str">
        <f>'1.0.Model timing'!S15</f>
        <v>Forecast</v>
      </c>
      <c r="T4" s="8" t="str">
        <f>'1.0.Model timing'!T15</f>
        <v>Forecast</v>
      </c>
      <c r="U4" s="4"/>
      <c r="V4" s="4" t="s">
        <v>723</v>
      </c>
      <c r="W4" s="4" t="s">
        <v>724</v>
      </c>
      <c r="X4" s="4" t="s">
        <v>725</v>
      </c>
      <c r="Y4" s="140"/>
    </row>
    <row r="6" spans="1:25" ht="12" customHeight="1" x14ac:dyDescent="0.25">
      <c r="A6" s="14">
        <f ca="1">MAX($A$1:A5)+1</f>
        <v>1</v>
      </c>
      <c r="B6" s="15" t="s">
        <v>6</v>
      </c>
      <c r="C6" s="15"/>
      <c r="D6" s="15"/>
      <c r="E6" s="15"/>
      <c r="F6" s="16"/>
      <c r="G6" s="17"/>
      <c r="H6" s="18"/>
      <c r="I6" s="17"/>
      <c r="J6" s="19"/>
      <c r="K6" s="19"/>
      <c r="L6" s="19"/>
      <c r="M6" s="19"/>
      <c r="N6" s="19"/>
      <c r="O6" s="19"/>
      <c r="P6" s="19"/>
      <c r="Q6" s="19"/>
      <c r="R6" s="19"/>
      <c r="S6" s="19"/>
      <c r="T6" s="19"/>
      <c r="U6" s="19"/>
      <c r="V6" s="19"/>
      <c r="W6" s="19"/>
      <c r="X6" s="19"/>
      <c r="Y6" s="141"/>
    </row>
    <row r="7" spans="1:25" ht="12" customHeight="1" x14ac:dyDescent="0.25">
      <c r="H7" s="22"/>
      <c r="Y7" s="142"/>
    </row>
    <row r="8" spans="1:25" ht="12" customHeight="1" x14ac:dyDescent="0.25">
      <c r="B8" s="25">
        <f ca="1">MAX($A$1:B7)+0.1</f>
        <v>1.1000000000000001</v>
      </c>
      <c r="C8" s="9" t="s">
        <v>6</v>
      </c>
      <c r="H8" s="22"/>
      <c r="J8" s="814"/>
      <c r="K8" s="814"/>
      <c r="L8" s="814"/>
      <c r="M8" s="143"/>
      <c r="N8" s="143"/>
      <c r="O8" s="143"/>
      <c r="P8" s="143"/>
      <c r="Q8" s="143"/>
      <c r="R8" s="143"/>
      <c r="Y8" s="142"/>
    </row>
    <row r="9" spans="1:25" ht="12" customHeight="1" x14ac:dyDescent="0.25">
      <c r="B9" s="25"/>
      <c r="C9" s="39"/>
      <c r="F9" s="10" t="s">
        <v>5</v>
      </c>
      <c r="H9" s="22"/>
      <c r="J9" s="211">
        <v>4.4908000000000001</v>
      </c>
      <c r="K9" s="211">
        <v>4.5681000000000003</v>
      </c>
      <c r="L9" s="211">
        <v>4.6535000000000002</v>
      </c>
      <c r="M9" s="211">
        <f>L9</f>
        <v>4.6535000000000002</v>
      </c>
      <c r="N9" s="439">
        <f>M9</f>
        <v>4.6535000000000002</v>
      </c>
      <c r="O9" s="439">
        <f>N9</f>
        <v>4.6535000000000002</v>
      </c>
      <c r="P9" s="439">
        <f t="shared" ref="P9:R9" si="0">O9</f>
        <v>4.6535000000000002</v>
      </c>
      <c r="Q9" s="439">
        <f t="shared" si="0"/>
        <v>4.6535000000000002</v>
      </c>
      <c r="R9" s="439">
        <f t="shared" si="0"/>
        <v>4.6535000000000002</v>
      </c>
      <c r="S9" s="439"/>
      <c r="T9" s="439"/>
      <c r="V9" s="57">
        <f t="shared" ref="V9:V12" si="1">IF(ISERROR((($L9/$J9)^(1/($L$3-$J$3))-1)),0,(($L9/$J9)^(1/($L$3-$J$3))-1))</f>
        <v>1.7953645806690899E-2</v>
      </c>
      <c r="W9" s="57">
        <f t="shared" ref="W9:W12" si="2">IF(ISERROR($M9/$L9-1),0,$M9/$L9-1)</f>
        <v>0</v>
      </c>
      <c r="X9" s="57">
        <f>IF(ISERROR((($S9/$M9)^(1/($P$3-$M$3))-1)),0,(($P9/$M9)^(1/($P$3-$M$3))-1))</f>
        <v>0</v>
      </c>
      <c r="Y9" s="144" t="s">
        <v>1</v>
      </c>
    </row>
    <row r="10" spans="1:25" ht="12" customHeight="1" x14ac:dyDescent="0.25">
      <c r="B10" s="25"/>
      <c r="C10" s="39"/>
      <c r="F10" s="10" t="s">
        <v>4</v>
      </c>
      <c r="H10" s="22"/>
      <c r="J10" s="211">
        <v>4.5411000000000001</v>
      </c>
      <c r="K10" s="211">
        <v>4.6597</v>
      </c>
      <c r="L10" s="211">
        <v>4.6638999999999999</v>
      </c>
      <c r="M10" s="211">
        <f t="shared" ref="M10:M12" si="3">L10</f>
        <v>4.6638999999999999</v>
      </c>
      <c r="N10" s="439">
        <f t="shared" ref="N10:R12" si="4">N9</f>
        <v>4.6535000000000002</v>
      </c>
      <c r="O10" s="439">
        <f t="shared" si="4"/>
        <v>4.6535000000000002</v>
      </c>
      <c r="P10" s="439">
        <f t="shared" si="4"/>
        <v>4.6535000000000002</v>
      </c>
      <c r="Q10" s="439">
        <f t="shared" si="4"/>
        <v>4.6535000000000002</v>
      </c>
      <c r="R10" s="439">
        <f t="shared" si="4"/>
        <v>4.6535000000000002</v>
      </c>
      <c r="S10" s="439"/>
      <c r="T10" s="439"/>
      <c r="V10" s="57">
        <f t="shared" si="1"/>
        <v>1.3430760410442444E-2</v>
      </c>
      <c r="W10" s="57">
        <f t="shared" si="2"/>
        <v>0</v>
      </c>
      <c r="X10" s="57">
        <f t="shared" ref="X10:X12" si="5">IF(ISERROR((($S10/$M10)^(1/($P$3-$M$3))-1)),0,(($P10/$M10)^(1/($P$3-$M$3))-1))</f>
        <v>-7.4385098937435057E-4</v>
      </c>
      <c r="Y10" s="144" t="s">
        <v>1</v>
      </c>
    </row>
    <row r="11" spans="1:25" ht="12" customHeight="1" x14ac:dyDescent="0.25">
      <c r="B11" s="25"/>
      <c r="C11" s="39"/>
      <c r="F11" s="10" t="s">
        <v>3</v>
      </c>
      <c r="H11" s="22"/>
      <c r="J11" s="211">
        <v>4.0591999999999997</v>
      </c>
      <c r="K11" s="211">
        <v>4.0525000000000002</v>
      </c>
      <c r="L11" s="211">
        <v>3.9416000000000002</v>
      </c>
      <c r="M11" s="211">
        <f t="shared" si="3"/>
        <v>3.9416000000000002</v>
      </c>
      <c r="N11" s="212">
        <f t="shared" ref="N11:P11" si="6">M11</f>
        <v>3.9416000000000002</v>
      </c>
      <c r="O11" s="212">
        <f t="shared" si="6"/>
        <v>3.9416000000000002</v>
      </c>
      <c r="P11" s="212">
        <f t="shared" si="6"/>
        <v>3.9416000000000002</v>
      </c>
      <c r="Q11" s="212">
        <f t="shared" ref="Q11" si="7">P11</f>
        <v>3.9416000000000002</v>
      </c>
      <c r="R11" s="212">
        <f t="shared" ref="R11" si="8">Q11</f>
        <v>3.9416000000000002</v>
      </c>
      <c r="S11" s="212"/>
      <c r="T11" s="212"/>
      <c r="V11" s="57">
        <f t="shared" si="1"/>
        <v>-1.459207728845191E-2</v>
      </c>
      <c r="W11" s="57">
        <f t="shared" si="2"/>
        <v>0</v>
      </c>
      <c r="X11" s="57">
        <f t="shared" si="5"/>
        <v>0</v>
      </c>
      <c r="Y11" s="144" t="s">
        <v>1</v>
      </c>
    </row>
    <row r="12" spans="1:25" ht="12" customHeight="1" x14ac:dyDescent="0.25">
      <c r="B12" s="25"/>
      <c r="C12" s="39"/>
      <c r="F12" s="10" t="s">
        <v>2</v>
      </c>
      <c r="H12" s="22"/>
      <c r="J12" s="211">
        <v>4.3033000000000001</v>
      </c>
      <c r="K12" s="211">
        <v>3.8915000000000002</v>
      </c>
      <c r="L12" s="211">
        <v>4.0735999999999999</v>
      </c>
      <c r="M12" s="211">
        <f t="shared" si="3"/>
        <v>4.0735999999999999</v>
      </c>
      <c r="N12" s="439">
        <f t="shared" si="4"/>
        <v>3.9416000000000002</v>
      </c>
      <c r="O12" s="439">
        <f t="shared" si="4"/>
        <v>3.9416000000000002</v>
      </c>
      <c r="P12" s="439">
        <f t="shared" si="4"/>
        <v>3.9416000000000002</v>
      </c>
      <c r="Q12" s="439">
        <f t="shared" si="4"/>
        <v>3.9416000000000002</v>
      </c>
      <c r="R12" s="439">
        <f t="shared" si="4"/>
        <v>3.9416000000000002</v>
      </c>
      <c r="S12" s="212"/>
      <c r="T12" s="212"/>
      <c r="V12" s="57">
        <f t="shared" si="1"/>
        <v>-2.7054801345674506E-2</v>
      </c>
      <c r="W12" s="57">
        <f t="shared" si="2"/>
        <v>0</v>
      </c>
      <c r="X12" s="57">
        <f t="shared" si="5"/>
        <v>-1.0920070753454358E-2</v>
      </c>
      <c r="Y12" s="144" t="s">
        <v>1</v>
      </c>
    </row>
    <row r="13" spans="1:25" ht="12" customHeight="1" x14ac:dyDescent="0.25">
      <c r="M13" s="438"/>
    </row>
    <row r="14" spans="1:25" ht="12" customHeight="1" x14ac:dyDescent="0.25">
      <c r="L14" s="438" t="s">
        <v>1587</v>
      </c>
    </row>
    <row r="15" spans="1:25" ht="12" customHeight="1" x14ac:dyDescent="0.25">
      <c r="F15" s="10" t="s">
        <v>5</v>
      </c>
      <c r="L15" s="211">
        <f>L9</f>
        <v>4.6535000000000002</v>
      </c>
    </row>
    <row r="16" spans="1:25" ht="12" customHeight="1" x14ac:dyDescent="0.25">
      <c r="F16" s="10" t="s">
        <v>4</v>
      </c>
      <c r="L16" s="211">
        <f>L10</f>
        <v>4.6638999999999999</v>
      </c>
    </row>
    <row r="18" spans="1:25" ht="12" customHeight="1" x14ac:dyDescent="0.25">
      <c r="A18" s="63" t="s">
        <v>0</v>
      </c>
      <c r="B18" s="63"/>
      <c r="C18" s="63"/>
      <c r="D18" s="64"/>
      <c r="E18" s="64"/>
      <c r="F18" s="63"/>
      <c r="G18" s="65"/>
      <c r="H18" s="66"/>
      <c r="I18" s="65"/>
      <c r="J18" s="67"/>
      <c r="K18" s="67"/>
      <c r="L18" s="67"/>
      <c r="M18" s="67"/>
      <c r="N18" s="67"/>
      <c r="O18" s="67"/>
      <c r="P18" s="67"/>
      <c r="Q18" s="98"/>
      <c r="R18" s="98"/>
      <c r="S18" s="67"/>
      <c r="T18" s="67"/>
      <c r="U18" s="68"/>
      <c r="V18" s="67"/>
      <c r="W18" s="67"/>
      <c r="X18" s="67"/>
      <c r="Y18" s="145"/>
    </row>
  </sheetData>
  <conditionalFormatting sqref="A3">
    <cfRule type="containsText" dxfId="24" priority="1" operator="containsText" text="OK">
      <formula>NOT(ISERROR(SEARCH("OK",A3)))</formula>
    </cfRule>
    <cfRule type="containsText" dxfId="23" priority="2" operator="containsText" text="Error">
      <formula>NOT(ISERROR(SEARCH("Error",A3)))</formula>
    </cfRule>
  </conditionalFormatting>
  <pageMargins left="0.7" right="0.7" top="0.75" bottom="0.75" header="0.3" footer="0.3"/>
  <pageSetup paperSize="9" orientation="portrait" r:id="rId1"/>
  <headerFooter>
    <oddFooter>&amp;C&amp;7&amp;B&amp;"Arial"Document Classification: KPMG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3024" r:id="rId4" name="Button 16">
              <controlPr defaultSize="0" autoFill="0" autoPict="0" macro="[0]!scenario1">
                <anchor moveWithCells="1" sizeWithCells="1">
                  <from>
                    <xdr:col>6</xdr:col>
                    <xdr:colOff>533400</xdr:colOff>
                    <xdr:row>1</xdr:row>
                    <xdr:rowOff>0</xdr:rowOff>
                  </from>
                  <to>
                    <xdr:col>7</xdr:col>
                    <xdr:colOff>106680</xdr:colOff>
                    <xdr:row>2</xdr:row>
                    <xdr:rowOff>99060</xdr:rowOff>
                  </to>
                </anchor>
              </controlPr>
            </control>
          </mc:Choice>
        </mc:AlternateContent>
        <mc:AlternateContent xmlns:mc="http://schemas.openxmlformats.org/markup-compatibility/2006">
          <mc:Choice Requires="x14">
            <control shapeId="43025" r:id="rId5" name="Button 17">
              <controlPr defaultSize="0" autoFill="0" autoPict="0" macro="[0]!scenario2">
                <anchor moveWithCells="1" sizeWithCells="1">
                  <from>
                    <xdr:col>7</xdr:col>
                    <xdr:colOff>114300</xdr:colOff>
                    <xdr:row>1</xdr:row>
                    <xdr:rowOff>0</xdr:rowOff>
                  </from>
                  <to>
                    <xdr:col>7</xdr:col>
                    <xdr:colOff>426720</xdr:colOff>
                    <xdr:row>2</xdr:row>
                    <xdr:rowOff>99060</xdr:rowOff>
                  </to>
                </anchor>
              </controlPr>
            </control>
          </mc:Choice>
        </mc:AlternateContent>
        <mc:AlternateContent xmlns:mc="http://schemas.openxmlformats.org/markup-compatibility/2006">
          <mc:Choice Requires="x14">
            <control shapeId="43026" r:id="rId6" name="Button 18">
              <controlPr defaultSize="0" autoFill="0" autoPict="0" macro="[0]!scenario3">
                <anchor moveWithCells="1" sizeWithCells="1">
                  <from>
                    <xdr:col>7</xdr:col>
                    <xdr:colOff>441960</xdr:colOff>
                    <xdr:row>1</xdr:row>
                    <xdr:rowOff>0</xdr:rowOff>
                  </from>
                  <to>
                    <xdr:col>8</xdr:col>
                    <xdr:colOff>7620</xdr:colOff>
                    <xdr:row>2</xdr:row>
                    <xdr:rowOff>99060</xdr:rowOff>
                  </to>
                </anchor>
              </controlPr>
            </control>
          </mc:Choice>
        </mc:AlternateContent>
        <mc:AlternateContent xmlns:mc="http://schemas.openxmlformats.org/markup-compatibility/2006">
          <mc:Choice Requires="x14">
            <control shapeId="43027" r:id="rId7" name="Button 19">
              <controlPr defaultSize="0" print="0" autoFill="0" autoPict="0" macro="[0]!Module3.ModelMap">
                <anchor moveWithCells="1" sizeWithCells="1">
                  <from>
                    <xdr:col>5</xdr:col>
                    <xdr:colOff>2346960</xdr:colOff>
                    <xdr:row>1</xdr:row>
                    <xdr:rowOff>0</xdr:rowOff>
                  </from>
                  <to>
                    <xdr:col>6</xdr:col>
                    <xdr:colOff>525780</xdr:colOff>
                    <xdr:row>2</xdr:row>
                    <xdr:rowOff>99060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499984740745262"/>
    <outlinePr summaryBelow="0" summaryRight="0"/>
  </sheetPr>
  <dimension ref="A1:AL71"/>
  <sheetViews>
    <sheetView showGridLines="0" zoomScale="85" zoomScaleNormal="85" workbookViewId="0">
      <pane xSplit="9" ySplit="4" topLeftCell="O15" activePane="bottomRight" state="frozen"/>
      <selection activeCell="N34" sqref="N34"/>
      <selection pane="topRight" activeCell="N34" sqref="N34"/>
      <selection pane="bottomLeft" activeCell="N34" sqref="N34"/>
      <selection pane="bottomRight" activeCell="P7" sqref="P7"/>
    </sheetView>
  </sheetViews>
  <sheetFormatPr defaultColWidth="0" defaultRowHeight="12" customHeight="1" outlineLevelCol="1" x14ac:dyDescent="0.25"/>
  <cols>
    <col min="1" max="1" width="3.6640625" style="9" customWidth="1"/>
    <col min="2" max="4" width="5.6640625" style="9" customWidth="1"/>
    <col min="5" max="5" width="2.6640625" style="9" customWidth="1"/>
    <col min="6" max="6" width="40.6640625" style="10" customWidth="1"/>
    <col min="7" max="7" width="10.6640625" style="10" customWidth="1"/>
    <col min="8" max="8" width="10.6640625" style="11" customWidth="1"/>
    <col min="9" max="9" width="14.6640625" style="10" customWidth="1"/>
    <col min="10" max="10" width="13" style="12" bestFit="1" customWidth="1"/>
    <col min="11" max="11" width="12.109375" style="12" bestFit="1" customWidth="1"/>
    <col min="12" max="12" width="13.5546875" style="12" customWidth="1"/>
    <col min="13" max="13" width="12.109375" style="12" bestFit="1" customWidth="1"/>
    <col min="14" max="14" width="2.6640625" style="12" customWidth="1"/>
    <col min="15" max="15" width="11.44140625" style="12" bestFit="1" customWidth="1"/>
    <col min="16" max="17" width="10.6640625" style="12" customWidth="1"/>
    <col min="18" max="18" width="11.44140625" style="12" bestFit="1" customWidth="1" collapsed="1"/>
    <col min="19" max="19" width="2.6640625" style="12" hidden="1" customWidth="1" outlineLevel="1"/>
    <col min="20" max="23" width="10.6640625" style="12" hidden="1" customWidth="1" outlineLevel="1"/>
    <col min="24" max="24" width="2.6640625" style="12" hidden="1" customWidth="1" outlineLevel="1"/>
    <col min="25" max="28" width="10.6640625" style="12" hidden="1" customWidth="1" outlineLevel="1"/>
    <col min="29" max="29" width="2.6640625" style="12" customWidth="1"/>
    <col min="30" max="33" width="10.6640625" style="12" customWidth="1"/>
    <col min="34" max="34" width="2.6640625" style="12" customWidth="1"/>
    <col min="35" max="37" width="10.6640625" style="13" customWidth="1"/>
    <col min="38" max="38" width="40.6640625" style="10" customWidth="1"/>
    <col min="39" max="16384" width="0" style="12" hidden="1"/>
  </cols>
  <sheetData>
    <row r="1" spans="1:38" s="6" customFormat="1" ht="12" customHeight="1" x14ac:dyDescent="0.25">
      <c r="A1" s="1" t="str">
        <f ca="1">MID(CELL("filename"),SEARCH("[",CELL("filename"))+1, SEARCH("]",CELL("filename"))-SEARCH("[",CELL("filename"))-1)</f>
        <v>Project Horeco_190409_1810.xlsm</v>
      </c>
      <c r="B1" s="1"/>
      <c r="C1" s="1"/>
      <c r="D1" s="1"/>
      <c r="E1" s="1"/>
      <c r="F1" s="1"/>
      <c r="G1" s="1"/>
      <c r="H1" s="2"/>
      <c r="I1" s="1"/>
      <c r="J1" s="3">
        <f>'1.0.Model timing'!J9</f>
        <v>42370</v>
      </c>
      <c r="K1" s="3">
        <f>'1.0.Model timing'!K9</f>
        <v>42736</v>
      </c>
      <c r="L1" s="3">
        <f>'1.0.Model timing'!L9</f>
        <v>43101</v>
      </c>
      <c r="M1" s="3">
        <f>'1.0.Model timing'!M9</f>
        <v>43466</v>
      </c>
      <c r="N1" s="3"/>
      <c r="O1" s="3">
        <f t="shared" ref="O1:R4" si="0">J1</f>
        <v>42370</v>
      </c>
      <c r="P1" s="3">
        <f t="shared" si="0"/>
        <v>42736</v>
      </c>
      <c r="Q1" s="3">
        <f t="shared" si="0"/>
        <v>43101</v>
      </c>
      <c r="R1" s="3">
        <f t="shared" si="0"/>
        <v>43466</v>
      </c>
      <c r="S1" s="3"/>
      <c r="T1" s="3">
        <f>J1</f>
        <v>42370</v>
      </c>
      <c r="U1" s="3">
        <f>K1</f>
        <v>42736</v>
      </c>
      <c r="V1" s="3">
        <f>L1</f>
        <v>43101</v>
      </c>
      <c r="W1" s="3">
        <f>M1</f>
        <v>43466</v>
      </c>
      <c r="X1" s="3"/>
      <c r="Y1" s="3">
        <f t="shared" ref="Y1:AB4" si="1">J1</f>
        <v>42370</v>
      </c>
      <c r="Z1" s="3">
        <f t="shared" si="1"/>
        <v>42736</v>
      </c>
      <c r="AA1" s="3">
        <f t="shared" si="1"/>
        <v>43101</v>
      </c>
      <c r="AB1" s="3">
        <f t="shared" si="1"/>
        <v>43466</v>
      </c>
      <c r="AC1" s="3"/>
      <c r="AD1" s="3">
        <f t="shared" ref="AD1:AG4" si="2">O1</f>
        <v>42370</v>
      </c>
      <c r="AE1" s="3">
        <f t="shared" si="2"/>
        <v>42736</v>
      </c>
      <c r="AF1" s="3">
        <f t="shared" si="2"/>
        <v>43101</v>
      </c>
      <c r="AG1" s="3">
        <f t="shared" si="2"/>
        <v>43466</v>
      </c>
      <c r="AH1" s="4"/>
      <c r="AI1" s="5"/>
      <c r="AJ1" s="5"/>
      <c r="AK1" s="5"/>
      <c r="AL1" s="1" t="s">
        <v>11</v>
      </c>
    </row>
    <row r="2" spans="1:38" s="6" customFormat="1" ht="12" customHeight="1" x14ac:dyDescent="0.25">
      <c r="A2" s="1" t="str">
        <f ca="1">RIGHT(CELL("filename",A2),LEN(CELL("filename",A2))-FIND("]",CELL("filename",A2)))</f>
        <v>1.2.Historical IS</v>
      </c>
      <c r="B2" s="1"/>
      <c r="C2" s="1"/>
      <c r="D2" s="1"/>
      <c r="E2" s="1"/>
      <c r="F2" s="1"/>
      <c r="G2" s="1"/>
      <c r="H2" s="2"/>
      <c r="I2" s="1"/>
      <c r="J2" s="3">
        <f>'1.0.Model timing'!J10</f>
        <v>42735</v>
      </c>
      <c r="K2" s="3">
        <f>'1.0.Model timing'!K10</f>
        <v>43100</v>
      </c>
      <c r="L2" s="3">
        <f>'1.0.Model timing'!L10</f>
        <v>43465</v>
      </c>
      <c r="M2" s="3">
        <f>'0.2.Parameters'!H13</f>
        <v>43466</v>
      </c>
      <c r="N2" s="3"/>
      <c r="O2" s="3">
        <f t="shared" si="0"/>
        <v>42735</v>
      </c>
      <c r="P2" s="3">
        <f t="shared" si="0"/>
        <v>43100</v>
      </c>
      <c r="Q2" s="3">
        <f t="shared" si="0"/>
        <v>43465</v>
      </c>
      <c r="R2" s="3">
        <f t="shared" si="0"/>
        <v>43466</v>
      </c>
      <c r="S2" s="3"/>
      <c r="T2" s="3">
        <f t="shared" ref="T2:T4" si="3">J2</f>
        <v>42735</v>
      </c>
      <c r="U2" s="3">
        <f t="shared" ref="U2:W4" si="4">K2</f>
        <v>43100</v>
      </c>
      <c r="V2" s="3">
        <f t="shared" si="4"/>
        <v>43465</v>
      </c>
      <c r="W2" s="3">
        <f t="shared" si="4"/>
        <v>43466</v>
      </c>
      <c r="X2" s="3"/>
      <c r="Y2" s="3">
        <f t="shared" si="1"/>
        <v>42735</v>
      </c>
      <c r="Z2" s="3">
        <f t="shared" si="1"/>
        <v>43100</v>
      </c>
      <c r="AA2" s="3">
        <f t="shared" si="1"/>
        <v>43465</v>
      </c>
      <c r="AB2" s="3">
        <f t="shared" si="1"/>
        <v>43466</v>
      </c>
      <c r="AC2" s="3"/>
      <c r="AD2" s="3">
        <f t="shared" si="2"/>
        <v>42735</v>
      </c>
      <c r="AE2" s="3">
        <f t="shared" si="2"/>
        <v>43100</v>
      </c>
      <c r="AF2" s="3">
        <f t="shared" si="2"/>
        <v>43465</v>
      </c>
      <c r="AG2" s="3">
        <f t="shared" si="2"/>
        <v>43466</v>
      </c>
      <c r="AH2" s="4"/>
      <c r="AI2" s="5" t="s">
        <v>9</v>
      </c>
      <c r="AJ2" s="5" t="s">
        <v>9</v>
      </c>
      <c r="AK2" s="5" t="s">
        <v>9</v>
      </c>
      <c r="AL2" s="1"/>
    </row>
    <row r="3" spans="1:38" s="6" customFormat="1" ht="12" customHeight="1" x14ac:dyDescent="0.25">
      <c r="A3" s="1"/>
      <c r="B3" s="1"/>
      <c r="C3" s="1"/>
      <c r="D3" s="1"/>
      <c r="E3" s="1"/>
      <c r="F3" s="1"/>
      <c r="G3" s="1"/>
      <c r="H3" s="2"/>
      <c r="I3" s="1"/>
      <c r="J3" s="7">
        <f>'1.0.Model timing'!J11</f>
        <v>2016</v>
      </c>
      <c r="K3" s="7">
        <f>'1.0.Model timing'!K11</f>
        <v>2017</v>
      </c>
      <c r="L3" s="7">
        <f>'1.0.Model timing'!L11</f>
        <v>2018</v>
      </c>
      <c r="M3" s="7">
        <f>'1.0.Model timing'!M11</f>
        <v>2019</v>
      </c>
      <c r="N3" s="7"/>
      <c r="O3" s="7">
        <f t="shared" si="0"/>
        <v>2016</v>
      </c>
      <c r="P3" s="7">
        <f t="shared" si="0"/>
        <v>2017</v>
      </c>
      <c r="Q3" s="7">
        <f t="shared" si="0"/>
        <v>2018</v>
      </c>
      <c r="R3" s="7">
        <f t="shared" si="0"/>
        <v>2019</v>
      </c>
      <c r="S3" s="7"/>
      <c r="T3" s="3">
        <f t="shared" si="3"/>
        <v>2016</v>
      </c>
      <c r="U3" s="3">
        <f t="shared" si="4"/>
        <v>2017</v>
      </c>
      <c r="V3" s="3">
        <f t="shared" si="4"/>
        <v>2018</v>
      </c>
      <c r="W3" s="3">
        <f t="shared" si="4"/>
        <v>2019</v>
      </c>
      <c r="X3" s="7"/>
      <c r="Y3" s="7">
        <f t="shared" si="1"/>
        <v>2016</v>
      </c>
      <c r="Z3" s="7">
        <f t="shared" si="1"/>
        <v>2017</v>
      </c>
      <c r="AA3" s="7">
        <f t="shared" si="1"/>
        <v>2018</v>
      </c>
      <c r="AB3" s="7">
        <f t="shared" si="1"/>
        <v>2019</v>
      </c>
      <c r="AC3" s="7"/>
      <c r="AD3" s="7">
        <f t="shared" si="2"/>
        <v>2016</v>
      </c>
      <c r="AE3" s="7">
        <f t="shared" si="2"/>
        <v>2017</v>
      </c>
      <c r="AF3" s="7">
        <f t="shared" si="2"/>
        <v>2018</v>
      </c>
      <c r="AG3" s="7">
        <f t="shared" si="2"/>
        <v>2019</v>
      </c>
      <c r="AH3" s="4"/>
      <c r="AI3" s="5" t="s">
        <v>169</v>
      </c>
      <c r="AJ3" s="5" t="s">
        <v>251</v>
      </c>
      <c r="AK3" s="5" t="s">
        <v>252</v>
      </c>
      <c r="AL3" s="1"/>
    </row>
    <row r="4" spans="1:38" s="6" customFormat="1" ht="12" customHeight="1" x14ac:dyDescent="0.25">
      <c r="A4" s="1"/>
      <c r="B4" s="1"/>
      <c r="C4" s="1"/>
      <c r="D4" s="1"/>
      <c r="E4" s="1"/>
      <c r="F4" s="1"/>
      <c r="G4" s="1"/>
      <c r="H4" s="2" t="s">
        <v>7</v>
      </c>
      <c r="I4" s="1"/>
      <c r="J4" s="8" t="str">
        <f>'1.0.Model timing'!J15</f>
        <v>Actual</v>
      </c>
      <c r="K4" s="8" t="str">
        <f>'1.0.Model timing'!K15</f>
        <v>Actual</v>
      </c>
      <c r="L4" s="8" t="str">
        <f>'1.0.Model timing'!L15</f>
        <v>Actual</v>
      </c>
      <c r="M4" s="8" t="str">
        <f>'1.0.Model timing'!M15</f>
        <v>Forecast</v>
      </c>
      <c r="N4" s="8"/>
      <c r="O4" s="8" t="str">
        <f t="shared" si="0"/>
        <v>Actual</v>
      </c>
      <c r="P4" s="8" t="str">
        <f t="shared" si="0"/>
        <v>Actual</v>
      </c>
      <c r="Q4" s="8" t="str">
        <f t="shared" si="0"/>
        <v>Actual</v>
      </c>
      <c r="R4" s="8" t="str">
        <f t="shared" si="0"/>
        <v>Forecast</v>
      </c>
      <c r="S4" s="8"/>
      <c r="T4" s="3" t="str">
        <f t="shared" si="3"/>
        <v>Actual</v>
      </c>
      <c r="U4" s="3" t="str">
        <f t="shared" si="4"/>
        <v>Actual</v>
      </c>
      <c r="V4" s="3" t="str">
        <f t="shared" si="4"/>
        <v>Actual</v>
      </c>
      <c r="W4" s="3" t="str">
        <f t="shared" si="4"/>
        <v>Forecast</v>
      </c>
      <c r="X4" s="8"/>
      <c r="Y4" s="8" t="str">
        <f t="shared" si="1"/>
        <v>Actual</v>
      </c>
      <c r="Z4" s="8" t="str">
        <f t="shared" si="1"/>
        <v>Actual</v>
      </c>
      <c r="AA4" s="8" t="str">
        <f t="shared" si="1"/>
        <v>Actual</v>
      </c>
      <c r="AB4" s="8" t="str">
        <f t="shared" si="1"/>
        <v>Forecast</v>
      </c>
      <c r="AC4" s="8"/>
      <c r="AD4" s="8" t="str">
        <f t="shared" si="2"/>
        <v>Actual</v>
      </c>
      <c r="AE4" s="8" t="str">
        <f t="shared" si="2"/>
        <v>Actual</v>
      </c>
      <c r="AF4" s="8" t="str">
        <f t="shared" si="2"/>
        <v>Actual</v>
      </c>
      <c r="AG4" s="8" t="str">
        <f t="shared" si="2"/>
        <v>Forecast</v>
      </c>
      <c r="AH4" s="4"/>
      <c r="AI4" s="5" t="s">
        <v>1189</v>
      </c>
      <c r="AJ4" s="5" t="s">
        <v>1189</v>
      </c>
      <c r="AK4" s="5" t="s">
        <v>1189</v>
      </c>
      <c r="AL4" s="1"/>
    </row>
    <row r="5" spans="1:38" ht="12" customHeight="1" x14ac:dyDescent="0.25">
      <c r="O5" s="923" t="s">
        <v>63</v>
      </c>
      <c r="P5" s="923"/>
      <c r="Q5" s="923"/>
      <c r="R5" s="436"/>
      <c r="T5" s="924" t="s">
        <v>239</v>
      </c>
      <c r="U5" s="924"/>
      <c r="V5" s="924"/>
      <c r="W5" s="924"/>
      <c r="Y5" s="924" t="s">
        <v>239</v>
      </c>
      <c r="Z5" s="924"/>
      <c r="AA5" s="924"/>
      <c r="AB5" s="924"/>
      <c r="AD5" s="925" t="s">
        <v>377</v>
      </c>
      <c r="AE5" s="925"/>
      <c r="AF5" s="925"/>
      <c r="AG5" s="925"/>
    </row>
    <row r="6" spans="1:38" ht="12" customHeight="1" x14ac:dyDescent="0.25">
      <c r="A6" s="14">
        <f ca="1">MAX($A$1:A5)+1</f>
        <v>1</v>
      </c>
      <c r="B6" s="15" t="s">
        <v>62</v>
      </c>
      <c r="C6" s="15"/>
      <c r="D6" s="15"/>
      <c r="E6" s="15"/>
      <c r="F6" s="16"/>
      <c r="G6" s="17"/>
      <c r="H6" s="18"/>
      <c r="I6" s="17"/>
      <c r="J6" s="19" t="str">
        <f>"RON "&amp;Multiplier</f>
        <v>RON thd</v>
      </c>
      <c r="K6" s="19" t="str">
        <f>"RON "&amp;Multiplier</f>
        <v>RON thd</v>
      </c>
      <c r="L6" s="19" t="str">
        <f>"RON "&amp;Multiplier</f>
        <v>RON thd</v>
      </c>
      <c r="M6" s="19" t="str">
        <f>"RON "&amp;Multiplier</f>
        <v>RON thd</v>
      </c>
      <c r="N6" s="19"/>
      <c r="O6" s="19" t="str">
        <f>"EUR "&amp;Multiplier</f>
        <v>EUR thd</v>
      </c>
      <c r="P6" s="19" t="str">
        <f>"EUR "&amp;Multiplier</f>
        <v>EUR thd</v>
      </c>
      <c r="Q6" s="19" t="str">
        <f>"EUR "&amp;Multiplier</f>
        <v>EUR thd</v>
      </c>
      <c r="R6" s="19" t="str">
        <f>"EUR "&amp;Multiplier</f>
        <v>EUR thd</v>
      </c>
      <c r="S6" s="19"/>
      <c r="T6" s="19" t="str">
        <f>"EUR "&amp;Multiplier</f>
        <v>EUR thd</v>
      </c>
      <c r="U6" s="19" t="str">
        <f>"EUR "&amp;Multiplier</f>
        <v>EUR thd</v>
      </c>
      <c r="V6" s="19" t="str">
        <f>"EUR "&amp;Multiplier</f>
        <v>EUR thd</v>
      </c>
      <c r="W6" s="19"/>
      <c r="X6" s="19"/>
      <c r="Y6" s="19" t="str">
        <f>"EUR "&amp;Multiplier</f>
        <v>EUR thd</v>
      </c>
      <c r="Z6" s="19" t="str">
        <f>"EUR "&amp;Multiplier</f>
        <v>EUR thd</v>
      </c>
      <c r="AA6" s="19" t="str">
        <f>"EUR "&amp;Multiplier</f>
        <v>EUR thd</v>
      </c>
      <c r="AB6" s="19"/>
      <c r="AC6" s="19"/>
      <c r="AD6" s="19" t="str">
        <f>"EUR "&amp;Multiplier</f>
        <v>EUR thd</v>
      </c>
      <c r="AE6" s="19" t="str">
        <f>"EUR "&amp;Multiplier</f>
        <v>EUR thd</v>
      </c>
      <c r="AF6" s="19" t="str">
        <f>"EUR "&amp;Multiplier</f>
        <v>EUR thd</v>
      </c>
      <c r="AG6" s="19"/>
      <c r="AH6" s="19"/>
      <c r="AI6" s="20"/>
      <c r="AJ6" s="20"/>
      <c r="AK6" s="20"/>
      <c r="AL6" s="21"/>
    </row>
    <row r="7" spans="1:38" ht="12" customHeight="1" x14ac:dyDescent="0.25">
      <c r="H7" s="22"/>
      <c r="J7" s="23"/>
      <c r="K7" s="23"/>
      <c r="L7" s="23"/>
      <c r="M7" s="23"/>
      <c r="N7" s="24"/>
      <c r="O7" s="287">
        <f>'1.1.Macroeconomic'!J$9</f>
        <v>4.4908000000000001</v>
      </c>
      <c r="P7" s="287">
        <f>'1.1.Macroeconomic'!K$9</f>
        <v>4.5681000000000003</v>
      </c>
      <c r="Q7" s="287">
        <f>'1.1.Macroeconomic'!L$9</f>
        <v>4.6535000000000002</v>
      </c>
      <c r="R7" s="287">
        <f>'1.1.Macroeconomic'!L15</f>
        <v>4.6535000000000002</v>
      </c>
      <c r="S7" s="24"/>
      <c r="T7" s="24"/>
      <c r="U7" s="24"/>
      <c r="V7" s="24"/>
      <c r="W7" s="24"/>
      <c r="X7" s="24"/>
      <c r="Y7" s="24"/>
      <c r="Z7" s="24"/>
      <c r="AA7" s="24"/>
      <c r="AB7" s="24"/>
      <c r="AC7" s="24"/>
      <c r="AD7" s="24"/>
      <c r="AE7" s="24"/>
      <c r="AF7" s="24"/>
      <c r="AG7" s="24"/>
    </row>
    <row r="8" spans="1:38" ht="12" customHeight="1" x14ac:dyDescent="0.25">
      <c r="B8" s="25">
        <f ca="1">MAX($A$1:B7)+0.1</f>
        <v>1.1000000000000001</v>
      </c>
      <c r="C8" s="39" t="s">
        <v>61</v>
      </c>
      <c r="H8" s="22"/>
      <c r="J8" s="70"/>
      <c r="K8" s="108"/>
      <c r="L8" s="108"/>
      <c r="M8" s="108"/>
      <c r="N8" s="108"/>
      <c r="O8" s="108"/>
      <c r="P8" s="113">
        <f>Q8/Q21</f>
        <v>0.96613379829812196</v>
      </c>
      <c r="Q8" s="108">
        <f>'1.5 Assumptions book'!M11</f>
        <v>7840.9537999999993</v>
      </c>
      <c r="R8" s="108"/>
      <c r="S8" s="108"/>
      <c r="T8" s="108"/>
      <c r="U8" s="108"/>
      <c r="V8" s="108"/>
      <c r="W8" s="108"/>
      <c r="X8" s="108"/>
      <c r="Y8" s="108"/>
      <c r="Z8" s="108"/>
      <c r="AA8" s="108"/>
      <c r="AB8" s="108"/>
      <c r="AC8" s="108"/>
      <c r="AD8" s="108"/>
      <c r="AE8" s="108"/>
      <c r="AF8" s="108"/>
      <c r="AG8" s="108"/>
      <c r="AH8" s="118"/>
      <c r="AI8" s="225"/>
      <c r="AJ8" s="225"/>
      <c r="AK8" s="225"/>
    </row>
    <row r="9" spans="1:38" s="6" customFormat="1" ht="12" customHeight="1" x14ac:dyDescent="0.25">
      <c r="A9" s="9"/>
      <c r="B9" s="25"/>
      <c r="C9" s="33"/>
      <c r="D9" s="9" t="s">
        <v>241</v>
      </c>
      <c r="E9" s="9"/>
      <c r="G9" s="9"/>
      <c r="H9" s="71"/>
      <c r="I9" s="9"/>
      <c r="J9" s="216">
        <f>J10+J13+J14+J17</f>
        <v>22359.971219999999</v>
      </c>
      <c r="K9" s="216">
        <f>K10+K13+K14+K17</f>
        <v>44233.372479999998</v>
      </c>
      <c r="L9" s="216">
        <f>L10+L13+L14+L17</f>
        <v>35166.946420000007</v>
      </c>
      <c r="M9" s="216">
        <f t="shared" ref="M9" si="5">M10+M13+M14+M17</f>
        <v>0</v>
      </c>
      <c r="N9" s="54"/>
      <c r="O9" s="216">
        <f t="shared" ref="O9:R20" si="6">J9/O$7</f>
        <v>4979.0619087913065</v>
      </c>
      <c r="P9" s="216">
        <f t="shared" si="6"/>
        <v>9683.1007377246551</v>
      </c>
      <c r="Q9" s="216">
        <f t="shared" si="6"/>
        <v>7557.0960395401326</v>
      </c>
      <c r="R9" s="216">
        <f t="shared" si="6"/>
        <v>0</v>
      </c>
      <c r="S9" s="54"/>
      <c r="T9" s="217">
        <v>0</v>
      </c>
      <c r="U9" s="217">
        <v>0</v>
      </c>
      <c r="V9" s="217">
        <v>0</v>
      </c>
      <c r="W9" s="217"/>
      <c r="X9" s="54"/>
      <c r="Y9" s="217">
        <v>0</v>
      </c>
      <c r="Z9" s="217">
        <v>0</v>
      </c>
      <c r="AA9" s="217">
        <v>0</v>
      </c>
      <c r="AB9" s="217"/>
      <c r="AC9" s="54"/>
      <c r="AD9" s="216">
        <f>O9-T9-Y9</f>
        <v>4979.0619087913065</v>
      </c>
      <c r="AE9" s="216">
        <f>P9-U9-Z9</f>
        <v>9683.1007377246551</v>
      </c>
      <c r="AF9" s="216">
        <f>Q9-V9-AA9</f>
        <v>7557.0960395401326</v>
      </c>
      <c r="AG9" s="216">
        <f>R9-W9-AB9</f>
        <v>0</v>
      </c>
      <c r="AH9" s="218"/>
      <c r="AI9" s="220">
        <f t="shared" ref="AI9:AI62" si="7">IF(ISERROR((($L9/$J9)^(1/($L$3-$J$3))-1)),0,(($L9/$J9)^(1/($L$3-$J$3))-1))</f>
        <v>0.25409867719201573</v>
      </c>
      <c r="AJ9" s="220">
        <f t="shared" ref="AJ9:AJ62" si="8">IF(ISERROR((($Q9/$O9)^(1/($Q$3-$O$3))-1)),0,(($Q9/$O9)^(1/($Q$3-$O$3))-1))</f>
        <v>0.23198014208023054</v>
      </c>
      <c r="AK9" s="220">
        <f t="shared" ref="AK9:AK62" si="9">IF(ISERROR((($AF9/$AD9)^(1/($AF$3-$AD$3))-1)),0,(($AF9/$AD9)^(1/($AF$3-$AD$3))-1))</f>
        <v>0.23198014208023054</v>
      </c>
      <c r="AL9" s="10" t="s">
        <v>240</v>
      </c>
    </row>
    <row r="10" spans="1:38" s="6" customFormat="1" ht="12" customHeight="1" x14ac:dyDescent="0.25">
      <c r="A10" s="9"/>
      <c r="B10" s="25"/>
      <c r="C10" s="33"/>
      <c r="E10" s="434" t="s">
        <v>1177</v>
      </c>
      <c r="G10" s="9"/>
      <c r="H10" s="71"/>
      <c r="I10" s="9"/>
      <c r="J10" s="221">
        <f>SUM(J11:J12)</f>
        <v>16082.952210000001</v>
      </c>
      <c r="K10" s="221">
        <f>SUM(K11:K12)</f>
        <v>38214.32836</v>
      </c>
      <c r="L10" s="221">
        <f>SUM(L11:L12)</f>
        <v>29149.340850000001</v>
      </c>
      <c r="M10" s="221">
        <f t="shared" ref="M10" si="10">SUM(M11:M12)</f>
        <v>0</v>
      </c>
      <c r="N10" s="54"/>
      <c r="O10" s="216">
        <f t="shared" si="6"/>
        <v>3581.311171728868</v>
      </c>
      <c r="P10" s="216">
        <f t="shared" si="6"/>
        <v>8365.4754405551539</v>
      </c>
      <c r="Q10" s="216">
        <f t="shared" si="6"/>
        <v>6263.9606425271304</v>
      </c>
      <c r="R10" s="216">
        <f t="shared" si="6"/>
        <v>0</v>
      </c>
      <c r="S10" s="54"/>
      <c r="T10" s="217">
        <v>0</v>
      </c>
      <c r="U10" s="217">
        <v>0</v>
      </c>
      <c r="V10" s="217">
        <v>0</v>
      </c>
      <c r="W10" s="217"/>
      <c r="X10" s="54"/>
      <c r="Y10" s="217">
        <v>0</v>
      </c>
      <c r="Z10" s="217">
        <v>0</v>
      </c>
      <c r="AA10" s="217">
        <v>0</v>
      </c>
      <c r="AB10" s="217"/>
      <c r="AC10" s="54"/>
      <c r="AD10" s="216">
        <f>O10-T10-Y10</f>
        <v>3581.311171728868</v>
      </c>
      <c r="AE10" s="216">
        <f t="shared" ref="AE10" si="11">P10-U10-Z10</f>
        <v>8365.4754405551539</v>
      </c>
      <c r="AF10" s="216">
        <f t="shared" ref="AF10:AG10" si="12">Q10-V10-AA10</f>
        <v>6263.9606425271304</v>
      </c>
      <c r="AG10" s="216">
        <f t="shared" si="12"/>
        <v>0</v>
      </c>
      <c r="AH10" s="218"/>
      <c r="AI10" s="220">
        <f t="shared" si="7"/>
        <v>0.34626787775695078</v>
      </c>
      <c r="AJ10" s="220">
        <f t="shared" si="8"/>
        <v>0.32252375469423566</v>
      </c>
      <c r="AK10" s="220">
        <f t="shared" si="9"/>
        <v>0.32252375469423566</v>
      </c>
      <c r="AL10" s="10" t="s">
        <v>240</v>
      </c>
    </row>
    <row r="11" spans="1:38" s="6" customFormat="1" ht="12" customHeight="1" x14ac:dyDescent="0.25">
      <c r="A11" s="9"/>
      <c r="B11" s="25"/>
      <c r="C11" s="33"/>
      <c r="E11" s="432" t="s">
        <v>1178</v>
      </c>
      <c r="G11" s="434" t="s">
        <v>1105</v>
      </c>
      <c r="H11" s="71"/>
      <c r="I11" s="9"/>
      <c r="J11" s="221">
        <f>SUMIF('HRC1216'!$L$9:$L$191,'1.2.Historical IS'!$G11,'HRC1216'!$K$9:$K$191)/1000</f>
        <v>6190.075350000001</v>
      </c>
      <c r="K11" s="221">
        <f>SUMIF('HRC1217'!$L$9:$L$191,'1.2.Historical IS'!$G11,'HRC1217'!$K$9:$K$191)/1000</f>
        <v>18434.126390000001</v>
      </c>
      <c r="L11" s="221">
        <f>SUMIF('HRC1218'!$L$9:$L$191,'1.2.Historical IS'!$G11,'HRC1218'!$K$9:$K$191)/1000</f>
        <v>19046.901010000001</v>
      </c>
      <c r="M11" s="221"/>
      <c r="N11" s="54"/>
      <c r="O11" s="457">
        <f t="shared" ref="O11" si="13">J11/O$7</f>
        <v>1378.3903424779551</v>
      </c>
      <c r="P11" s="457">
        <f t="shared" ref="P11" si="14">K11/P$7</f>
        <v>4035.4034259320069</v>
      </c>
      <c r="Q11" s="457">
        <f t="shared" ref="Q11" si="15">L11/Q$7</f>
        <v>4093.0269710970238</v>
      </c>
      <c r="R11" s="216"/>
      <c r="S11" s="54"/>
      <c r="T11" s="217"/>
      <c r="U11" s="217"/>
      <c r="V11" s="217"/>
      <c r="W11" s="217"/>
      <c r="X11" s="54"/>
      <c r="Y11" s="217"/>
      <c r="Z11" s="217"/>
      <c r="AA11" s="217"/>
      <c r="AB11" s="217"/>
      <c r="AC11" s="54"/>
      <c r="AD11" s="223">
        <f>O11-T11-Y11</f>
        <v>1378.3903424779551</v>
      </c>
      <c r="AE11" s="223">
        <f t="shared" ref="AE11:AF13" si="16">P11-U11-Z11</f>
        <v>4035.4034259320069</v>
      </c>
      <c r="AF11" s="223">
        <f t="shared" si="16"/>
        <v>4093.0269710970238</v>
      </c>
      <c r="AG11" s="216"/>
      <c r="AH11" s="218"/>
      <c r="AI11" s="220"/>
      <c r="AJ11" s="220"/>
      <c r="AK11" s="220"/>
      <c r="AL11" s="10"/>
    </row>
    <row r="12" spans="1:38" s="6" customFormat="1" ht="12" customHeight="1" x14ac:dyDescent="0.25">
      <c r="A12" s="9"/>
      <c r="B12" s="25"/>
      <c r="C12" s="33"/>
      <c r="E12" s="432" t="s">
        <v>1179</v>
      </c>
      <c r="G12" s="434" t="s">
        <v>1108</v>
      </c>
      <c r="H12" s="71"/>
      <c r="I12" s="9"/>
      <c r="J12" s="221">
        <f>SUMIF('HRC1216'!$L$9:$L$191,'1.2.Historical IS'!$G12,'HRC1216'!$K$9:$K$191)/1000</f>
        <v>9892.8768600000003</v>
      </c>
      <c r="K12" s="221">
        <f>SUMIF('HRC1217'!$L$9:$L$191,'1.2.Historical IS'!$G12,'HRC1217'!$K$9:$K$191)/1000</f>
        <v>19780.201969999998</v>
      </c>
      <c r="L12" s="221">
        <f>SUMIF('HRC1218'!$L$9:$L$191,'1.2.Historical IS'!$G12,'HRC1218'!$K$9:$K$191)/1000</f>
        <v>10102.439839999999</v>
      </c>
      <c r="M12" s="221"/>
      <c r="N12" s="54"/>
      <c r="O12" s="457">
        <f t="shared" ref="O12" si="17">J12/O$7</f>
        <v>2202.9208292509129</v>
      </c>
      <c r="P12" s="457">
        <f t="shared" ref="P12" si="18">K12/P$7</f>
        <v>4330.072014623147</v>
      </c>
      <c r="Q12" s="457">
        <f t="shared" ref="Q12" si="19">L12/Q$7</f>
        <v>2170.9336714301062</v>
      </c>
      <c r="R12" s="216"/>
      <c r="S12" s="54"/>
      <c r="T12" s="217"/>
      <c r="U12" s="217"/>
      <c r="V12" s="217"/>
      <c r="W12" s="217"/>
      <c r="X12" s="54"/>
      <c r="Y12" s="217"/>
      <c r="Z12" s="217"/>
      <c r="AA12" s="217"/>
      <c r="AB12" s="217"/>
      <c r="AC12" s="54"/>
      <c r="AD12" s="223">
        <f>O12-T12-Y12</f>
        <v>2202.9208292509129</v>
      </c>
      <c r="AE12" s="223">
        <f t="shared" si="16"/>
        <v>4330.072014623147</v>
      </c>
      <c r="AF12" s="223">
        <f t="shared" si="16"/>
        <v>2170.9336714301062</v>
      </c>
      <c r="AG12" s="216"/>
      <c r="AH12" s="218"/>
      <c r="AI12" s="220"/>
      <c r="AJ12" s="220"/>
      <c r="AK12" s="220"/>
      <c r="AL12" s="10"/>
    </row>
    <row r="13" spans="1:38" s="13" customFormat="1" ht="12" customHeight="1" x14ac:dyDescent="0.25">
      <c r="A13" s="11"/>
      <c r="B13" s="72"/>
      <c r="C13" s="38"/>
      <c r="E13" s="434" t="s">
        <v>228</v>
      </c>
      <c r="F13" s="73"/>
      <c r="G13" s="434" t="s">
        <v>1111</v>
      </c>
      <c r="H13" s="22"/>
      <c r="I13" s="11"/>
      <c r="J13" s="221">
        <f>SUMIF('HRC1216'!$L$9:$L$191,'1.2.Historical IS'!$G13,'HRC1216'!$K$9:$K$191)/1000</f>
        <v>1704.7548400000001</v>
      </c>
      <c r="K13" s="221">
        <f>SUMIF('HRC1217'!$L$9:$L$191,'1.2.Historical IS'!$G13,'HRC1217'!$K$9:$K$191)/1000</f>
        <v>3156.56673</v>
      </c>
      <c r="L13" s="221">
        <f>SUMIF('HRC1218'!$L$9:$L$191,'1.2.Historical IS'!$G13,'HRC1218'!$K$9:$K$191)/1000</f>
        <v>1938.1751999999999</v>
      </c>
      <c r="M13" s="221"/>
      <c r="N13" s="222"/>
      <c r="O13" s="223">
        <f t="shared" si="6"/>
        <v>379.61050146967131</v>
      </c>
      <c r="P13" s="223">
        <f t="shared" si="6"/>
        <v>691.0021080974584</v>
      </c>
      <c r="Q13" s="223">
        <f t="shared" si="6"/>
        <v>416.49837756527342</v>
      </c>
      <c r="R13" s="223">
        <f t="shared" si="6"/>
        <v>0</v>
      </c>
      <c r="S13" s="222"/>
      <c r="T13" s="224">
        <v>0</v>
      </c>
      <c r="U13" s="224">
        <v>0</v>
      </c>
      <c r="V13" s="224">
        <v>0</v>
      </c>
      <c r="W13" s="224"/>
      <c r="X13" s="222"/>
      <c r="Y13" s="224">
        <v>0</v>
      </c>
      <c r="Z13" s="224">
        <v>0</v>
      </c>
      <c r="AA13" s="224">
        <v>0</v>
      </c>
      <c r="AB13" s="224"/>
      <c r="AC13" s="222"/>
      <c r="AD13" s="223">
        <f>O13-T13-Y13</f>
        <v>379.61050146967131</v>
      </c>
      <c r="AE13" s="223">
        <f t="shared" si="16"/>
        <v>691.0021080974584</v>
      </c>
      <c r="AF13" s="223">
        <f t="shared" si="16"/>
        <v>416.49837756527342</v>
      </c>
      <c r="AG13" s="223">
        <f>R13-W13-AB13</f>
        <v>0</v>
      </c>
      <c r="AH13" s="225"/>
      <c r="AI13" s="220">
        <f t="shared" si="7"/>
        <v>6.6265972902487258E-2</v>
      </c>
      <c r="AJ13" s="220">
        <f t="shared" si="8"/>
        <v>4.7460242708311728E-2</v>
      </c>
      <c r="AK13" s="220">
        <f t="shared" si="9"/>
        <v>4.7460242708311728E-2</v>
      </c>
      <c r="AL13" s="10" t="s">
        <v>240</v>
      </c>
    </row>
    <row r="14" spans="1:38" s="13" customFormat="1" ht="12" customHeight="1" x14ac:dyDescent="0.25">
      <c r="A14" s="11"/>
      <c r="B14" s="72"/>
      <c r="C14" s="38"/>
      <c r="E14" s="434" t="s">
        <v>229</v>
      </c>
      <c r="F14" s="73"/>
      <c r="G14" s="434"/>
      <c r="H14" s="22"/>
      <c r="I14" s="11"/>
      <c r="J14" s="827">
        <f>SUM(J15:J16)</f>
        <v>4606.9050100000004</v>
      </c>
      <c r="K14" s="827">
        <f>SUM(K15:K16)</f>
        <v>2909.1259700000001</v>
      </c>
      <c r="L14" s="827">
        <f>SUM(L15:L16)</f>
        <v>4252.6407300000001</v>
      </c>
      <c r="M14" s="827">
        <f t="shared" ref="M14" si="20">SUM(M15:M16)</f>
        <v>0</v>
      </c>
      <c r="N14" s="222"/>
      <c r="O14" s="223">
        <f t="shared" si="6"/>
        <v>1025.8539703393606</v>
      </c>
      <c r="P14" s="223">
        <f t="shared" si="6"/>
        <v>636.83500142291098</v>
      </c>
      <c r="Q14" s="223">
        <f t="shared" si="6"/>
        <v>913.85854303212636</v>
      </c>
      <c r="R14" s="223">
        <f t="shared" si="6"/>
        <v>0</v>
      </c>
      <c r="S14" s="222"/>
      <c r="T14" s="224">
        <v>0</v>
      </c>
      <c r="U14" s="224">
        <v>0</v>
      </c>
      <c r="V14" s="224">
        <v>0</v>
      </c>
      <c r="W14" s="224"/>
      <c r="X14" s="222"/>
      <c r="Y14" s="224">
        <v>0</v>
      </c>
      <c r="Z14" s="224">
        <v>0</v>
      </c>
      <c r="AA14" s="224">
        <v>0</v>
      </c>
      <c r="AB14" s="224"/>
      <c r="AC14" s="222"/>
      <c r="AD14" s="223">
        <f t="shared" ref="AD14:AD17" si="21">O14-T14-Y14</f>
        <v>1025.8539703393606</v>
      </c>
      <c r="AE14" s="223">
        <f t="shared" ref="AE14:AE19" si="22">P14-U14-Z14</f>
        <v>636.83500142291098</v>
      </c>
      <c r="AF14" s="223">
        <f t="shared" ref="AF14:AG19" si="23">Q14-V14-AA14</f>
        <v>913.85854303212636</v>
      </c>
      <c r="AG14" s="223">
        <f t="shared" si="23"/>
        <v>0</v>
      </c>
      <c r="AH14" s="225"/>
      <c r="AI14" s="220">
        <f t="shared" si="7"/>
        <v>-3.921830905610002E-2</v>
      </c>
      <c r="AJ14" s="220">
        <f t="shared" si="8"/>
        <v>-5.6163613243395027E-2</v>
      </c>
      <c r="AK14" s="220">
        <f t="shared" si="9"/>
        <v>-5.6163613243395027E-2</v>
      </c>
      <c r="AL14" s="10" t="s">
        <v>240</v>
      </c>
    </row>
    <row r="15" spans="1:38" s="13" customFormat="1" ht="12" customHeight="1" x14ac:dyDescent="0.25">
      <c r="A15" s="11"/>
      <c r="B15" s="72"/>
      <c r="C15" s="38"/>
      <c r="E15" s="432" t="s">
        <v>281</v>
      </c>
      <c r="F15" s="73"/>
      <c r="G15" s="434" t="s">
        <v>1119</v>
      </c>
      <c r="H15" s="22"/>
      <c r="I15" s="11"/>
      <c r="J15" s="221">
        <f>SUMIF('HRC1216'!$L$9:$L$191,'1.2.Historical IS'!$G15,'HRC1216'!$K$9:$K$191)/1000</f>
        <v>2913.6548600000006</v>
      </c>
      <c r="K15" s="221">
        <f>SUMIF('HRC1217'!$L$9:$L$191,'1.2.Historical IS'!$G15,'HRC1217'!$K$9:$K$191)/1000</f>
        <v>1660.4238600000001</v>
      </c>
      <c r="L15" s="221">
        <f>SUMIF('HRC1218'!$L$9:$L$191,'1.2.Historical IS'!$G15,'HRC1218'!$K$9:$K$191)/1000</f>
        <v>2440.1547</v>
      </c>
      <c r="M15" s="221"/>
      <c r="N15" s="222"/>
      <c r="O15" s="457">
        <f t="shared" ref="O15" si="24">J15/O$7</f>
        <v>648.80530417742955</v>
      </c>
      <c r="P15" s="457">
        <f t="shared" ref="P15" si="25">K15/P$7</f>
        <v>363.48237998292507</v>
      </c>
      <c r="Q15" s="457">
        <f t="shared" ref="Q15" si="26">L15/Q$7</f>
        <v>524.36976469324168</v>
      </c>
      <c r="R15" s="223"/>
      <c r="S15" s="222"/>
      <c r="T15" s="224"/>
      <c r="U15" s="224"/>
      <c r="V15" s="224"/>
      <c r="W15" s="224"/>
      <c r="X15" s="222"/>
      <c r="Y15" s="224"/>
      <c r="Z15" s="224"/>
      <c r="AA15" s="224"/>
      <c r="AB15" s="224"/>
      <c r="AC15" s="222"/>
      <c r="AD15" s="223">
        <f t="shared" si="21"/>
        <v>648.80530417742955</v>
      </c>
      <c r="AE15" s="223">
        <f t="shared" si="22"/>
        <v>363.48237998292507</v>
      </c>
      <c r="AF15" s="223">
        <f t="shared" si="23"/>
        <v>524.36976469324168</v>
      </c>
      <c r="AG15" s="223"/>
      <c r="AH15" s="225"/>
      <c r="AI15" s="220"/>
      <c r="AJ15" s="220"/>
      <c r="AK15" s="220"/>
      <c r="AL15" s="10"/>
    </row>
    <row r="16" spans="1:38" s="13" customFormat="1" ht="12" customHeight="1" x14ac:dyDescent="0.25">
      <c r="A16" s="11"/>
      <c r="B16" s="72"/>
      <c r="C16" s="38"/>
      <c r="E16" s="432" t="s">
        <v>1181</v>
      </c>
      <c r="F16" s="73"/>
      <c r="G16" s="434" t="s">
        <v>1122</v>
      </c>
      <c r="H16" s="22"/>
      <c r="I16" s="11"/>
      <c r="J16" s="221">
        <f>SUMIF('HRC1216'!$L$9:$L$191,'1.2.Historical IS'!$G16,'HRC1216'!$K$9:$K$191)/1000</f>
        <v>1693.2501500000001</v>
      </c>
      <c r="K16" s="221">
        <f>SUMIF('HRC1217'!$L$9:$L$191,'1.2.Historical IS'!$G16,'HRC1217'!$K$9:$K$191)/1000</f>
        <v>1248.7021100000002</v>
      </c>
      <c r="L16" s="221">
        <f>SUMIF('HRC1218'!$L$9:$L$191,'1.2.Historical IS'!$G16,'HRC1218'!$K$9:$K$191)/1000</f>
        <v>1812.48603</v>
      </c>
      <c r="M16" s="221"/>
      <c r="N16" s="222"/>
      <c r="O16" s="457">
        <f t="shared" ref="O16" si="27">J16/O$7</f>
        <v>377.04866616193107</v>
      </c>
      <c r="P16" s="457">
        <f t="shared" ref="P16" si="28">K16/P$7</f>
        <v>273.35262143998602</v>
      </c>
      <c r="Q16" s="457">
        <f t="shared" ref="Q16" si="29">L16/Q$7</f>
        <v>389.48877833888469</v>
      </c>
      <c r="R16" s="223"/>
      <c r="S16" s="222"/>
      <c r="T16" s="224"/>
      <c r="U16" s="224"/>
      <c r="V16" s="224"/>
      <c r="W16" s="224"/>
      <c r="X16" s="222"/>
      <c r="Y16" s="224"/>
      <c r="Z16" s="224"/>
      <c r="AA16" s="224"/>
      <c r="AB16" s="224"/>
      <c r="AC16" s="222"/>
      <c r="AD16" s="223">
        <f t="shared" si="21"/>
        <v>377.04866616193107</v>
      </c>
      <c r="AE16" s="223">
        <f t="shared" si="22"/>
        <v>273.35262143998602</v>
      </c>
      <c r="AF16" s="223">
        <f t="shared" si="23"/>
        <v>389.48877833888469</v>
      </c>
      <c r="AG16" s="223"/>
      <c r="AH16" s="225"/>
      <c r="AI16" s="220"/>
      <c r="AJ16" s="220"/>
      <c r="AK16" s="220"/>
      <c r="AL16" s="10"/>
    </row>
    <row r="17" spans="1:38" s="13" customFormat="1" ht="12" customHeight="1" x14ac:dyDescent="0.25">
      <c r="A17" s="11"/>
      <c r="B17" s="72"/>
      <c r="C17" s="38"/>
      <c r="E17" s="434" t="s">
        <v>1186</v>
      </c>
      <c r="F17" s="73"/>
      <c r="G17" s="434" t="s">
        <v>1128</v>
      </c>
      <c r="H17" s="22"/>
      <c r="I17" s="11"/>
      <c r="J17" s="221">
        <f>SUMIF('HRC1216'!$L$9:$L$191,'1.2.Historical IS'!$G17,'HRC1216'!$K$9:$K$191)/1000</f>
        <v>-34.640840000000004</v>
      </c>
      <c r="K17" s="221">
        <f>SUMIF('HRC1217'!$L$9:$L$191,'1.2.Historical IS'!$G17,'HRC1217'!$K$9:$K$191)/1000</f>
        <v>-46.648580000000003</v>
      </c>
      <c r="L17" s="221">
        <f>SUMIF('HRC1218'!$L$9:$L$191,'1.2.Historical IS'!$G17,'HRC1218'!$K$9:$K$191)/1000</f>
        <v>-173.21036000000001</v>
      </c>
      <c r="M17" s="221"/>
      <c r="N17" s="222"/>
      <c r="O17" s="457">
        <f t="shared" ref="O17" si="30">J17/O$7</f>
        <v>-7.713734746593035</v>
      </c>
      <c r="P17" s="457">
        <f t="shared" ref="P17" si="31">K17/P$7</f>
        <v>-10.211812350867977</v>
      </c>
      <c r="Q17" s="457">
        <f t="shared" ref="Q17" si="32">L17/Q$7</f>
        <v>-37.221523584398838</v>
      </c>
      <c r="R17" s="223"/>
      <c r="S17" s="222"/>
      <c r="T17" s="224"/>
      <c r="U17" s="224"/>
      <c r="V17" s="224"/>
      <c r="W17" s="224"/>
      <c r="X17" s="222"/>
      <c r="Y17" s="224"/>
      <c r="Z17" s="224"/>
      <c r="AA17" s="224"/>
      <c r="AB17" s="224"/>
      <c r="AC17" s="222"/>
      <c r="AD17" s="223">
        <f t="shared" si="21"/>
        <v>-7.713734746593035</v>
      </c>
      <c r="AE17" s="223">
        <f t="shared" si="22"/>
        <v>-10.211812350867977</v>
      </c>
      <c r="AF17" s="223">
        <f t="shared" si="23"/>
        <v>-37.221523584398838</v>
      </c>
      <c r="AG17" s="223"/>
      <c r="AH17" s="225"/>
      <c r="AI17" s="220"/>
      <c r="AJ17" s="220"/>
      <c r="AK17" s="220"/>
      <c r="AL17" s="10"/>
    </row>
    <row r="18" spans="1:38" s="13" customFormat="1" ht="12" customHeight="1" x14ac:dyDescent="0.25">
      <c r="A18" s="11"/>
      <c r="B18" s="72"/>
      <c r="C18" s="38"/>
      <c r="D18" s="9" t="s">
        <v>285</v>
      </c>
      <c r="E18" s="434"/>
      <c r="F18" s="73"/>
      <c r="G18" s="434" t="s">
        <v>1131</v>
      </c>
      <c r="H18" s="22"/>
      <c r="I18" s="11"/>
      <c r="J18" s="828">
        <f>1525964/1000</f>
        <v>1525.9639999999999</v>
      </c>
      <c r="K18" s="828">
        <v>-450.44600000000003</v>
      </c>
      <c r="L18" s="807">
        <f>2409608/1000</f>
        <v>2409.6080000000002</v>
      </c>
      <c r="M18" s="221"/>
      <c r="N18" s="222"/>
      <c r="O18" s="457">
        <f t="shared" si="6"/>
        <v>339.79780885365636</v>
      </c>
      <c r="P18" s="457">
        <f t="shared" si="6"/>
        <v>-98.606860620389227</v>
      </c>
      <c r="Q18" s="457">
        <f t="shared" si="6"/>
        <v>517.80552272483078</v>
      </c>
      <c r="R18" s="457">
        <f t="shared" si="6"/>
        <v>0</v>
      </c>
      <c r="S18" s="222"/>
      <c r="T18" s="224"/>
      <c r="U18" s="224"/>
      <c r="V18" s="224"/>
      <c r="W18" s="224"/>
      <c r="X18" s="222"/>
      <c r="Y18" s="224"/>
      <c r="Z18" s="224"/>
      <c r="AA18" s="224"/>
      <c r="AB18" s="224"/>
      <c r="AC18" s="222"/>
      <c r="AD18" s="223">
        <f t="shared" ref="AD18" si="33">O18-T18-Y18</f>
        <v>339.79780885365636</v>
      </c>
      <c r="AE18" s="223">
        <f t="shared" ref="AE18" si="34">P18-U18-Z18</f>
        <v>-98.606860620389227</v>
      </c>
      <c r="AF18" s="223">
        <f t="shared" ref="AF18" si="35">Q18-V18-AA18</f>
        <v>517.80552272483078</v>
      </c>
      <c r="AG18" s="223">
        <f t="shared" ref="AG18" si="36">R18-W18-AB18</f>
        <v>0</v>
      </c>
      <c r="AH18" s="225"/>
      <c r="AI18" s="220"/>
      <c r="AJ18" s="220"/>
      <c r="AK18" s="220"/>
      <c r="AL18" s="10" t="s">
        <v>240</v>
      </c>
    </row>
    <row r="19" spans="1:38" s="6" customFormat="1" ht="12" customHeight="1" x14ac:dyDescent="0.25">
      <c r="A19" s="9"/>
      <c r="B19" s="25"/>
      <c r="C19" s="33"/>
      <c r="D19" s="9" t="s">
        <v>138</v>
      </c>
      <c r="E19" s="9"/>
      <c r="G19" s="434" t="s">
        <v>1114</v>
      </c>
      <c r="H19" s="71"/>
      <c r="I19" s="9"/>
      <c r="J19" s="827">
        <f>SUMIF('HRC1216'!$L$9:$L$191,'1.2.Historical IS'!$G19,'HRC1216'!$K$9:$K$191)/1000+J20</f>
        <v>267.63670000000002</v>
      </c>
      <c r="K19" s="827">
        <f>SUMIF('HRC1217'!$L$9:$L$191,'1.2.Historical IS'!$G19,'HRC1217'!$K$9:$K$191)/1000+K20</f>
        <v>196.09032999999999</v>
      </c>
      <c r="L19" s="827">
        <f>SUMIF('HRC1218'!$L$9:$L$191,'1.2.Historical IS'!$G19,'HRC1218'!$K$9:$K$191)/1000+L20</f>
        <v>190.34554</v>
      </c>
      <c r="M19" s="285"/>
      <c r="N19" s="54"/>
      <c r="O19" s="216">
        <f t="shared" si="6"/>
        <v>59.596664291440284</v>
      </c>
      <c r="P19" s="216">
        <f t="shared" si="6"/>
        <v>42.926015192311901</v>
      </c>
      <c r="Q19" s="216">
        <f t="shared" si="6"/>
        <v>40.90373697217148</v>
      </c>
      <c r="R19" s="216">
        <f t="shared" si="6"/>
        <v>0</v>
      </c>
      <c r="S19" s="54"/>
      <c r="T19" s="226">
        <v>0</v>
      </c>
      <c r="U19" s="226">
        <v>0</v>
      </c>
      <c r="V19" s="226">
        <v>0</v>
      </c>
      <c r="W19" s="226"/>
      <c r="X19" s="54"/>
      <c r="Y19" s="226">
        <v>0</v>
      </c>
      <c r="Z19" s="226">
        <v>0</v>
      </c>
      <c r="AA19" s="226">
        <v>0</v>
      </c>
      <c r="AB19" s="226"/>
      <c r="AC19" s="54"/>
      <c r="AD19" s="216">
        <f>O19-T19-Y19</f>
        <v>59.596664291440284</v>
      </c>
      <c r="AE19" s="216">
        <f t="shared" si="22"/>
        <v>42.926015192311901</v>
      </c>
      <c r="AF19" s="216">
        <f t="shared" si="23"/>
        <v>40.90373697217148</v>
      </c>
      <c r="AG19" s="216">
        <f t="shared" si="23"/>
        <v>0</v>
      </c>
      <c r="AH19" s="218"/>
      <c r="AI19" s="220">
        <f t="shared" si="7"/>
        <v>-0.15666811717954021</v>
      </c>
      <c r="AJ19" s="220">
        <f t="shared" si="8"/>
        <v>-0.17154195940606887</v>
      </c>
      <c r="AK19" s="220">
        <f t="shared" si="9"/>
        <v>-0.17154195940606887</v>
      </c>
      <c r="AL19" s="10" t="s">
        <v>240</v>
      </c>
    </row>
    <row r="20" spans="1:38" s="6" customFormat="1" ht="12" customHeight="1" x14ac:dyDescent="0.25">
      <c r="A20" s="9"/>
      <c r="B20" s="25"/>
      <c r="C20" s="33"/>
      <c r="D20" s="9"/>
      <c r="E20" s="434" t="s">
        <v>295</v>
      </c>
      <c r="G20" s="434" t="s">
        <v>1180</v>
      </c>
      <c r="H20" s="71"/>
      <c r="I20" s="9"/>
      <c r="J20" s="221">
        <f>SUMIF('HRC1216'!$L$9:$L$191,'1.2.Historical IS'!$G20,'HRC1216'!$K$9:$K$191)/1000</f>
        <v>19.201510000000003</v>
      </c>
      <c r="K20" s="221">
        <f>SUMIF('HRC1217'!$L$9:$L$191,'1.2.Historical IS'!$G20,'HRC1217'!$K$9:$K$191)/1000</f>
        <v>19.107830000000003</v>
      </c>
      <c r="L20" s="221">
        <f>SUMIF('HRC1218'!$L$9:$L$191,'1.2.Historical IS'!$G20,'HRC1218'!$K$9:$K$191)/1000</f>
        <v>9.4522900000000014</v>
      </c>
      <c r="M20" s="345"/>
      <c r="N20" s="108"/>
      <c r="O20" s="117">
        <f t="shared" si="6"/>
        <v>4.275743742762983</v>
      </c>
      <c r="P20" s="117">
        <f t="shared" si="6"/>
        <v>4.1828834745298922</v>
      </c>
      <c r="Q20" s="117">
        <f t="shared" si="6"/>
        <v>2.0312216611152896</v>
      </c>
      <c r="R20" s="117">
        <f t="shared" si="6"/>
        <v>0</v>
      </c>
      <c r="S20" s="54"/>
      <c r="T20" s="226"/>
      <c r="U20" s="226"/>
      <c r="V20" s="226"/>
      <c r="W20" s="226"/>
      <c r="X20" s="54"/>
      <c r="Y20" s="226"/>
      <c r="Z20" s="226"/>
      <c r="AA20" s="226"/>
      <c r="AB20" s="226"/>
      <c r="AC20" s="54"/>
      <c r="AD20" s="223">
        <f t="shared" ref="AD20" si="37">O20-T20-Y20</f>
        <v>4.275743742762983</v>
      </c>
      <c r="AE20" s="223">
        <f t="shared" ref="AE20" si="38">P20-U20-Z20</f>
        <v>4.1828834745298922</v>
      </c>
      <c r="AF20" s="223">
        <f t="shared" ref="AF20" si="39">Q20-V20-AA20</f>
        <v>2.0312216611152896</v>
      </c>
      <c r="AG20" s="223">
        <f t="shared" ref="AG20" si="40">R20-W20-AB20</f>
        <v>0</v>
      </c>
      <c r="AH20" s="218"/>
      <c r="AI20" s="220">
        <f t="shared" si="7"/>
        <v>-0.29838183033658139</v>
      </c>
      <c r="AJ20" s="220">
        <f t="shared" si="8"/>
        <v>-0.31075626817229784</v>
      </c>
      <c r="AK20" s="220">
        <f t="shared" si="9"/>
        <v>-0.31075626817229784</v>
      </c>
      <c r="AL20" s="10" t="s">
        <v>240</v>
      </c>
    </row>
    <row r="21" spans="1:38" ht="12" customHeight="1" x14ac:dyDescent="0.25">
      <c r="B21" s="25"/>
      <c r="C21" s="39"/>
      <c r="D21" s="74" t="s">
        <v>60</v>
      </c>
      <c r="E21" s="50"/>
      <c r="F21" s="50"/>
      <c r="G21" s="50"/>
      <c r="H21" s="75"/>
      <c r="I21" s="50"/>
      <c r="J21" s="623">
        <f>J9+J19+J18</f>
        <v>24153.571919999998</v>
      </c>
      <c r="K21" s="227">
        <f>K9+K19+K18</f>
        <v>43979.016809999994</v>
      </c>
      <c r="L21" s="227">
        <f>L9+L19+L18</f>
        <v>37766.89996000001</v>
      </c>
      <c r="M21" s="227">
        <f t="shared" ref="M21" si="41">M9+M19+M18</f>
        <v>0</v>
      </c>
      <c r="N21" s="54"/>
      <c r="O21" s="227">
        <f t="shared" ref="O21" si="42">O9+O19+O18</f>
        <v>5378.456381936403</v>
      </c>
      <c r="P21" s="227">
        <f t="shared" ref="P21" si="43">P9+P19+P18</f>
        <v>9627.419892296577</v>
      </c>
      <c r="Q21" s="227">
        <f t="shared" ref="Q21" si="44">Q9+Q19+Q18</f>
        <v>8115.8052992371349</v>
      </c>
      <c r="R21" s="227">
        <f t="shared" ref="R21" si="45">R9+R19+R18</f>
        <v>0</v>
      </c>
      <c r="S21" s="108"/>
      <c r="T21" s="227">
        <f t="shared" ref="T21:W21" si="46">T9+T19+T18</f>
        <v>0</v>
      </c>
      <c r="U21" s="227">
        <f t="shared" si="46"/>
        <v>0</v>
      </c>
      <c r="V21" s="227">
        <f t="shared" si="46"/>
        <v>0</v>
      </c>
      <c r="W21" s="227">
        <f t="shared" si="46"/>
        <v>0</v>
      </c>
      <c r="X21" s="108"/>
      <c r="Y21" s="227">
        <f t="shared" ref="Y21:AB21" si="47">Y9+Y19+Y18</f>
        <v>0</v>
      </c>
      <c r="Z21" s="227">
        <f t="shared" si="47"/>
        <v>0</v>
      </c>
      <c r="AA21" s="227">
        <f t="shared" si="47"/>
        <v>0</v>
      </c>
      <c r="AB21" s="227">
        <f t="shared" si="47"/>
        <v>0</v>
      </c>
      <c r="AC21" s="108"/>
      <c r="AD21" s="227">
        <f t="shared" ref="AD21:AG21" si="48">AD9+AD19+AD18</f>
        <v>5378.456381936403</v>
      </c>
      <c r="AE21" s="227">
        <f t="shared" si="48"/>
        <v>9627.419892296577</v>
      </c>
      <c r="AF21" s="227">
        <f t="shared" si="48"/>
        <v>8115.8052992371349</v>
      </c>
      <c r="AG21" s="227">
        <f t="shared" si="48"/>
        <v>0</v>
      </c>
      <c r="AH21" s="118"/>
      <c r="AI21" s="220">
        <f t="shared" si="7"/>
        <v>0.25044612909056552</v>
      </c>
      <c r="AJ21" s="220">
        <f t="shared" si="8"/>
        <v>0.22839201396015718</v>
      </c>
      <c r="AK21" s="220">
        <f t="shared" si="9"/>
        <v>0.22839201396015718</v>
      </c>
    </row>
    <row r="22" spans="1:38" ht="12" customHeight="1" x14ac:dyDescent="0.25">
      <c r="B22" s="25">
        <f ca="1">MAX($A$1:B21)+0.1</f>
        <v>1.2000000000000002</v>
      </c>
      <c r="C22" s="9" t="s">
        <v>59</v>
      </c>
      <c r="H22" s="22"/>
      <c r="J22" s="108"/>
      <c r="K22" s="108"/>
      <c r="L22" s="108"/>
      <c r="M22" s="108"/>
      <c r="N22" s="108"/>
      <c r="O22" s="108"/>
      <c r="P22" s="108"/>
      <c r="Q22" s="108"/>
      <c r="R22" s="108"/>
      <c r="S22" s="108"/>
      <c r="T22" s="108"/>
      <c r="U22" s="108"/>
      <c r="V22" s="108"/>
      <c r="W22" s="108"/>
      <c r="X22" s="108"/>
      <c r="Y22" s="108"/>
      <c r="Z22" s="108"/>
      <c r="AA22" s="108"/>
      <c r="AB22" s="108"/>
      <c r="AC22" s="108"/>
      <c r="AD22" s="108"/>
      <c r="AE22" s="108"/>
      <c r="AF22" s="108"/>
      <c r="AG22" s="108"/>
      <c r="AH22" s="118"/>
      <c r="AI22" s="225"/>
      <c r="AJ22" s="225"/>
      <c r="AK22" s="225"/>
    </row>
    <row r="23" spans="1:38" ht="12" customHeight="1" x14ac:dyDescent="0.25">
      <c r="B23" s="25"/>
      <c r="C23" s="39"/>
      <c r="D23" s="9" t="s">
        <v>144</v>
      </c>
      <c r="H23" s="22"/>
      <c r="J23" s="216">
        <f>SUM(J24:J26)</f>
        <v>735.59163000000001</v>
      </c>
      <c r="K23" s="216">
        <f>SUM(K24:K26)</f>
        <v>935.75</v>
      </c>
      <c r="L23" s="216">
        <f>SUM(L24:L26)</f>
        <v>1081.1355000000001</v>
      </c>
      <c r="M23" s="216"/>
      <c r="N23" s="108"/>
      <c r="O23" s="216">
        <f t="shared" ref="O23:R30" si="49">J23/O$7</f>
        <v>163.79968602476174</v>
      </c>
      <c r="P23" s="216">
        <f t="shared" si="49"/>
        <v>204.84446487598782</v>
      </c>
      <c r="Q23" s="216">
        <f t="shared" si="49"/>
        <v>232.32738798753627</v>
      </c>
      <c r="R23" s="216">
        <f t="shared" si="49"/>
        <v>0</v>
      </c>
      <c r="S23" s="54"/>
      <c r="T23" s="224">
        <v>0</v>
      </c>
      <c r="U23" s="224">
        <v>0</v>
      </c>
      <c r="V23" s="224">
        <v>0</v>
      </c>
      <c r="W23" s="224"/>
      <c r="X23" s="54"/>
      <c r="Y23" s="224">
        <v>0</v>
      </c>
      <c r="Z23" s="224">
        <v>0</v>
      </c>
      <c r="AA23" s="224">
        <v>0</v>
      </c>
      <c r="AB23" s="224"/>
      <c r="AC23" s="54"/>
      <c r="AD23" s="216">
        <f>O23-T23-Y23</f>
        <v>163.79968602476174</v>
      </c>
      <c r="AE23" s="216">
        <f t="shared" ref="AE23:AE26" si="50">P23-U23-Z23</f>
        <v>204.84446487598782</v>
      </c>
      <c r="AF23" s="216">
        <f t="shared" ref="AF23:AG26" si="51">Q23-V23-AA23</f>
        <v>232.32738798753627</v>
      </c>
      <c r="AG23" s="216">
        <f t="shared" si="51"/>
        <v>0</v>
      </c>
      <c r="AH23" s="118"/>
      <c r="AI23" s="220">
        <f t="shared" si="7"/>
        <v>0.21233229546284993</v>
      </c>
      <c r="AJ23" s="220">
        <f t="shared" si="8"/>
        <v>0.19095039391712287</v>
      </c>
      <c r="AK23" s="220">
        <f t="shared" si="9"/>
        <v>0.19095039391712287</v>
      </c>
      <c r="AL23" s="10" t="s">
        <v>240</v>
      </c>
    </row>
    <row r="24" spans="1:38" s="13" customFormat="1" ht="12" customHeight="1" x14ac:dyDescent="0.25">
      <c r="A24" s="11"/>
      <c r="B24" s="72"/>
      <c r="C24" s="76"/>
      <c r="D24" s="11"/>
      <c r="E24" s="11"/>
      <c r="F24" s="11" t="s">
        <v>103</v>
      </c>
      <c r="G24" s="11" t="s">
        <v>1058</v>
      </c>
      <c r="H24" s="22"/>
      <c r="I24" s="11"/>
      <c r="J24" s="221">
        <f>-SUMIF('HRC1216'!$L$9:$L$191,'1.2.Historical IS'!$G24,'HRC1216'!$K$9:$K$191)/1000</f>
        <v>569.69500000000005</v>
      </c>
      <c r="K24" s="221">
        <f>-SUMIF('HRC1217'!$L$9:$L$191,'1.2.Historical IS'!$G24,'HRC1217'!$K$9:$K$191)/1000</f>
        <v>722.78099999999995</v>
      </c>
      <c r="L24" s="221">
        <f>-SUMIF('HRC1218'!$L$9:$L$191,'1.2.Historical IS'!$G24,'HRC1218'!$K$9:$K$191)/1000</f>
        <v>1008.97</v>
      </c>
      <c r="M24" s="221"/>
      <c r="N24" s="222"/>
      <c r="O24" s="223">
        <f t="shared" si="49"/>
        <v>126.85824352008551</v>
      </c>
      <c r="P24" s="223">
        <f t="shared" si="49"/>
        <v>158.22355027254218</v>
      </c>
      <c r="Q24" s="223">
        <f t="shared" si="49"/>
        <v>216.81959815192866</v>
      </c>
      <c r="R24" s="223">
        <f t="shared" si="49"/>
        <v>0</v>
      </c>
      <c r="S24" s="222"/>
      <c r="T24" s="224">
        <v>0</v>
      </c>
      <c r="U24" s="224">
        <v>0</v>
      </c>
      <c r="V24" s="224">
        <v>0</v>
      </c>
      <c r="W24" s="224"/>
      <c r="X24" s="222"/>
      <c r="Y24" s="224">
        <v>0</v>
      </c>
      <c r="Z24" s="224">
        <v>0</v>
      </c>
      <c r="AA24" s="224">
        <v>0</v>
      </c>
      <c r="AB24" s="224"/>
      <c r="AC24" s="222"/>
      <c r="AD24" s="223">
        <f t="shared" ref="AD24:AD26" si="52">O24-T24-Y24</f>
        <v>126.85824352008551</v>
      </c>
      <c r="AE24" s="223">
        <f t="shared" si="50"/>
        <v>158.22355027254218</v>
      </c>
      <c r="AF24" s="223">
        <f t="shared" si="51"/>
        <v>216.81959815192866</v>
      </c>
      <c r="AG24" s="223">
        <f t="shared" si="51"/>
        <v>0</v>
      </c>
      <c r="AH24" s="225"/>
      <c r="AI24" s="220">
        <f t="shared" si="7"/>
        <v>0.33081572168505891</v>
      </c>
      <c r="AJ24" s="220">
        <f t="shared" si="8"/>
        <v>0.3073441282588425</v>
      </c>
      <c r="AK24" s="220">
        <f t="shared" si="9"/>
        <v>0.3073441282588425</v>
      </c>
      <c r="AL24" s="10" t="s">
        <v>240</v>
      </c>
    </row>
    <row r="25" spans="1:38" s="13" customFormat="1" ht="12" customHeight="1" x14ac:dyDescent="0.25">
      <c r="A25" s="11"/>
      <c r="B25" s="72"/>
      <c r="C25" s="76"/>
      <c r="D25" s="11"/>
      <c r="E25" s="11"/>
      <c r="F25" s="11" t="s">
        <v>104</v>
      </c>
      <c r="G25" s="11" t="s">
        <v>1183</v>
      </c>
      <c r="H25" s="22"/>
      <c r="I25" s="11"/>
      <c r="J25" s="221">
        <f>-SUMIF('HRC1216'!$L$9:$L$191,'1.2.Historical IS'!$G25,'HRC1216'!$K$9:$K$191)/1000</f>
        <v>36.183630000000001</v>
      </c>
      <c r="K25" s="221">
        <f>-SUMIF('HRC1217'!$L$9:$L$191,'1.2.Historical IS'!$G25,'HRC1217'!$K$9:$K$191)/1000</f>
        <v>48.308</v>
      </c>
      <c r="L25" s="221">
        <f>-SUMIF('HRC1218'!$L$9:$L$191,'1.2.Historical IS'!$G25,'HRC1218'!$K$9:$K$191)/1000</f>
        <v>49.462499999999999</v>
      </c>
      <c r="M25" s="221"/>
      <c r="N25" s="222"/>
      <c r="O25" s="223">
        <f t="shared" si="49"/>
        <v>8.057279326623318</v>
      </c>
      <c r="P25" s="223">
        <f t="shared" si="49"/>
        <v>10.57507497646724</v>
      </c>
      <c r="Q25" s="223">
        <f t="shared" si="49"/>
        <v>10.629096379069518</v>
      </c>
      <c r="R25" s="223">
        <f t="shared" si="49"/>
        <v>0</v>
      </c>
      <c r="S25" s="222"/>
      <c r="T25" s="224">
        <v>0</v>
      </c>
      <c r="U25" s="224">
        <v>0</v>
      </c>
      <c r="V25" s="224">
        <v>0</v>
      </c>
      <c r="W25" s="224"/>
      <c r="X25" s="222"/>
      <c r="Y25" s="224">
        <v>0</v>
      </c>
      <c r="Z25" s="224">
        <v>0</v>
      </c>
      <c r="AA25" s="224">
        <v>0</v>
      </c>
      <c r="AB25" s="224"/>
      <c r="AC25" s="222"/>
      <c r="AD25" s="223">
        <f t="shared" si="52"/>
        <v>8.057279326623318</v>
      </c>
      <c r="AE25" s="223">
        <f t="shared" si="50"/>
        <v>10.57507497646724</v>
      </c>
      <c r="AF25" s="223">
        <f t="shared" si="51"/>
        <v>10.629096379069518</v>
      </c>
      <c r="AG25" s="223">
        <f t="shared" si="51"/>
        <v>0</v>
      </c>
      <c r="AH25" s="225"/>
      <c r="AI25" s="220">
        <f t="shared" si="7"/>
        <v>0.16918158033001873</v>
      </c>
      <c r="AJ25" s="220">
        <f t="shared" si="8"/>
        <v>0.1485607278349943</v>
      </c>
      <c r="AK25" s="220">
        <f t="shared" si="9"/>
        <v>0.1485607278349943</v>
      </c>
      <c r="AL25" s="10" t="s">
        <v>240</v>
      </c>
    </row>
    <row r="26" spans="1:38" s="13" customFormat="1" ht="12" customHeight="1" x14ac:dyDescent="0.25">
      <c r="A26" s="11"/>
      <c r="B26" s="72"/>
      <c r="C26" s="76"/>
      <c r="D26" s="11"/>
      <c r="E26" s="11"/>
      <c r="F26" s="11" t="s">
        <v>145</v>
      </c>
      <c r="G26" s="11" t="s">
        <v>1184</v>
      </c>
      <c r="H26" s="22"/>
      <c r="I26" s="11"/>
      <c r="J26" s="221">
        <f>-SUMIF('HRC1216'!$L$9:$L$191,'1.2.Historical IS'!$G26,'HRC1216'!$K$9:$K$191)/1000</f>
        <v>129.71299999999999</v>
      </c>
      <c r="K26" s="221">
        <f>-SUMIF('HRC1217'!$L$9:$L$191,'1.2.Historical IS'!$G26,'HRC1217'!$K$9:$K$191)/1000</f>
        <v>164.661</v>
      </c>
      <c r="L26" s="221">
        <f>-SUMIF('HRC1218'!$L$9:$L$191,'1.2.Historical IS'!$G26,'HRC1218'!$K$9:$K$191)/1000</f>
        <v>22.702999999999999</v>
      </c>
      <c r="M26" s="221"/>
      <c r="N26" s="222"/>
      <c r="O26" s="223">
        <f t="shared" si="49"/>
        <v>28.884163178052905</v>
      </c>
      <c r="P26" s="223">
        <f t="shared" si="49"/>
        <v>36.045839626978392</v>
      </c>
      <c r="Q26" s="223">
        <f t="shared" si="49"/>
        <v>4.8786934565380893</v>
      </c>
      <c r="R26" s="223">
        <f t="shared" si="49"/>
        <v>0</v>
      </c>
      <c r="S26" s="222"/>
      <c r="T26" s="224">
        <v>0</v>
      </c>
      <c r="U26" s="224">
        <v>0</v>
      </c>
      <c r="V26" s="224">
        <v>0</v>
      </c>
      <c r="W26" s="224"/>
      <c r="X26" s="222"/>
      <c r="Y26" s="224">
        <v>0</v>
      </c>
      <c r="Z26" s="224">
        <v>0</v>
      </c>
      <c r="AA26" s="224">
        <v>0</v>
      </c>
      <c r="AB26" s="224"/>
      <c r="AC26" s="222"/>
      <c r="AD26" s="223">
        <f t="shared" si="52"/>
        <v>28.884163178052905</v>
      </c>
      <c r="AE26" s="223">
        <f t="shared" si="50"/>
        <v>36.045839626978392</v>
      </c>
      <c r="AF26" s="223">
        <f t="shared" si="51"/>
        <v>4.8786934565380893</v>
      </c>
      <c r="AG26" s="223">
        <f t="shared" si="51"/>
        <v>0</v>
      </c>
      <c r="AH26" s="225"/>
      <c r="AI26" s="220">
        <f t="shared" si="7"/>
        <v>-0.58164027131995955</v>
      </c>
      <c r="AJ26" s="220">
        <f t="shared" si="8"/>
        <v>-0.58901888076789022</v>
      </c>
      <c r="AK26" s="220">
        <f t="shared" si="9"/>
        <v>-0.58901888076789022</v>
      </c>
      <c r="AL26" s="10" t="s">
        <v>240</v>
      </c>
    </row>
    <row r="27" spans="1:38" s="6" customFormat="1" ht="12" customHeight="1" x14ac:dyDescent="0.25">
      <c r="A27" s="9"/>
      <c r="B27" s="25"/>
      <c r="C27" s="33"/>
      <c r="D27" s="9" t="s">
        <v>40</v>
      </c>
      <c r="E27" s="9"/>
      <c r="G27" s="9"/>
      <c r="H27" s="77"/>
      <c r="I27" s="9"/>
      <c r="J27" s="228">
        <f>SUM(J29:J43)-J32</f>
        <v>21732.619880000006</v>
      </c>
      <c r="K27" s="228">
        <f t="shared" ref="K27:L27" si="53">SUM(K29:K43)-K32</f>
        <v>40259.015639999998</v>
      </c>
      <c r="L27" s="228">
        <f t="shared" si="53"/>
        <v>33726.082340000001</v>
      </c>
      <c r="M27" s="228"/>
      <c r="N27" s="54"/>
      <c r="O27" s="216">
        <f t="shared" si="49"/>
        <v>4839.3648971230077</v>
      </c>
      <c r="P27" s="216">
        <f t="shared" si="49"/>
        <v>8813.0766927168843</v>
      </c>
      <c r="Q27" s="216">
        <f t="shared" si="49"/>
        <v>7247.4658515096162</v>
      </c>
      <c r="R27" s="216">
        <f t="shared" si="49"/>
        <v>0</v>
      </c>
      <c r="S27" s="54"/>
      <c r="T27" s="226">
        <v>0</v>
      </c>
      <c r="U27" s="226">
        <v>0</v>
      </c>
      <c r="V27" s="226">
        <v>0</v>
      </c>
      <c r="W27" s="226"/>
      <c r="X27" s="54"/>
      <c r="Y27" s="226">
        <v>0</v>
      </c>
      <c r="Z27" s="226">
        <v>0</v>
      </c>
      <c r="AA27" s="226">
        <v>0</v>
      </c>
      <c r="AB27" s="226"/>
      <c r="AC27" s="54"/>
      <c r="AD27" s="216">
        <f>O27-T27-Y27</f>
        <v>4839.3648971230077</v>
      </c>
      <c r="AE27" s="216">
        <f t="shared" ref="AE27:AE43" si="54">P27-U27-Z27</f>
        <v>8813.0766927168843</v>
      </c>
      <c r="AF27" s="216">
        <f t="shared" ref="AF27:AG43" si="55">Q27-V27-AA27</f>
        <v>7247.4658515096162</v>
      </c>
      <c r="AG27" s="216">
        <f t="shared" si="55"/>
        <v>0</v>
      </c>
      <c r="AH27" s="218"/>
      <c r="AI27" s="220">
        <f t="shared" si="7"/>
        <v>0.24573855547675283</v>
      </c>
      <c r="AJ27" s="220">
        <f t="shared" si="8"/>
        <v>0.22376746780994239</v>
      </c>
      <c r="AK27" s="220">
        <f t="shared" si="9"/>
        <v>0.22376746780994239</v>
      </c>
      <c r="AL27" s="10" t="s">
        <v>240</v>
      </c>
    </row>
    <row r="28" spans="1:38" s="13" customFormat="1" ht="12" customHeight="1" x14ac:dyDescent="0.25">
      <c r="A28" s="11"/>
      <c r="B28" s="72"/>
      <c r="C28" s="76"/>
      <c r="D28" s="11"/>
      <c r="E28" s="11"/>
      <c r="F28" s="11" t="s">
        <v>1187</v>
      </c>
      <c r="G28" s="11"/>
      <c r="H28" s="22"/>
      <c r="I28" s="11"/>
      <c r="J28" s="827">
        <f>SUM(J29:J30)</f>
        <v>12406.928590000001</v>
      </c>
      <c r="K28" s="827">
        <f t="shared" ref="K28:L28" si="56">SUM(K29:K30)</f>
        <v>26610.194679999997</v>
      </c>
      <c r="L28" s="827">
        <f t="shared" si="56"/>
        <v>20787.064440000002</v>
      </c>
      <c r="M28" s="221"/>
      <c r="N28" s="222"/>
      <c r="O28" s="223">
        <f t="shared" si="49"/>
        <v>2762.7435178587334</v>
      </c>
      <c r="P28" s="223">
        <f t="shared" si="49"/>
        <v>5825.2215757098129</v>
      </c>
      <c r="Q28" s="223">
        <f t="shared" si="49"/>
        <v>4466.9742000644683</v>
      </c>
      <c r="R28" s="223">
        <f t="shared" si="49"/>
        <v>0</v>
      </c>
      <c r="S28" s="222"/>
      <c r="T28" s="224">
        <v>0</v>
      </c>
      <c r="U28" s="224">
        <v>0</v>
      </c>
      <c r="V28" s="224">
        <v>0</v>
      </c>
      <c r="W28" s="224"/>
      <c r="X28" s="222"/>
      <c r="Y28" s="224">
        <v>0</v>
      </c>
      <c r="Z28" s="224">
        <v>0</v>
      </c>
      <c r="AA28" s="224">
        <v>0</v>
      </c>
      <c r="AB28" s="224"/>
      <c r="AC28" s="222"/>
      <c r="AD28" s="223">
        <f t="shared" ref="AD28:AD43" si="57">O28-T28-Y28</f>
        <v>2762.7435178587334</v>
      </c>
      <c r="AE28" s="223">
        <f t="shared" si="54"/>
        <v>5825.2215757098129</v>
      </c>
      <c r="AF28" s="223">
        <f t="shared" si="55"/>
        <v>4466.9742000644683</v>
      </c>
      <c r="AG28" s="223">
        <f t="shared" si="55"/>
        <v>0</v>
      </c>
      <c r="AH28" s="225"/>
      <c r="AI28" s="220">
        <f t="shared" si="7"/>
        <v>0.2943878863213818</v>
      </c>
      <c r="AJ28" s="220">
        <f t="shared" si="8"/>
        <v>0.27155877053284394</v>
      </c>
      <c r="AK28" s="220">
        <f t="shared" si="9"/>
        <v>0.27155877053284394</v>
      </c>
      <c r="AL28" s="10" t="s">
        <v>240</v>
      </c>
    </row>
    <row r="29" spans="1:38" s="13" customFormat="1" ht="12" customHeight="1" x14ac:dyDescent="0.25">
      <c r="A29" s="11"/>
      <c r="B29" s="72"/>
      <c r="C29" s="76"/>
      <c r="D29" s="11"/>
      <c r="E29" s="11"/>
      <c r="F29" s="432" t="s">
        <v>1178</v>
      </c>
      <c r="G29" s="11" t="s">
        <v>996</v>
      </c>
      <c r="H29" s="22"/>
      <c r="I29" s="11"/>
      <c r="J29" s="221">
        <f>-SUMIF('HRC1216'!$L$9:$L$191,'1.2.Historical IS'!$G29,'HRC1216'!$K$9:$K$191)/1000</f>
        <v>6613.5971000000009</v>
      </c>
      <c r="K29" s="221">
        <f>-SUMIF('HRC1217'!$L$9:$L$191,'1.2.Historical IS'!$G29,'HRC1217'!$K$9:$K$191)/1000</f>
        <v>16821.253399999998</v>
      </c>
      <c r="L29" s="221">
        <f>-SUMIF('HRC1218'!$L$9:$L$191,'1.2.Historical IS'!$G29,'HRC1218'!$K$9:$K$191)/1000</f>
        <v>20131.011870000002</v>
      </c>
      <c r="M29" s="221"/>
      <c r="N29" s="222"/>
      <c r="O29" s="457">
        <f t="shared" si="49"/>
        <v>1472.699095929456</v>
      </c>
      <c r="P29" s="457">
        <f t="shared" si="49"/>
        <v>3682.3303780565216</v>
      </c>
      <c r="Q29" s="457">
        <f t="shared" si="49"/>
        <v>4325.9937401955522</v>
      </c>
      <c r="R29" s="223"/>
      <c r="S29" s="222"/>
      <c r="T29" s="224"/>
      <c r="U29" s="224"/>
      <c r="V29" s="224"/>
      <c r="W29" s="224"/>
      <c r="X29" s="222"/>
      <c r="Y29" s="224"/>
      <c r="Z29" s="224"/>
      <c r="AA29" s="224"/>
      <c r="AB29" s="224"/>
      <c r="AC29" s="222"/>
      <c r="AD29" s="223">
        <f t="shared" si="57"/>
        <v>1472.699095929456</v>
      </c>
      <c r="AE29" s="223">
        <f t="shared" si="54"/>
        <v>3682.3303780565216</v>
      </c>
      <c r="AF29" s="223">
        <f t="shared" si="55"/>
        <v>4325.9937401955522</v>
      </c>
      <c r="AG29" s="223"/>
      <c r="AH29" s="225"/>
      <c r="AI29" s="220"/>
      <c r="AJ29" s="220"/>
      <c r="AK29" s="220"/>
      <c r="AL29" s="10"/>
    </row>
    <row r="30" spans="1:38" s="13" customFormat="1" ht="12" customHeight="1" x14ac:dyDescent="0.25">
      <c r="A30" s="11"/>
      <c r="B30" s="72"/>
      <c r="C30" s="76"/>
      <c r="D30" s="11"/>
      <c r="E30" s="11"/>
      <c r="F30" s="432" t="s">
        <v>1179</v>
      </c>
      <c r="G30" s="11" t="s">
        <v>999</v>
      </c>
      <c r="H30" s="22"/>
      <c r="I30" s="11"/>
      <c r="J30" s="221">
        <f>-SUMIF('HRC1216'!$L$9:$L$191,'1.2.Historical IS'!$G30,'HRC1216'!$K$9:$K$191)/1000</f>
        <v>5793.3314900000005</v>
      </c>
      <c r="K30" s="221">
        <f>-SUMIF('HRC1217'!$L$9:$L$191,'1.2.Historical IS'!$G30,'HRC1217'!$K$9:$K$191)/1000</f>
        <v>9788.9412799999991</v>
      </c>
      <c r="L30" s="221">
        <f>-SUMIF('HRC1218'!$L$9:$L$191,'1.2.Historical IS'!$G30,'HRC1218'!$K$9:$K$191)/1000</f>
        <v>656.05257000000006</v>
      </c>
      <c r="M30" s="221"/>
      <c r="N30" s="222"/>
      <c r="O30" s="457">
        <f t="shared" si="49"/>
        <v>1290.0444219292776</v>
      </c>
      <c r="P30" s="457">
        <f t="shared" si="49"/>
        <v>2142.8911976532909</v>
      </c>
      <c r="Q30" s="457">
        <f t="shared" si="49"/>
        <v>140.98045986891589</v>
      </c>
      <c r="R30" s="223"/>
      <c r="S30" s="222"/>
      <c r="T30" s="224"/>
      <c r="U30" s="224"/>
      <c r="V30" s="224"/>
      <c r="W30" s="224"/>
      <c r="X30" s="222"/>
      <c r="Y30" s="224"/>
      <c r="Z30" s="224"/>
      <c r="AA30" s="224"/>
      <c r="AB30" s="224"/>
      <c r="AC30" s="222"/>
      <c r="AD30" s="223">
        <f t="shared" si="57"/>
        <v>1290.0444219292776</v>
      </c>
      <c r="AE30" s="223">
        <f t="shared" si="54"/>
        <v>2142.8911976532909</v>
      </c>
      <c r="AF30" s="223">
        <f t="shared" si="55"/>
        <v>140.98045986891589</v>
      </c>
      <c r="AG30" s="223"/>
      <c r="AH30" s="225"/>
      <c r="AI30" s="220"/>
      <c r="AJ30" s="220"/>
      <c r="AK30" s="220"/>
      <c r="AL30" s="10"/>
    </row>
    <row r="31" spans="1:38" s="13" customFormat="1" ht="12" customHeight="1" x14ac:dyDescent="0.25">
      <c r="A31" s="11"/>
      <c r="B31" s="72"/>
      <c r="C31" s="76"/>
      <c r="D31" s="11"/>
      <c r="E31" s="11"/>
      <c r="F31" s="11" t="s">
        <v>147</v>
      </c>
      <c r="G31" s="11" t="s">
        <v>1002</v>
      </c>
      <c r="H31" s="22"/>
      <c r="I31" s="11"/>
      <c r="J31" s="221">
        <f>-SUMIF('HRC1216'!$L$9:$L$191,'1.2.Historical IS'!$G31,'HRC1216'!$K$9:$K$191)/1000</f>
        <v>351.66417000000007</v>
      </c>
      <c r="K31" s="221">
        <f>-SUMIF('HRC1217'!$L$9:$L$191,'1.2.Historical IS'!$G31,'HRC1217'!$K$9:$K$191)/1000</f>
        <v>503.06720000000007</v>
      </c>
      <c r="L31" s="221">
        <f>-SUMIF('HRC1218'!$L$9:$L$191,'1.2.Historical IS'!$G31,'HRC1218'!$K$9:$K$191)/1000</f>
        <v>705.28318000000002</v>
      </c>
      <c r="M31" s="221"/>
      <c r="N31" s="222"/>
      <c r="O31" s="223">
        <f t="shared" ref="O31:O36" si="58">J31/O$7</f>
        <v>78.307689053175395</v>
      </c>
      <c r="P31" s="223">
        <f t="shared" ref="P31:P36" si="59">K31/P$7</f>
        <v>110.12613559247828</v>
      </c>
      <c r="Q31" s="223">
        <f t="shared" ref="Q31:Q36" si="60">L31/Q$7</f>
        <v>151.55972493821855</v>
      </c>
      <c r="R31" s="223">
        <f t="shared" ref="R31:R36" si="61">M31/R$7</f>
        <v>0</v>
      </c>
      <c r="S31" s="222"/>
      <c r="T31" s="224"/>
      <c r="U31" s="224"/>
      <c r="V31" s="224"/>
      <c r="W31" s="224"/>
      <c r="X31" s="222"/>
      <c r="Y31" s="224"/>
      <c r="Z31" s="224"/>
      <c r="AA31" s="224"/>
      <c r="AB31" s="224"/>
      <c r="AC31" s="222"/>
      <c r="AD31" s="223">
        <f t="shared" si="57"/>
        <v>78.307689053175395</v>
      </c>
      <c r="AE31" s="223">
        <f t="shared" si="54"/>
        <v>110.12613559247828</v>
      </c>
      <c r="AF31" s="223">
        <f t="shared" si="55"/>
        <v>151.55972493821855</v>
      </c>
      <c r="AG31" s="223">
        <f t="shared" si="55"/>
        <v>0</v>
      </c>
      <c r="AH31" s="225"/>
      <c r="AI31" s="220">
        <f t="shared" si="7"/>
        <v>0.41617754049232447</v>
      </c>
      <c r="AJ31" s="220">
        <f t="shared" si="8"/>
        <v>0.39120042088955409</v>
      </c>
      <c r="AK31" s="220">
        <f t="shared" si="9"/>
        <v>0.39120042088955409</v>
      </c>
      <c r="AL31" s="10" t="s">
        <v>240</v>
      </c>
    </row>
    <row r="32" spans="1:38" s="13" customFormat="1" ht="12" customHeight="1" x14ac:dyDescent="0.25">
      <c r="A32" s="11"/>
      <c r="B32" s="72"/>
      <c r="C32" s="76"/>
      <c r="D32" s="11"/>
      <c r="E32" s="11"/>
      <c r="F32" s="11" t="s">
        <v>1188</v>
      </c>
      <c r="G32" s="11"/>
      <c r="H32" s="22"/>
      <c r="I32" s="11"/>
      <c r="J32" s="827">
        <f>SUM(J33:J34)</f>
        <v>2867.4499500000002</v>
      </c>
      <c r="K32" s="827">
        <f t="shared" ref="K32" si="62">SUM(K33:K34)</f>
        <v>4705.7403100000001</v>
      </c>
      <c r="L32" s="827">
        <f t="shared" ref="L32" si="63">SUM(L33:L34)</f>
        <v>3858.1600600000002</v>
      </c>
      <c r="M32" s="221"/>
      <c r="N32" s="222"/>
      <c r="O32" s="223">
        <f t="shared" si="58"/>
        <v>638.51651153469322</v>
      </c>
      <c r="P32" s="223">
        <f t="shared" si="59"/>
        <v>1030.1307567697729</v>
      </c>
      <c r="Q32" s="223">
        <f t="shared" si="60"/>
        <v>829.08779628236812</v>
      </c>
      <c r="R32" s="223">
        <f t="shared" si="61"/>
        <v>0</v>
      </c>
      <c r="S32" s="222"/>
      <c r="T32" s="224"/>
      <c r="U32" s="224"/>
      <c r="V32" s="224"/>
      <c r="W32" s="224"/>
      <c r="X32" s="222"/>
      <c r="Y32" s="224"/>
      <c r="Z32" s="224"/>
      <c r="AA32" s="224"/>
      <c r="AB32" s="224"/>
      <c r="AC32" s="222"/>
      <c r="AD32" s="223">
        <f t="shared" si="57"/>
        <v>638.51651153469322</v>
      </c>
      <c r="AE32" s="223">
        <f t="shared" si="54"/>
        <v>1030.1307567697729</v>
      </c>
      <c r="AF32" s="223">
        <f t="shared" si="55"/>
        <v>829.08779628236812</v>
      </c>
      <c r="AG32" s="223">
        <f t="shared" si="55"/>
        <v>0</v>
      </c>
      <c r="AH32" s="225"/>
      <c r="AI32" s="220">
        <f t="shared" si="7"/>
        <v>0.15995782059357389</v>
      </c>
      <c r="AJ32" s="220">
        <f t="shared" si="8"/>
        <v>0.13949964752505983</v>
      </c>
      <c r="AK32" s="220">
        <f t="shared" si="9"/>
        <v>0.13949964752505983</v>
      </c>
      <c r="AL32" s="10" t="s">
        <v>240</v>
      </c>
    </row>
    <row r="33" spans="1:38" s="13" customFormat="1" ht="12" customHeight="1" x14ac:dyDescent="0.25">
      <c r="A33" s="11"/>
      <c r="B33" s="72"/>
      <c r="C33" s="76"/>
      <c r="D33" s="11"/>
      <c r="E33" s="11"/>
      <c r="F33" s="432" t="s">
        <v>1179</v>
      </c>
      <c r="G33" s="11" t="s">
        <v>1019</v>
      </c>
      <c r="H33" s="22"/>
      <c r="I33" s="11"/>
      <c r="J33" s="221">
        <f>-SUMIF('HRC1216'!$L$9:$L$191,'1.2.Historical IS'!$G33,'HRC1216'!$K$9:$K$191)/1000</f>
        <v>1709.86519</v>
      </c>
      <c r="K33" s="221">
        <f>-SUMIF('HRC1217'!$L$9:$L$191,'1.2.Historical IS'!$G33,'HRC1217'!$K$9:$K$191)/1000</f>
        <v>3797.5640300000005</v>
      </c>
      <c r="L33" s="221">
        <f>-SUMIF('HRC1218'!$L$9:$L$191,'1.2.Historical IS'!$G33,'HRC1218'!$K$9:$K$191)/1000</f>
        <v>2563.4205300000003</v>
      </c>
      <c r="M33" s="221"/>
      <c r="N33" s="222"/>
      <c r="O33" s="457">
        <f t="shared" si="58"/>
        <v>380.748461298655</v>
      </c>
      <c r="P33" s="457">
        <f t="shared" si="59"/>
        <v>831.32243821282373</v>
      </c>
      <c r="Q33" s="457">
        <f t="shared" si="60"/>
        <v>550.85860749973142</v>
      </c>
      <c r="R33" s="223"/>
      <c r="S33" s="222"/>
      <c r="T33" s="224"/>
      <c r="U33" s="224"/>
      <c r="V33" s="224"/>
      <c r="W33" s="224"/>
      <c r="X33" s="222"/>
      <c r="Y33" s="224"/>
      <c r="Z33" s="224"/>
      <c r="AA33" s="224"/>
      <c r="AB33" s="224"/>
      <c r="AC33" s="222"/>
      <c r="AD33" s="223">
        <f t="shared" si="57"/>
        <v>380.748461298655</v>
      </c>
      <c r="AE33" s="223">
        <f t="shared" si="54"/>
        <v>831.32243821282373</v>
      </c>
      <c r="AF33" s="223">
        <f t="shared" si="55"/>
        <v>550.85860749973142</v>
      </c>
      <c r="AG33" s="223"/>
      <c r="AH33" s="225"/>
      <c r="AI33" s="220"/>
      <c r="AJ33" s="220"/>
      <c r="AK33" s="220"/>
      <c r="AL33" s="10"/>
    </row>
    <row r="34" spans="1:38" s="13" customFormat="1" ht="12" customHeight="1" x14ac:dyDescent="0.25">
      <c r="A34" s="11"/>
      <c r="B34" s="72"/>
      <c r="C34" s="76"/>
      <c r="D34" s="11"/>
      <c r="E34" s="11"/>
      <c r="F34" s="432" t="s">
        <v>1181</v>
      </c>
      <c r="G34" s="11" t="s">
        <v>1022</v>
      </c>
      <c r="H34" s="22"/>
      <c r="I34" s="11"/>
      <c r="J34" s="221">
        <f>-SUMIF('HRC1216'!$L$9:$L$191,'1.2.Historical IS'!$G34,'HRC1216'!$K$9:$K$191)/1000</f>
        <v>1157.58476</v>
      </c>
      <c r="K34" s="221">
        <f>-SUMIF('HRC1217'!$L$9:$L$191,'1.2.Historical IS'!$G34,'HRC1217'!$K$9:$K$191)/1000</f>
        <v>908.17628000000002</v>
      </c>
      <c r="L34" s="221">
        <f>-SUMIF('HRC1218'!$L$9:$L$191,'1.2.Historical IS'!$G34,'HRC1218'!$K$9:$K$191)/1000</f>
        <v>1294.7395300000001</v>
      </c>
      <c r="M34" s="221"/>
      <c r="N34" s="222"/>
      <c r="O34" s="457">
        <f t="shared" si="58"/>
        <v>257.76805023603811</v>
      </c>
      <c r="P34" s="457">
        <f t="shared" si="59"/>
        <v>198.80831855694927</v>
      </c>
      <c r="Q34" s="457">
        <f t="shared" si="60"/>
        <v>278.22918878263675</v>
      </c>
      <c r="R34" s="223"/>
      <c r="S34" s="222"/>
      <c r="T34" s="224"/>
      <c r="U34" s="224"/>
      <c r="V34" s="224"/>
      <c r="W34" s="224"/>
      <c r="X34" s="222"/>
      <c r="Y34" s="224"/>
      <c r="Z34" s="224"/>
      <c r="AA34" s="224"/>
      <c r="AB34" s="224"/>
      <c r="AC34" s="222"/>
      <c r="AD34" s="223">
        <f t="shared" si="57"/>
        <v>257.76805023603811</v>
      </c>
      <c r="AE34" s="223">
        <f t="shared" si="54"/>
        <v>198.80831855694927</v>
      </c>
      <c r="AF34" s="223">
        <f t="shared" si="55"/>
        <v>278.22918878263675</v>
      </c>
      <c r="AG34" s="223"/>
      <c r="AH34" s="225"/>
      <c r="AI34" s="220"/>
      <c r="AJ34" s="220"/>
      <c r="AK34" s="220"/>
      <c r="AL34" s="10"/>
    </row>
    <row r="35" spans="1:38" s="13" customFormat="1" ht="12" customHeight="1" x14ac:dyDescent="0.25">
      <c r="A35" s="11"/>
      <c r="B35" s="72"/>
      <c r="C35" s="76"/>
      <c r="D35" s="11"/>
      <c r="E35" s="11"/>
      <c r="F35" s="11" t="s">
        <v>1186</v>
      </c>
      <c r="G35" s="11" t="s">
        <v>1025</v>
      </c>
      <c r="H35" s="22"/>
      <c r="I35" s="11"/>
      <c r="J35" s="221">
        <f>-SUMIF('HRC1216'!$L$9:$L$191,'1.2.Historical IS'!$G35,'HRC1216'!$K$9:$K$191)/1000</f>
        <v>-32.357610000000001</v>
      </c>
      <c r="K35" s="221">
        <f>-SUMIF('HRC1217'!$L$9:$L$191,'1.2.Historical IS'!$G35,'HRC1217'!$K$9:$K$191)/1000</f>
        <v>-55.31832</v>
      </c>
      <c r="L35" s="221">
        <f>-SUMIF('HRC1218'!$L$9:$L$191,'1.2.Historical IS'!$G35,'HRC1218'!$K$9:$K$191)/1000</f>
        <v>-26.715070000000001</v>
      </c>
      <c r="M35" s="221"/>
      <c r="N35" s="222"/>
      <c r="O35" s="457">
        <f t="shared" si="58"/>
        <v>-7.2053108577536298</v>
      </c>
      <c r="P35" s="457">
        <f t="shared" si="59"/>
        <v>-12.109699875221645</v>
      </c>
      <c r="Q35" s="457">
        <f t="shared" si="60"/>
        <v>-5.740855270226711</v>
      </c>
      <c r="R35" s="223"/>
      <c r="S35" s="222"/>
      <c r="T35" s="224"/>
      <c r="U35" s="224"/>
      <c r="V35" s="224"/>
      <c r="W35" s="224"/>
      <c r="X35" s="222"/>
      <c r="Y35" s="224"/>
      <c r="Z35" s="224"/>
      <c r="AA35" s="224"/>
      <c r="AB35" s="224"/>
      <c r="AC35" s="222"/>
      <c r="AD35" s="223">
        <f t="shared" si="57"/>
        <v>-7.2053108577536298</v>
      </c>
      <c r="AE35" s="223">
        <f t="shared" si="54"/>
        <v>-12.109699875221645</v>
      </c>
      <c r="AF35" s="223">
        <f t="shared" si="55"/>
        <v>-5.740855270226711</v>
      </c>
      <c r="AG35" s="223"/>
      <c r="AH35" s="225"/>
      <c r="AI35" s="220"/>
      <c r="AJ35" s="220"/>
      <c r="AK35" s="220"/>
      <c r="AL35" s="10"/>
    </row>
    <row r="36" spans="1:38" s="13" customFormat="1" ht="12" customHeight="1" x14ac:dyDescent="0.25">
      <c r="A36" s="11"/>
      <c r="B36" s="72"/>
      <c r="C36" s="76"/>
      <c r="D36" s="11"/>
      <c r="E36" s="11"/>
      <c r="F36" s="11" t="s">
        <v>233</v>
      </c>
      <c r="G36" s="11"/>
      <c r="H36" s="22"/>
      <c r="I36" s="11"/>
      <c r="J36" s="221"/>
      <c r="K36" s="221"/>
      <c r="L36" s="221"/>
      <c r="M36" s="221"/>
      <c r="N36" s="222"/>
      <c r="O36" s="223">
        <f t="shared" si="58"/>
        <v>0</v>
      </c>
      <c r="P36" s="223">
        <f t="shared" si="59"/>
        <v>0</v>
      </c>
      <c r="Q36" s="223">
        <f t="shared" si="60"/>
        <v>0</v>
      </c>
      <c r="R36" s="223">
        <f t="shared" si="61"/>
        <v>0</v>
      </c>
      <c r="S36" s="222"/>
      <c r="T36" s="224"/>
      <c r="U36" s="224"/>
      <c r="V36" s="224"/>
      <c r="W36" s="224"/>
      <c r="X36" s="222"/>
      <c r="Y36" s="224"/>
      <c r="Z36" s="224"/>
      <c r="AA36" s="224"/>
      <c r="AB36" s="224"/>
      <c r="AC36" s="222"/>
      <c r="AD36" s="223">
        <f t="shared" si="57"/>
        <v>0</v>
      </c>
      <c r="AE36" s="223">
        <f t="shared" si="54"/>
        <v>0</v>
      </c>
      <c r="AF36" s="223">
        <f t="shared" si="55"/>
        <v>0</v>
      </c>
      <c r="AG36" s="223">
        <f t="shared" si="55"/>
        <v>0</v>
      </c>
      <c r="AH36" s="225"/>
      <c r="AI36" s="220">
        <f t="shared" si="7"/>
        <v>0</v>
      </c>
      <c r="AJ36" s="220">
        <f t="shared" si="8"/>
        <v>0</v>
      </c>
      <c r="AK36" s="220">
        <f t="shared" si="9"/>
        <v>0</v>
      </c>
      <c r="AL36" s="10" t="s">
        <v>240</v>
      </c>
    </row>
    <row r="37" spans="1:38" s="13" customFormat="1" ht="12" customHeight="1" x14ac:dyDescent="0.25">
      <c r="A37" s="11"/>
      <c r="B37" s="72"/>
      <c r="C37" s="76"/>
      <c r="D37" s="11"/>
      <c r="E37" s="11"/>
      <c r="F37" s="11" t="s">
        <v>234</v>
      </c>
      <c r="G37" s="11"/>
      <c r="H37" s="22"/>
      <c r="I37" s="11"/>
      <c r="J37" s="221"/>
      <c r="K37" s="221"/>
      <c r="L37" s="221"/>
      <c r="M37" s="221"/>
      <c r="N37" s="222"/>
      <c r="O37" s="223">
        <f t="shared" ref="O37:R39" si="64">J37/O$7</f>
        <v>0</v>
      </c>
      <c r="P37" s="223">
        <f t="shared" si="64"/>
        <v>0</v>
      </c>
      <c r="Q37" s="223">
        <f t="shared" si="64"/>
        <v>0</v>
      </c>
      <c r="R37" s="223">
        <f t="shared" si="64"/>
        <v>0</v>
      </c>
      <c r="S37" s="222"/>
      <c r="T37" s="224">
        <v>0</v>
      </c>
      <c r="U37" s="224">
        <v>0</v>
      </c>
      <c r="V37" s="224">
        <v>0</v>
      </c>
      <c r="W37" s="224"/>
      <c r="X37" s="222"/>
      <c r="Y37" s="224">
        <v>0</v>
      </c>
      <c r="Z37" s="224">
        <v>0</v>
      </c>
      <c r="AA37" s="224">
        <v>0</v>
      </c>
      <c r="AB37" s="224"/>
      <c r="AC37" s="222"/>
      <c r="AD37" s="223">
        <f t="shared" si="57"/>
        <v>0</v>
      </c>
      <c r="AE37" s="223">
        <f t="shared" si="54"/>
        <v>0</v>
      </c>
      <c r="AF37" s="223">
        <f t="shared" si="55"/>
        <v>0</v>
      </c>
      <c r="AG37" s="223">
        <f t="shared" si="55"/>
        <v>0</v>
      </c>
      <c r="AH37" s="225"/>
      <c r="AI37" s="220">
        <f t="shared" si="7"/>
        <v>0</v>
      </c>
      <c r="AJ37" s="220">
        <f t="shared" si="8"/>
        <v>0</v>
      </c>
      <c r="AK37" s="220">
        <f t="shared" si="9"/>
        <v>0</v>
      </c>
      <c r="AL37" s="10" t="s">
        <v>240</v>
      </c>
    </row>
    <row r="38" spans="1:38" s="13" customFormat="1" ht="12" customHeight="1" x14ac:dyDescent="0.25">
      <c r="A38" s="11"/>
      <c r="B38" s="72"/>
      <c r="C38" s="76"/>
      <c r="D38" s="11"/>
      <c r="E38" s="11"/>
      <c r="F38" s="11" t="s">
        <v>223</v>
      </c>
      <c r="G38" s="11" t="s">
        <v>1031</v>
      </c>
      <c r="H38" s="22"/>
      <c r="I38" s="11"/>
      <c r="J38" s="221">
        <f>-SUMIF('HRC1216'!$L$9:$L$191,'1.2.Historical IS'!$G38,'HRC1216'!$K$9:$K$191)/1000</f>
        <v>917.59341000000006</v>
      </c>
      <c r="K38" s="221">
        <f>-SUMIF('HRC1217'!$L$9:$L$191,'1.2.Historical IS'!$G38,'HRC1217'!$K$9:$K$191)/1000</f>
        <v>1383.4442300000001</v>
      </c>
      <c r="L38" s="221">
        <f>-SUMIF('HRC1218'!$L$9:$L$191,'1.2.Historical IS'!$G38,'HRC1218'!$K$9:$K$191)/1000</f>
        <v>1101.99558</v>
      </c>
      <c r="M38" s="221"/>
      <c r="N38" s="222"/>
      <c r="O38" s="223">
        <f t="shared" si="64"/>
        <v>204.32738264897125</v>
      </c>
      <c r="P38" s="223">
        <f t="shared" si="64"/>
        <v>302.84893719489503</v>
      </c>
      <c r="Q38" s="223">
        <f t="shared" si="64"/>
        <v>236.81005264854409</v>
      </c>
      <c r="R38" s="223">
        <f t="shared" si="64"/>
        <v>0</v>
      </c>
      <c r="S38" s="222"/>
      <c r="T38" s="224">
        <v>0</v>
      </c>
      <c r="U38" s="224">
        <v>0</v>
      </c>
      <c r="V38" s="224">
        <v>0</v>
      </c>
      <c r="W38" s="224"/>
      <c r="X38" s="222"/>
      <c r="Y38" s="224">
        <v>0</v>
      </c>
      <c r="Z38" s="224">
        <v>0</v>
      </c>
      <c r="AA38" s="224">
        <v>0</v>
      </c>
      <c r="AB38" s="224"/>
      <c r="AC38" s="222"/>
      <c r="AD38" s="223">
        <f t="shared" si="57"/>
        <v>204.32738264897125</v>
      </c>
      <c r="AE38" s="223">
        <f t="shared" si="54"/>
        <v>302.84893719489503</v>
      </c>
      <c r="AF38" s="223">
        <f t="shared" si="55"/>
        <v>236.81005264854409</v>
      </c>
      <c r="AG38" s="223">
        <f t="shared" si="55"/>
        <v>0</v>
      </c>
      <c r="AH38" s="225"/>
      <c r="AI38" s="220">
        <f t="shared" si="7"/>
        <v>9.5884497415255954E-2</v>
      </c>
      <c r="AJ38" s="220">
        <f t="shared" si="8"/>
        <v>7.6556385381190584E-2</v>
      </c>
      <c r="AK38" s="220">
        <f t="shared" si="9"/>
        <v>7.6556385381190584E-2</v>
      </c>
      <c r="AL38" s="10" t="s">
        <v>240</v>
      </c>
    </row>
    <row r="39" spans="1:38" s="13" customFormat="1" ht="12" customHeight="1" x14ac:dyDescent="0.25">
      <c r="A39" s="11"/>
      <c r="B39" s="72"/>
      <c r="C39" s="76"/>
      <c r="D39" s="11"/>
      <c r="E39" s="11"/>
      <c r="F39" s="11" t="s">
        <v>224</v>
      </c>
      <c r="G39" s="11"/>
      <c r="H39" s="22"/>
      <c r="I39" s="11"/>
      <c r="J39" s="221"/>
      <c r="K39" s="221"/>
      <c r="L39" s="221"/>
      <c r="M39" s="221"/>
      <c r="N39" s="222"/>
      <c r="O39" s="223">
        <f t="shared" si="64"/>
        <v>0</v>
      </c>
      <c r="P39" s="223">
        <f t="shared" si="64"/>
        <v>0</v>
      </c>
      <c r="Q39" s="223">
        <f t="shared" si="64"/>
        <v>0</v>
      </c>
      <c r="R39" s="223">
        <f t="shared" si="64"/>
        <v>0</v>
      </c>
      <c r="S39" s="222"/>
      <c r="T39" s="224">
        <v>0</v>
      </c>
      <c r="U39" s="224">
        <v>0</v>
      </c>
      <c r="V39" s="224">
        <v>0</v>
      </c>
      <c r="W39" s="224"/>
      <c r="X39" s="222"/>
      <c r="Y39" s="224">
        <v>0</v>
      </c>
      <c r="Z39" s="224">
        <v>0</v>
      </c>
      <c r="AA39" s="224">
        <v>0</v>
      </c>
      <c r="AB39" s="224"/>
      <c r="AC39" s="222"/>
      <c r="AD39" s="223">
        <f t="shared" si="57"/>
        <v>0</v>
      </c>
      <c r="AE39" s="223">
        <f t="shared" si="54"/>
        <v>0</v>
      </c>
      <c r="AF39" s="223">
        <f t="shared" si="55"/>
        <v>0</v>
      </c>
      <c r="AG39" s="223">
        <f t="shared" si="55"/>
        <v>0</v>
      </c>
      <c r="AH39" s="225"/>
      <c r="AI39" s="220">
        <f t="shared" si="7"/>
        <v>0</v>
      </c>
      <c r="AJ39" s="220">
        <f t="shared" si="8"/>
        <v>0</v>
      </c>
      <c r="AK39" s="220">
        <f t="shared" si="9"/>
        <v>0</v>
      </c>
      <c r="AL39" s="10" t="s">
        <v>240</v>
      </c>
    </row>
    <row r="40" spans="1:38" s="13" customFormat="1" ht="12" customHeight="1" x14ac:dyDescent="0.25">
      <c r="A40" s="11"/>
      <c r="B40" s="72"/>
      <c r="C40" s="76"/>
      <c r="D40" s="11"/>
      <c r="E40" s="11"/>
      <c r="F40" s="11" t="s">
        <v>225</v>
      </c>
      <c r="G40" s="11"/>
      <c r="H40" s="22"/>
      <c r="I40" s="11"/>
      <c r="J40" s="221"/>
      <c r="K40" s="221"/>
      <c r="L40" s="221"/>
      <c r="M40" s="221"/>
      <c r="N40" s="222"/>
      <c r="O40" s="223">
        <f t="shared" ref="O40" si="65">J40/O$7</f>
        <v>0</v>
      </c>
      <c r="P40" s="223">
        <f t="shared" ref="P40" si="66">K40/P$7</f>
        <v>0</v>
      </c>
      <c r="Q40" s="223">
        <f t="shared" ref="Q40:R40" si="67">L40/Q$7</f>
        <v>0</v>
      </c>
      <c r="R40" s="223">
        <f t="shared" si="67"/>
        <v>0</v>
      </c>
      <c r="S40" s="222"/>
      <c r="T40" s="224">
        <v>0</v>
      </c>
      <c r="U40" s="224">
        <v>0</v>
      </c>
      <c r="V40" s="224">
        <v>0</v>
      </c>
      <c r="W40" s="224"/>
      <c r="X40" s="222"/>
      <c r="Y40" s="224">
        <v>0</v>
      </c>
      <c r="Z40" s="224">
        <v>0</v>
      </c>
      <c r="AA40" s="224">
        <v>0</v>
      </c>
      <c r="AB40" s="224"/>
      <c r="AC40" s="222"/>
      <c r="AD40" s="223">
        <f t="shared" ref="AD40" si="68">O40-T40-Y40</f>
        <v>0</v>
      </c>
      <c r="AE40" s="223">
        <f t="shared" ref="AE40" si="69">P40-U40-Z40</f>
        <v>0</v>
      </c>
      <c r="AF40" s="223">
        <f t="shared" ref="AF40:AG40" si="70">Q40-V40-AA40</f>
        <v>0</v>
      </c>
      <c r="AG40" s="223">
        <f t="shared" si="70"/>
        <v>0</v>
      </c>
      <c r="AH40" s="225"/>
      <c r="AI40" s="220">
        <f t="shared" si="7"/>
        <v>0</v>
      </c>
      <c r="AJ40" s="220">
        <f t="shared" si="8"/>
        <v>0</v>
      </c>
      <c r="AK40" s="220">
        <f t="shared" si="9"/>
        <v>0</v>
      </c>
      <c r="AL40" s="10" t="s">
        <v>240</v>
      </c>
    </row>
    <row r="41" spans="1:38" s="13" customFormat="1" ht="12" customHeight="1" x14ac:dyDescent="0.25">
      <c r="A41" s="11"/>
      <c r="B41" s="72"/>
      <c r="C41" s="76"/>
      <c r="D41" s="11"/>
      <c r="E41" s="11"/>
      <c r="F41" s="11" t="s">
        <v>236</v>
      </c>
      <c r="G41" s="11" t="s">
        <v>1045</v>
      </c>
      <c r="H41" s="22"/>
      <c r="I41" s="11"/>
      <c r="J41" s="221">
        <f>-SUMIF('HRC1216'!$L$9:$L$191,'1.2.Historical IS'!$G41,'HRC1216'!$K$9:$K$191)/1000</f>
        <v>662.69168000000002</v>
      </c>
      <c r="K41" s="221">
        <f>-SUMIF('HRC1217'!$L$9:$L$191,'1.2.Historical IS'!$G41,'HRC1217'!$K$9:$K$191)/1000</f>
        <v>1357.62024</v>
      </c>
      <c r="L41" s="221">
        <f>-SUMIF('HRC1218'!$L$9:$L$191,'1.2.Historical IS'!$G41,'HRC1218'!$K$9:$K$191)/1000</f>
        <v>712.36924999999997</v>
      </c>
      <c r="M41" s="221"/>
      <c r="N41" s="222"/>
      <c r="O41" s="223">
        <f t="shared" ref="O41:R43" si="71">J41/O$7</f>
        <v>147.56650930791841</v>
      </c>
      <c r="P41" s="223">
        <f t="shared" si="71"/>
        <v>297.19582320877385</v>
      </c>
      <c r="Q41" s="223">
        <f t="shared" si="71"/>
        <v>153.08246481143223</v>
      </c>
      <c r="R41" s="223">
        <f t="shared" si="71"/>
        <v>0</v>
      </c>
      <c r="S41" s="222"/>
      <c r="T41" s="224">
        <v>0</v>
      </c>
      <c r="U41" s="224">
        <v>0</v>
      </c>
      <c r="V41" s="224">
        <v>0</v>
      </c>
      <c r="W41" s="224"/>
      <c r="X41" s="222"/>
      <c r="Y41" s="224">
        <v>0</v>
      </c>
      <c r="Z41" s="224">
        <v>0</v>
      </c>
      <c r="AA41" s="224">
        <v>0</v>
      </c>
      <c r="AB41" s="224"/>
      <c r="AC41" s="222"/>
      <c r="AD41" s="223">
        <f t="shared" si="57"/>
        <v>147.56650930791841</v>
      </c>
      <c r="AE41" s="223">
        <f t="shared" si="54"/>
        <v>297.19582320877385</v>
      </c>
      <c r="AF41" s="223">
        <f t="shared" si="55"/>
        <v>153.08246481143223</v>
      </c>
      <c r="AG41" s="223">
        <f t="shared" si="55"/>
        <v>0</v>
      </c>
      <c r="AH41" s="225"/>
      <c r="AI41" s="220">
        <f t="shared" si="7"/>
        <v>3.6804379962781075E-2</v>
      </c>
      <c r="AJ41" s="220">
        <f t="shared" si="8"/>
        <v>1.8518263806748925E-2</v>
      </c>
      <c r="AK41" s="220">
        <f t="shared" si="9"/>
        <v>1.8518263806748925E-2</v>
      </c>
      <c r="AL41" s="10" t="s">
        <v>240</v>
      </c>
    </row>
    <row r="42" spans="1:38" s="13" customFormat="1" ht="12" customHeight="1" x14ac:dyDescent="0.25">
      <c r="A42" s="11"/>
      <c r="B42" s="72"/>
      <c r="C42" s="76"/>
      <c r="D42" s="11"/>
      <c r="E42" s="11"/>
      <c r="F42" s="11" t="s">
        <v>146</v>
      </c>
      <c r="G42" s="11" t="s">
        <v>1028</v>
      </c>
      <c r="H42" s="22"/>
      <c r="I42" s="11"/>
      <c r="J42" s="221">
        <f>-SUMIF('HRC1216'!$L$9:$L$191,'1.2.Historical IS'!$G42,'HRC1216'!$K$9:$K$191)/1000</f>
        <v>343.36041999999998</v>
      </c>
      <c r="K42" s="221">
        <f>-SUMIF('HRC1217'!$L$9:$L$191,'1.2.Historical IS'!$G42,'HRC1217'!$K$9:$K$191)/1000</f>
        <v>356.00482</v>
      </c>
      <c r="L42" s="221">
        <f>-SUMIF('HRC1218'!$L$9:$L$191,'1.2.Historical IS'!$G42,'HRC1218'!$K$9:$K$191)/1000</f>
        <v>333.25048000000004</v>
      </c>
      <c r="M42" s="221"/>
      <c r="N42" s="222"/>
      <c r="O42" s="223">
        <f t="shared" si="71"/>
        <v>76.45863097889017</v>
      </c>
      <c r="P42" s="223">
        <f t="shared" si="71"/>
        <v>77.93279919441342</v>
      </c>
      <c r="Q42" s="223">
        <f t="shared" si="71"/>
        <v>71.612867733963682</v>
      </c>
      <c r="R42" s="223">
        <f t="shared" si="71"/>
        <v>0</v>
      </c>
      <c r="S42" s="222"/>
      <c r="T42" s="224">
        <v>0</v>
      </c>
      <c r="U42" s="224">
        <v>0</v>
      </c>
      <c r="V42" s="224">
        <v>0</v>
      </c>
      <c r="W42" s="224"/>
      <c r="X42" s="222"/>
      <c r="Y42" s="224">
        <v>0</v>
      </c>
      <c r="Z42" s="224">
        <v>0</v>
      </c>
      <c r="AA42" s="224">
        <v>0</v>
      </c>
      <c r="AB42" s="224"/>
      <c r="AC42" s="222"/>
      <c r="AD42" s="223">
        <f t="shared" si="57"/>
        <v>76.45863097889017</v>
      </c>
      <c r="AE42" s="223">
        <f t="shared" si="54"/>
        <v>77.93279919441342</v>
      </c>
      <c r="AF42" s="223">
        <f t="shared" si="55"/>
        <v>71.612867733963682</v>
      </c>
      <c r="AG42" s="223">
        <f t="shared" si="55"/>
        <v>0</v>
      </c>
      <c r="AH42" s="225"/>
      <c r="AI42" s="220">
        <f t="shared" si="7"/>
        <v>-1.4832046930446707E-2</v>
      </c>
      <c r="AJ42" s="220">
        <f t="shared" si="8"/>
        <v>-3.220745155950222E-2</v>
      </c>
      <c r="AK42" s="220">
        <f t="shared" si="9"/>
        <v>-3.220745155950222E-2</v>
      </c>
      <c r="AL42" s="10" t="s">
        <v>240</v>
      </c>
    </row>
    <row r="43" spans="1:38" s="13" customFormat="1" ht="12" customHeight="1" x14ac:dyDescent="0.25">
      <c r="A43" s="11"/>
      <c r="B43" s="72"/>
      <c r="C43" s="76"/>
      <c r="D43" s="76"/>
      <c r="E43" s="11"/>
      <c r="F43" s="11" t="s">
        <v>235</v>
      </c>
      <c r="G43" s="11" t="s">
        <v>1040</v>
      </c>
      <c r="H43" s="22"/>
      <c r="I43" s="11"/>
      <c r="J43" s="221">
        <f>-SUMIF('HRC1216'!$L$9:$L$191,'1.2.Historical IS'!$G43,'HRC1216'!$K$9:$K$191)/1000</f>
        <v>4215.2892700000002</v>
      </c>
      <c r="K43" s="221">
        <f>-SUMIF('HRC1217'!$L$9:$L$191,'1.2.Historical IS'!$G43,'HRC1217'!$K$9:$K$191)/1000</f>
        <v>5398.2624799999994</v>
      </c>
      <c r="L43" s="221">
        <f>-SUMIF('HRC1218'!$L$9:$L$191,'1.2.Historical IS'!$G43,'HRC1218'!$K$9:$K$191)/1000</f>
        <v>6254.6744199999994</v>
      </c>
      <c r="M43" s="221"/>
      <c r="N43" s="222"/>
      <c r="O43" s="223">
        <f t="shared" si="71"/>
        <v>938.64996659837891</v>
      </c>
      <c r="P43" s="223">
        <f t="shared" si="71"/>
        <v>1181.7303649219587</v>
      </c>
      <c r="Q43" s="223">
        <f t="shared" si="71"/>
        <v>1344.0796003008486</v>
      </c>
      <c r="R43" s="223">
        <f t="shared" si="71"/>
        <v>0</v>
      </c>
      <c r="S43" s="222"/>
      <c r="T43" s="224">
        <v>0</v>
      </c>
      <c r="U43" s="224">
        <v>0</v>
      </c>
      <c r="V43" s="224">
        <v>0</v>
      </c>
      <c r="W43" s="224"/>
      <c r="X43" s="222"/>
      <c r="Y43" s="224">
        <v>0</v>
      </c>
      <c r="Z43" s="224">
        <v>0</v>
      </c>
      <c r="AA43" s="224">
        <v>0</v>
      </c>
      <c r="AB43" s="224"/>
      <c r="AC43" s="222"/>
      <c r="AD43" s="223">
        <f t="shared" si="57"/>
        <v>938.64996659837891</v>
      </c>
      <c r="AE43" s="223">
        <f t="shared" si="54"/>
        <v>1181.7303649219587</v>
      </c>
      <c r="AF43" s="223">
        <f t="shared" si="55"/>
        <v>1344.0796003008486</v>
      </c>
      <c r="AG43" s="223">
        <f t="shared" si="55"/>
        <v>0</v>
      </c>
      <c r="AH43" s="225"/>
      <c r="AI43" s="220">
        <f t="shared" si="7"/>
        <v>0.21811604135683527</v>
      </c>
      <c r="AJ43" s="220">
        <f t="shared" si="8"/>
        <v>0.196632131899801</v>
      </c>
      <c r="AK43" s="220">
        <f t="shared" si="9"/>
        <v>0.196632131899801</v>
      </c>
      <c r="AL43" s="10" t="s">
        <v>240</v>
      </c>
    </row>
    <row r="44" spans="1:38" ht="12" customHeight="1" x14ac:dyDescent="0.25">
      <c r="B44" s="25"/>
      <c r="C44" s="39"/>
      <c r="D44" s="74" t="s">
        <v>58</v>
      </c>
      <c r="E44" s="50"/>
      <c r="F44" s="50"/>
      <c r="G44" s="50"/>
      <c r="H44" s="75"/>
      <c r="I44" s="50"/>
      <c r="J44" s="227">
        <f>J23+J27</f>
        <v>22468.211510000005</v>
      </c>
      <c r="K44" s="227">
        <f>K23+K27</f>
        <v>41194.765639999998</v>
      </c>
      <c r="L44" s="227">
        <f>L23+L27</f>
        <v>34807.217839999998</v>
      </c>
      <c r="M44" s="227"/>
      <c r="N44" s="54"/>
      <c r="O44" s="229">
        <f>O23+O27</f>
        <v>5003.164583147769</v>
      </c>
      <c r="P44" s="227">
        <f t="shared" ref="P44:R44" si="72">P23+P27</f>
        <v>9017.921157592873</v>
      </c>
      <c r="Q44" s="227">
        <f t="shared" si="72"/>
        <v>7479.7932394971522</v>
      </c>
      <c r="R44" s="227">
        <f t="shared" si="72"/>
        <v>0</v>
      </c>
      <c r="S44" s="108"/>
      <c r="T44" s="229">
        <f>T23+T27</f>
        <v>0</v>
      </c>
      <c r="U44" s="227">
        <f t="shared" ref="U44:W44" si="73">U23+U27</f>
        <v>0</v>
      </c>
      <c r="V44" s="227">
        <f t="shared" si="73"/>
        <v>0</v>
      </c>
      <c r="W44" s="227">
        <f t="shared" si="73"/>
        <v>0</v>
      </c>
      <c r="X44" s="108"/>
      <c r="Y44" s="229">
        <f>Y23+Y27</f>
        <v>0</v>
      </c>
      <c r="Z44" s="227">
        <f t="shared" ref="Z44:AB44" si="74">Z23+Z27</f>
        <v>0</v>
      </c>
      <c r="AA44" s="227">
        <f t="shared" si="74"/>
        <v>0</v>
      </c>
      <c r="AB44" s="227">
        <f t="shared" si="74"/>
        <v>0</v>
      </c>
      <c r="AC44" s="108"/>
      <c r="AD44" s="229">
        <f>AD23+AD27</f>
        <v>5003.164583147769</v>
      </c>
      <c r="AE44" s="227">
        <f t="shared" ref="AE44:AG44" si="75">AE23+AE27</f>
        <v>9017.921157592873</v>
      </c>
      <c r="AF44" s="227">
        <f t="shared" si="75"/>
        <v>7479.7932394971522</v>
      </c>
      <c r="AG44" s="227">
        <f t="shared" si="75"/>
        <v>0</v>
      </c>
      <c r="AH44" s="118"/>
      <c r="AI44" s="220">
        <f t="shared" si="7"/>
        <v>0.24465905748734129</v>
      </c>
      <c r="AJ44" s="220">
        <f t="shared" si="8"/>
        <v>0.22270700892376571</v>
      </c>
      <c r="AK44" s="220">
        <f t="shared" si="9"/>
        <v>0.22270700892376571</v>
      </c>
      <c r="AL44" s="10" t="s">
        <v>240</v>
      </c>
    </row>
    <row r="45" spans="1:38" ht="12" customHeight="1" x14ac:dyDescent="0.25">
      <c r="B45" s="25">
        <f ca="1">MAX($A$1:B44)+0.1</f>
        <v>1.3000000000000003</v>
      </c>
      <c r="C45" s="74" t="s">
        <v>57</v>
      </c>
      <c r="D45" s="50"/>
      <c r="E45" s="50"/>
      <c r="F45" s="50"/>
      <c r="G45" s="50"/>
      <c r="H45" s="75"/>
      <c r="I45" s="50"/>
      <c r="J45" s="227">
        <f>J21-J44</f>
        <v>1685.3604099999939</v>
      </c>
      <c r="K45" s="227">
        <f>K21-K44</f>
        <v>2784.2511699999959</v>
      </c>
      <c r="L45" s="227">
        <f>L21-L44</f>
        <v>2959.6821200000122</v>
      </c>
      <c r="M45" s="227"/>
      <c r="N45" s="108"/>
      <c r="O45" s="230">
        <f>O21-O44</f>
        <v>375.29179878863397</v>
      </c>
      <c r="P45" s="231">
        <f>P21-P44</f>
        <v>609.49873470370403</v>
      </c>
      <c r="Q45" s="231">
        <f>Q21-Q44</f>
        <v>636.01205973998276</v>
      </c>
      <c r="R45" s="231">
        <f>R21-R44</f>
        <v>0</v>
      </c>
      <c r="S45" s="108"/>
      <c r="T45" s="230">
        <f>T21-T44</f>
        <v>0</v>
      </c>
      <c r="U45" s="231">
        <f>U21-U44</f>
        <v>0</v>
      </c>
      <c r="V45" s="231">
        <f>V21-V44</f>
        <v>0</v>
      </c>
      <c r="W45" s="231">
        <f>W21-W44</f>
        <v>0</v>
      </c>
      <c r="X45" s="108"/>
      <c r="Y45" s="230">
        <f>Y21-Y44</f>
        <v>0</v>
      </c>
      <c r="Z45" s="231">
        <f>Z21-Z44</f>
        <v>0</v>
      </c>
      <c r="AA45" s="231">
        <f>AA21-AA44</f>
        <v>0</v>
      </c>
      <c r="AB45" s="231">
        <f>AB21-AB44</f>
        <v>0</v>
      </c>
      <c r="AC45" s="108"/>
      <c r="AD45" s="230">
        <f>AD21-AD44</f>
        <v>375.29179878863397</v>
      </c>
      <c r="AE45" s="231">
        <f>AE21-AE44</f>
        <v>609.49873470370403</v>
      </c>
      <c r="AF45" s="231">
        <f>AF21-AF44</f>
        <v>636.01205973998276</v>
      </c>
      <c r="AG45" s="231">
        <f>AG21-AG44</f>
        <v>0</v>
      </c>
      <c r="AH45" s="118"/>
      <c r="AI45" s="220">
        <f t="shared" si="7"/>
        <v>0.32518386822817225</v>
      </c>
      <c r="AJ45" s="220">
        <f t="shared" si="8"/>
        <v>0.30181160378674288</v>
      </c>
      <c r="AK45" s="220">
        <f t="shared" si="9"/>
        <v>0.30181160378674288</v>
      </c>
      <c r="AL45" s="10" t="s">
        <v>240</v>
      </c>
    </row>
    <row r="46" spans="1:38" s="13" customFormat="1" ht="12" customHeight="1" x14ac:dyDescent="0.25">
      <c r="A46" s="43"/>
      <c r="B46" s="56"/>
      <c r="C46" s="43"/>
      <c r="D46" s="43"/>
      <c r="E46" s="43"/>
      <c r="F46" s="11" t="str">
        <f>C45&amp;" mg (%)"</f>
        <v>EBITDA mg (%)</v>
      </c>
      <c r="G46" s="11"/>
      <c r="H46" s="22"/>
      <c r="I46" s="11"/>
      <c r="J46" s="220">
        <f>IF(ISERROR(J45/J$21),0,J45/J$21)</f>
        <v>6.9776860150628769E-2</v>
      </c>
      <c r="K46" s="220">
        <f>IF(ISERROR(K45/K$21),0,K45/K$21)</f>
        <v>6.3308626976101706E-2</v>
      </c>
      <c r="L46" s="220">
        <f>IF(ISERROR(L45/L$21),0,L45/L$21)</f>
        <v>7.8367091901498279E-2</v>
      </c>
      <c r="M46" s="220"/>
      <c r="N46" s="219"/>
      <c r="O46" s="220">
        <f>IF(ISERROR(O45/O$21),0,O45/O$21)</f>
        <v>6.9776860150628908E-2</v>
      </c>
      <c r="P46" s="220">
        <f>IF(ISERROR(P45/P$21),0,P45/P$21)</f>
        <v>6.3308626976101581E-2</v>
      </c>
      <c r="Q46" s="220">
        <f>IF(ISERROR(Q45/Q$21),0,Q45/Q$21)</f>
        <v>7.8367091901498209E-2</v>
      </c>
      <c r="R46" s="220">
        <f>IF(ISERROR(R45/R$21),0,R45/R$21)</f>
        <v>0</v>
      </c>
      <c r="S46" s="219"/>
      <c r="T46" s="220">
        <f>IF(ISERROR(T45/T$21),0,T45/T$21)</f>
        <v>0</v>
      </c>
      <c r="U46" s="220">
        <f>IF(ISERROR(U45/U$21),0,U45/U$21)</f>
        <v>0</v>
      </c>
      <c r="V46" s="220">
        <f>IF(ISERROR(V45/V$21),0,V45/V$21)</f>
        <v>0</v>
      </c>
      <c r="W46" s="220"/>
      <c r="X46" s="219"/>
      <c r="Y46" s="220">
        <f>IF(ISERROR(Y45/Y$21),0,Y45/Y$21)</f>
        <v>0</v>
      </c>
      <c r="Z46" s="220">
        <f>IF(ISERROR(Z45/Z$21),0,Z45/Z$21)</f>
        <v>0</v>
      </c>
      <c r="AA46" s="220">
        <f>IF(ISERROR(AA45/AA$21),0,AA45/AA$21)</f>
        <v>0</v>
      </c>
      <c r="AB46" s="220">
        <f>IF(ISERROR(AB45/AB$21),0,AB45/AB$21)</f>
        <v>0</v>
      </c>
      <c r="AC46" s="219"/>
      <c r="AD46" s="220">
        <f>IF(ISERROR(AD45/AD$21),0,AD45/AD$21)</f>
        <v>6.9776860150628908E-2</v>
      </c>
      <c r="AE46" s="220">
        <f>IF(ISERROR(AE45/AE$21),0,AE45/AE$21)</f>
        <v>6.3308626976101581E-2</v>
      </c>
      <c r="AF46" s="220">
        <f>IF(ISERROR(AF45/AF$21),0,AF45/AF$21)</f>
        <v>7.8367091901498209E-2</v>
      </c>
      <c r="AG46" s="220">
        <f>IF(ISERROR(AG45/AG$21),0,AG45/AG$21)</f>
        <v>0</v>
      </c>
      <c r="AH46" s="225"/>
      <c r="AI46" s="220">
        <f t="shared" si="7"/>
        <v>5.9768859608500424E-2</v>
      </c>
      <c r="AJ46" s="220">
        <f t="shared" si="8"/>
        <v>5.976885960849887E-2</v>
      </c>
      <c r="AK46" s="220">
        <f t="shared" si="9"/>
        <v>5.976885960849887E-2</v>
      </c>
      <c r="AL46" s="10" t="s">
        <v>240</v>
      </c>
    </row>
    <row r="47" spans="1:38" ht="12" customHeight="1" x14ac:dyDescent="0.25">
      <c r="B47" s="25"/>
      <c r="D47" s="39"/>
      <c r="F47" s="10" t="s">
        <v>77</v>
      </c>
      <c r="G47" s="434" t="s">
        <v>1091</v>
      </c>
      <c r="H47" s="22"/>
      <c r="J47" s="221">
        <f>-SUMIF('HRC1216'!$L$9:$L$191,'1.2.Historical IS'!$G47,'HRC1216'!$K$9:$K$191)/1000</f>
        <v>277.90555999999998</v>
      </c>
      <c r="K47" s="221">
        <f>-SUMIF('HRC1217'!$L$9:$L$191,'1.2.Historical IS'!$G47,'HRC1217'!$K$9:$K$191)/1000</f>
        <v>324.90485999999999</v>
      </c>
      <c r="L47" s="221">
        <f>-SUMIF('HRC1218'!$L$9:$L$191,'1.2.Historical IS'!$G47,'HRC1218'!$K$9:$K$191)/1000</f>
        <v>241.75125</v>
      </c>
      <c r="M47" s="221"/>
      <c r="N47" s="108"/>
      <c r="O47" s="223">
        <f>J47/O$7</f>
        <v>61.883308096552945</v>
      </c>
      <c r="P47" s="223">
        <f>K47/P$7</f>
        <v>71.12472581598476</v>
      </c>
      <c r="Q47" s="223">
        <f>L47/Q$7</f>
        <v>51.950413667132267</v>
      </c>
      <c r="R47" s="223">
        <f>M47/R$7</f>
        <v>0</v>
      </c>
      <c r="S47" s="108"/>
      <c r="T47" s="224">
        <v>0</v>
      </c>
      <c r="U47" s="224">
        <v>0</v>
      </c>
      <c r="V47" s="224">
        <v>0</v>
      </c>
      <c r="W47" s="224"/>
      <c r="X47" s="108"/>
      <c r="Y47" s="224">
        <v>0</v>
      </c>
      <c r="Z47" s="224">
        <v>0</v>
      </c>
      <c r="AA47" s="224">
        <v>0</v>
      </c>
      <c r="AB47" s="224">
        <v>0</v>
      </c>
      <c r="AC47" s="108"/>
      <c r="AD47" s="223">
        <f t="shared" ref="AD47" si="76">O47-T47-Y47</f>
        <v>61.883308096552945</v>
      </c>
      <c r="AE47" s="223">
        <f t="shared" ref="AE47" si="77">P47-U47-Z47</f>
        <v>71.12472581598476</v>
      </c>
      <c r="AF47" s="223">
        <f t="shared" ref="AF47:AG47" si="78">Q47-V47-AA47</f>
        <v>51.950413667132267</v>
      </c>
      <c r="AG47" s="223">
        <f t="shared" si="78"/>
        <v>0</v>
      </c>
      <c r="AH47" s="118"/>
      <c r="AI47" s="220">
        <f t="shared" si="7"/>
        <v>-6.7313380556100477E-2</v>
      </c>
      <c r="AJ47" s="220">
        <f t="shared" si="8"/>
        <v>-8.3763172040334233E-2</v>
      </c>
      <c r="AK47" s="220">
        <f t="shared" si="9"/>
        <v>-8.3763172040334233E-2</v>
      </c>
      <c r="AL47" s="10" t="s">
        <v>240</v>
      </c>
    </row>
    <row r="48" spans="1:38" ht="12" customHeight="1" x14ac:dyDescent="0.25">
      <c r="B48" s="25">
        <f ca="1">MAX($A$1:B47)+0.1</f>
        <v>1.4000000000000004</v>
      </c>
      <c r="C48" s="74" t="s">
        <v>56</v>
      </c>
      <c r="D48" s="50"/>
      <c r="E48" s="50"/>
      <c r="F48" s="50"/>
      <c r="G48" s="50"/>
      <c r="H48" s="75"/>
      <c r="I48" s="50"/>
      <c r="J48" s="227">
        <f>J45-J47</f>
        <v>1407.4548499999939</v>
      </c>
      <c r="K48" s="227">
        <f>K45-K47</f>
        <v>2459.3463099999958</v>
      </c>
      <c r="L48" s="227">
        <f>L45-L47</f>
        <v>2717.9308700000124</v>
      </c>
      <c r="M48" s="227"/>
      <c r="N48" s="108"/>
      <c r="O48" s="229">
        <f>O45-O47</f>
        <v>313.40849069208105</v>
      </c>
      <c r="P48" s="227">
        <f>P45-P47</f>
        <v>538.37400888771924</v>
      </c>
      <c r="Q48" s="227">
        <f>Q45-Q47</f>
        <v>584.06164607285052</v>
      </c>
      <c r="R48" s="227">
        <f>R45-R47</f>
        <v>0</v>
      </c>
      <c r="S48" s="108"/>
      <c r="T48" s="229">
        <f>T45-T47</f>
        <v>0</v>
      </c>
      <c r="U48" s="227">
        <f>U45-U47</f>
        <v>0</v>
      </c>
      <c r="V48" s="227">
        <f>V45-V47</f>
        <v>0</v>
      </c>
      <c r="W48" s="227">
        <f>W45-W47</f>
        <v>0</v>
      </c>
      <c r="X48" s="108"/>
      <c r="Y48" s="229">
        <f>Y45-Y47</f>
        <v>0</v>
      </c>
      <c r="Z48" s="227">
        <f>Z45-Z47</f>
        <v>0</v>
      </c>
      <c r="AA48" s="227">
        <f>AA45-AA47</f>
        <v>0</v>
      </c>
      <c r="AB48" s="227">
        <f>AB45-AB47</f>
        <v>0</v>
      </c>
      <c r="AC48" s="108"/>
      <c r="AD48" s="229">
        <f>AD45-AD47</f>
        <v>313.40849069208105</v>
      </c>
      <c r="AE48" s="227">
        <f>AE45-AE47</f>
        <v>538.37400888771924</v>
      </c>
      <c r="AF48" s="227">
        <f>AF45-AF47</f>
        <v>584.06164607285052</v>
      </c>
      <c r="AG48" s="227">
        <f>AG45-AG47</f>
        <v>0</v>
      </c>
      <c r="AH48" s="118"/>
      <c r="AI48" s="220">
        <f t="shared" si="7"/>
        <v>0.38963891421457819</v>
      </c>
      <c r="AJ48" s="220">
        <f t="shared" si="8"/>
        <v>0.36512985629452488</v>
      </c>
      <c r="AK48" s="220">
        <f t="shared" si="9"/>
        <v>0.36512985629452488</v>
      </c>
      <c r="AL48" s="10" t="s">
        <v>240</v>
      </c>
    </row>
    <row r="49" spans="1:38" s="13" customFormat="1" ht="12" customHeight="1" x14ac:dyDescent="0.25">
      <c r="A49" s="43"/>
      <c r="B49" s="56"/>
      <c r="C49" s="43"/>
      <c r="D49" s="43"/>
      <c r="E49" s="43"/>
      <c r="F49" s="11" t="str">
        <f>C48&amp;" mg (%)"</f>
        <v>EBIT mg (%)</v>
      </c>
      <c r="G49" s="11"/>
      <c r="H49" s="22"/>
      <c r="I49" s="11"/>
      <c r="J49" s="220">
        <f>IF(ISERROR(J48/J$21),0,J48/J$21)</f>
        <v>5.8271085314490163E-2</v>
      </c>
      <c r="K49" s="220">
        <f>IF(ISERROR(K48/K$21),0,K48/K$21)</f>
        <v>5.5920902475491155E-2</v>
      </c>
      <c r="L49" s="220">
        <f>IF(ISERROR(L48/L$21),0,L48/L$21)</f>
        <v>7.1965950948546201E-2</v>
      </c>
      <c r="M49" s="220"/>
      <c r="N49" s="219"/>
      <c r="O49" s="220">
        <f>IF(ISERROR(O48/O$21),0,O48/O$21)</f>
        <v>5.8271085314490316E-2</v>
      </c>
      <c r="P49" s="220">
        <f>IF(ISERROR(P48/P$21),0,P48/P$21)</f>
        <v>5.592090247549103E-2</v>
      </c>
      <c r="Q49" s="220">
        <f>IF(ISERROR(Q48/Q$21),0,Q48/Q$21)</f>
        <v>7.1965950948546145E-2</v>
      </c>
      <c r="R49" s="220">
        <f>IF(ISERROR(R48/R$21),0,R48/R$21)</f>
        <v>0</v>
      </c>
      <c r="S49" s="219"/>
      <c r="T49" s="220">
        <f>IF(ISERROR(T48/T$21),0,T48/T$21)</f>
        <v>0</v>
      </c>
      <c r="U49" s="220">
        <f>IF(ISERROR(U48/U$21),0,U48/U$21)</f>
        <v>0</v>
      </c>
      <c r="V49" s="220">
        <f>IF(ISERROR(V48/V$21),0,V48/V$21)</f>
        <v>0</v>
      </c>
      <c r="W49" s="220"/>
      <c r="X49" s="219"/>
      <c r="Y49" s="220">
        <f>IF(ISERROR(Y48/Y$21),0,Y48/Y$21)</f>
        <v>0</v>
      </c>
      <c r="Z49" s="220">
        <f>IF(ISERROR(Z48/Z$21),0,Z48/Z$21)</f>
        <v>0</v>
      </c>
      <c r="AA49" s="220">
        <f>IF(ISERROR(AA48/AA$21),0,AA48/AA$21)</f>
        <v>0</v>
      </c>
      <c r="AB49" s="220">
        <f>IF(ISERROR(AB48/AB$21),0,AB48/AB$21)</f>
        <v>0</v>
      </c>
      <c r="AC49" s="219"/>
      <c r="AD49" s="220">
        <f>IF(ISERROR(AD48/AD$21),0,AD48/AD$21)</f>
        <v>5.8271085314490316E-2</v>
      </c>
      <c r="AE49" s="220">
        <f>IF(ISERROR(AE48/AE$21),0,AE48/AE$21)</f>
        <v>5.592090247549103E-2</v>
      </c>
      <c r="AF49" s="220">
        <f>IF(ISERROR(AF48/AF$21),0,AF48/AF$21)</f>
        <v>7.1965950948546145E-2</v>
      </c>
      <c r="AG49" s="220">
        <f>IF(ISERROR(AG48/AG$21),0,AG48/AG$21)</f>
        <v>0</v>
      </c>
      <c r="AH49" s="225"/>
      <c r="AI49" s="220">
        <f t="shared" si="7"/>
        <v>0.11131449959003503</v>
      </c>
      <c r="AJ49" s="220">
        <f t="shared" si="8"/>
        <v>0.11131449959003303</v>
      </c>
      <c r="AK49" s="220">
        <f t="shared" si="9"/>
        <v>0.11131449959003303</v>
      </c>
      <c r="AL49" s="10" t="s">
        <v>240</v>
      </c>
    </row>
    <row r="50" spans="1:38" ht="12" customHeight="1" x14ac:dyDescent="0.25">
      <c r="B50" s="25">
        <f ca="1">MAX($A$1:B49)+0.1</f>
        <v>1.5000000000000004</v>
      </c>
      <c r="C50" s="9" t="s">
        <v>55</v>
      </c>
      <c r="H50" s="22"/>
      <c r="J50" s="108"/>
      <c r="K50" s="108"/>
      <c r="L50" s="108"/>
      <c r="M50" s="108"/>
      <c r="N50" s="108"/>
      <c r="O50" s="108"/>
      <c r="P50" s="108"/>
      <c r="Q50" s="108"/>
      <c r="R50" s="108"/>
      <c r="S50" s="108"/>
      <c r="T50" s="108"/>
      <c r="U50" s="108"/>
      <c r="V50" s="108"/>
      <c r="W50" s="108"/>
      <c r="X50" s="108"/>
      <c r="Y50" s="108"/>
      <c r="Z50" s="108"/>
      <c r="AA50" s="108"/>
      <c r="AB50" s="108"/>
      <c r="AC50" s="108"/>
      <c r="AD50" s="108"/>
      <c r="AE50" s="108"/>
      <c r="AF50" s="108"/>
      <c r="AG50" s="108"/>
      <c r="AH50" s="118"/>
      <c r="AI50" s="220">
        <f t="shared" si="7"/>
        <v>0</v>
      </c>
      <c r="AJ50" s="220">
        <f t="shared" si="8"/>
        <v>0</v>
      </c>
      <c r="AK50" s="220">
        <f t="shared" si="9"/>
        <v>0</v>
      </c>
      <c r="AL50" s="10" t="s">
        <v>240</v>
      </c>
    </row>
    <row r="51" spans="1:38" ht="12" customHeight="1" x14ac:dyDescent="0.25">
      <c r="B51" s="25"/>
      <c r="D51" s="39"/>
      <c r="F51" s="10" t="s">
        <v>140</v>
      </c>
      <c r="G51" s="434" t="s">
        <v>1185</v>
      </c>
      <c r="H51" s="22"/>
      <c r="J51" s="221">
        <f>-SUMIF('HRC1216'!$L$9:$L$191,'1.2.Historical IS'!$G51,'HRC1216'!$K$9:$K$191)/1000</f>
        <v>227.23636999999999</v>
      </c>
      <c r="K51" s="221">
        <f>-SUMIF('HRC1217'!$L$9:$L$191,'1.2.Historical IS'!$G51,'HRC1217'!$K$9:$K$191)/1000</f>
        <v>313.92374000000001</v>
      </c>
      <c r="L51" s="221">
        <f>-SUMIF('HRC1218'!$L$9:$L$191,'1.2.Historical IS'!$G51,'HRC1218'!$K$9:$K$191)/1000</f>
        <v>556.07222000000002</v>
      </c>
      <c r="M51" s="221"/>
      <c r="N51" s="108"/>
      <c r="O51" s="223">
        <f t="shared" ref="O51:R56" si="79">J51/O$7</f>
        <v>50.600420860425757</v>
      </c>
      <c r="P51" s="223">
        <f t="shared" si="79"/>
        <v>68.720855497909412</v>
      </c>
      <c r="Q51" s="223">
        <f t="shared" si="79"/>
        <v>119.49548082088751</v>
      </c>
      <c r="R51" s="223">
        <f t="shared" si="79"/>
        <v>0</v>
      </c>
      <c r="S51" s="108"/>
      <c r="T51" s="224">
        <v>0</v>
      </c>
      <c r="U51" s="224">
        <v>0</v>
      </c>
      <c r="V51" s="224">
        <v>0</v>
      </c>
      <c r="W51" s="224">
        <v>0</v>
      </c>
      <c r="X51" s="108"/>
      <c r="Y51" s="224">
        <v>0</v>
      </c>
      <c r="Z51" s="224">
        <v>0</v>
      </c>
      <c r="AA51" s="224">
        <v>0</v>
      </c>
      <c r="AB51" s="224">
        <v>0</v>
      </c>
      <c r="AC51" s="108"/>
      <c r="AD51" s="223">
        <f t="shared" ref="AD51:AD56" si="80">O51-T51-Y51</f>
        <v>50.600420860425757</v>
      </c>
      <c r="AE51" s="223">
        <f t="shared" ref="AE51:AE56" si="81">P51-U51-Z51</f>
        <v>68.720855497909412</v>
      </c>
      <c r="AF51" s="223">
        <f t="shared" ref="AF51:AG56" si="82">Q51-V51-AA51</f>
        <v>119.49548082088751</v>
      </c>
      <c r="AG51" s="223">
        <f t="shared" si="82"/>
        <v>0</v>
      </c>
      <c r="AH51" s="118"/>
      <c r="AI51" s="220">
        <f t="shared" si="7"/>
        <v>0.56432389132137684</v>
      </c>
      <c r="AJ51" s="220">
        <f t="shared" si="8"/>
        <v>0.53673391491388367</v>
      </c>
      <c r="AK51" s="220">
        <f t="shared" si="9"/>
        <v>0.53673391491388367</v>
      </c>
      <c r="AL51" s="10" t="s">
        <v>240</v>
      </c>
    </row>
    <row r="52" spans="1:38" ht="12" customHeight="1" x14ac:dyDescent="0.25">
      <c r="B52" s="25"/>
      <c r="D52" s="39"/>
      <c r="F52" s="10" t="s">
        <v>226</v>
      </c>
      <c r="G52" s="434" t="s">
        <v>1088</v>
      </c>
      <c r="H52" s="22"/>
      <c r="J52" s="221">
        <f>-SUMIF('HRC1216'!$L$9:$L$191,'1.2.Historical IS'!$G52,'HRC1216'!$K$9:$K$191)/1000</f>
        <v>20.628889999999998</v>
      </c>
      <c r="K52" s="221">
        <f>-SUMIF('HRC1217'!$L$9:$L$191,'1.2.Historical IS'!$G52,'HRC1217'!$K$9:$K$191)/1000</f>
        <v>49.673809999999996</v>
      </c>
      <c r="L52" s="221">
        <f>-SUMIF('HRC1218'!$L$9:$L$191,'1.2.Historical IS'!$G52,'HRC1218'!$K$9:$K$191)/1000</f>
        <v>157.45551999999998</v>
      </c>
      <c r="M52" s="221"/>
      <c r="N52" s="108"/>
      <c r="O52" s="223">
        <f t="shared" si="79"/>
        <v>4.5935891155250728</v>
      </c>
      <c r="P52" s="223">
        <f t="shared" si="79"/>
        <v>10.874063615069721</v>
      </c>
      <c r="Q52" s="223">
        <f t="shared" si="79"/>
        <v>33.835934243042864</v>
      </c>
      <c r="R52" s="223">
        <f t="shared" si="79"/>
        <v>0</v>
      </c>
      <c r="S52" s="108"/>
      <c r="T52" s="224">
        <v>0</v>
      </c>
      <c r="U52" s="224">
        <v>0</v>
      </c>
      <c r="V52" s="224">
        <v>0</v>
      </c>
      <c r="W52" s="224">
        <v>0</v>
      </c>
      <c r="X52" s="108"/>
      <c r="Y52" s="224">
        <v>0</v>
      </c>
      <c r="Z52" s="224">
        <v>0</v>
      </c>
      <c r="AA52" s="224">
        <v>0</v>
      </c>
      <c r="AB52" s="224">
        <v>0</v>
      </c>
      <c r="AC52" s="108"/>
      <c r="AD52" s="223">
        <f t="shared" si="80"/>
        <v>4.5935891155250728</v>
      </c>
      <c r="AE52" s="223">
        <f t="shared" si="81"/>
        <v>10.874063615069721</v>
      </c>
      <c r="AF52" s="223">
        <f t="shared" si="82"/>
        <v>33.835934243042864</v>
      </c>
      <c r="AG52" s="223">
        <f t="shared" si="82"/>
        <v>0</v>
      </c>
      <c r="AH52" s="118"/>
      <c r="AI52" s="220">
        <f t="shared" si="7"/>
        <v>1.7627463589884385</v>
      </c>
      <c r="AJ52" s="220">
        <f t="shared" si="8"/>
        <v>1.7140198086319183</v>
      </c>
      <c r="AK52" s="220">
        <f t="shared" si="9"/>
        <v>1.7140198086319183</v>
      </c>
      <c r="AL52" s="10" t="s">
        <v>240</v>
      </c>
    </row>
    <row r="53" spans="1:38" ht="12" customHeight="1" x14ac:dyDescent="0.25">
      <c r="B53" s="25"/>
      <c r="D53" s="39"/>
      <c r="F53" s="10" t="s">
        <v>249</v>
      </c>
      <c r="G53" s="434" t="s">
        <v>1085</v>
      </c>
      <c r="H53" s="22"/>
      <c r="J53" s="221">
        <f>-SUMIF('HRC1216'!$L$9:$L$191,'1.2.Historical IS'!$G53,'HRC1216'!$K$9:$K$191)/1000</f>
        <v>0</v>
      </c>
      <c r="K53" s="221">
        <f>-SUMIF('HRC1217'!$L$9:$L$191,'1.2.Historical IS'!$G53,'HRC1217'!$K$9:$K$191)/1000</f>
        <v>0</v>
      </c>
      <c r="L53" s="221">
        <f>-SUMIF('HRC1218'!$L$9:$L$191,'1.2.Historical IS'!$G53,'HRC1218'!$K$9:$K$191)/1000</f>
        <v>0</v>
      </c>
      <c r="M53" s="221"/>
      <c r="N53" s="108"/>
      <c r="O53" s="223">
        <f t="shared" si="79"/>
        <v>0</v>
      </c>
      <c r="P53" s="223">
        <f t="shared" si="79"/>
        <v>0</v>
      </c>
      <c r="Q53" s="223">
        <f t="shared" si="79"/>
        <v>0</v>
      </c>
      <c r="R53" s="223">
        <f t="shared" si="79"/>
        <v>0</v>
      </c>
      <c r="S53" s="108"/>
      <c r="T53" s="286"/>
      <c r="U53" s="286"/>
      <c r="V53" s="286"/>
      <c r="W53" s="286"/>
      <c r="X53" s="108"/>
      <c r="Y53" s="286"/>
      <c r="Z53" s="286"/>
      <c r="AA53" s="286"/>
      <c r="AB53" s="286"/>
      <c r="AC53" s="108"/>
      <c r="AD53" s="223">
        <f t="shared" si="80"/>
        <v>0</v>
      </c>
      <c r="AE53" s="223">
        <f t="shared" si="81"/>
        <v>0</v>
      </c>
      <c r="AF53" s="223">
        <f t="shared" si="82"/>
        <v>0</v>
      </c>
      <c r="AG53" s="223">
        <f t="shared" si="82"/>
        <v>0</v>
      </c>
      <c r="AH53" s="118"/>
      <c r="AI53" s="220">
        <f t="shared" si="7"/>
        <v>0</v>
      </c>
      <c r="AJ53" s="220">
        <f t="shared" si="8"/>
        <v>0</v>
      </c>
      <c r="AK53" s="220">
        <f t="shared" si="9"/>
        <v>0</v>
      </c>
      <c r="AL53" s="10" t="s">
        <v>240</v>
      </c>
    </row>
    <row r="54" spans="1:38" ht="12" customHeight="1" x14ac:dyDescent="0.25">
      <c r="B54" s="25"/>
      <c r="D54" s="39"/>
      <c r="F54" s="10" t="s">
        <v>142</v>
      </c>
      <c r="G54" s="434" t="s">
        <v>1182</v>
      </c>
      <c r="H54" s="22"/>
      <c r="J54" s="221">
        <f>SUMIF('HRC1216'!$L$9:$L$191,'1.2.Historical IS'!$G54,'HRC1216'!$K$9:$K$191)/1000</f>
        <v>190.04326999999998</v>
      </c>
      <c r="K54" s="221">
        <f>SUMIF('HRC1217'!$L$9:$L$191,'1.2.Historical IS'!$G54,'HRC1217'!$K$9:$K$191)/1000</f>
        <v>255.11512999999999</v>
      </c>
      <c r="L54" s="221">
        <f>SUMIF('HRC1218'!$L$9:$L$191,'1.2.Historical IS'!$G54,'HRC1218'!$K$9:$K$191)/1000</f>
        <v>448.67166000000003</v>
      </c>
      <c r="M54" s="221"/>
      <c r="N54" s="108"/>
      <c r="O54" s="223">
        <f t="shared" si="79"/>
        <v>42.318355304177423</v>
      </c>
      <c r="P54" s="223">
        <f t="shared" si="79"/>
        <v>55.847098355990454</v>
      </c>
      <c r="Q54" s="223">
        <f t="shared" si="79"/>
        <v>96.415957881164715</v>
      </c>
      <c r="R54" s="223">
        <f t="shared" si="79"/>
        <v>0</v>
      </c>
      <c r="S54" s="108"/>
      <c r="T54" s="224">
        <v>0</v>
      </c>
      <c r="U54" s="224">
        <v>0</v>
      </c>
      <c r="V54" s="224">
        <v>0</v>
      </c>
      <c r="W54" s="224">
        <v>0</v>
      </c>
      <c r="X54" s="108"/>
      <c r="Y54" s="224">
        <v>0</v>
      </c>
      <c r="Z54" s="224">
        <v>0</v>
      </c>
      <c r="AA54" s="224">
        <v>0</v>
      </c>
      <c r="AB54" s="224">
        <v>0</v>
      </c>
      <c r="AC54" s="108"/>
      <c r="AD54" s="223">
        <f t="shared" si="80"/>
        <v>42.318355304177423</v>
      </c>
      <c r="AE54" s="223">
        <f t="shared" si="81"/>
        <v>55.847098355990454</v>
      </c>
      <c r="AF54" s="223">
        <f t="shared" si="82"/>
        <v>96.415957881164715</v>
      </c>
      <c r="AG54" s="223">
        <f t="shared" si="82"/>
        <v>0</v>
      </c>
      <c r="AH54" s="118"/>
      <c r="AI54" s="220">
        <f t="shared" si="7"/>
        <v>0.53651948486052392</v>
      </c>
      <c r="AJ54" s="220">
        <f t="shared" si="8"/>
        <v>0.50941989469755145</v>
      </c>
      <c r="AK54" s="220">
        <f t="shared" si="9"/>
        <v>0.50941989469755145</v>
      </c>
      <c r="AL54" s="10" t="s">
        <v>240</v>
      </c>
    </row>
    <row r="55" spans="1:38" ht="12" customHeight="1" x14ac:dyDescent="0.25">
      <c r="B55" s="25"/>
      <c r="D55" s="39"/>
      <c r="F55" s="10" t="s">
        <v>39</v>
      </c>
      <c r="G55" s="434" t="s">
        <v>1142</v>
      </c>
      <c r="H55" s="22"/>
      <c r="J55" s="221">
        <f>SUMIF('HRC1216'!$L$9:$L$191,'1.2.Historical IS'!$G55,'HRC1216'!$K$9:$K$191)/1000</f>
        <v>4.1262600000000003</v>
      </c>
      <c r="K55" s="221">
        <f>SUMIF('HRC1217'!$L$9:$L$191,'1.2.Historical IS'!$G55,'HRC1217'!$K$9:$K$191)/1000</f>
        <v>17.761590000000002</v>
      </c>
      <c r="L55" s="221">
        <f>SUMIF('HRC1218'!$L$9:$L$191,'1.2.Historical IS'!$G55,'HRC1218'!$K$9:$K$191)/1000</f>
        <v>3.9924300000000001</v>
      </c>
      <c r="M55" s="221"/>
      <c r="N55" s="108"/>
      <c r="O55" s="223">
        <f t="shared" si="79"/>
        <v>0.91882515364745709</v>
      </c>
      <c r="P55" s="223">
        <f t="shared" si="79"/>
        <v>3.8881788927562884</v>
      </c>
      <c r="Q55" s="223">
        <f t="shared" si="79"/>
        <v>0.85794133447942411</v>
      </c>
      <c r="R55" s="223">
        <f t="shared" si="79"/>
        <v>0</v>
      </c>
      <c r="S55" s="108"/>
      <c r="T55" s="224">
        <v>0</v>
      </c>
      <c r="U55" s="224">
        <v>0</v>
      </c>
      <c r="V55" s="224">
        <v>0</v>
      </c>
      <c r="W55" s="224">
        <v>0</v>
      </c>
      <c r="X55" s="108"/>
      <c r="Y55" s="224">
        <v>0</v>
      </c>
      <c r="Z55" s="224">
        <v>0</v>
      </c>
      <c r="AA55" s="224">
        <v>0</v>
      </c>
      <c r="AB55" s="224">
        <v>0</v>
      </c>
      <c r="AC55" s="108"/>
      <c r="AD55" s="223">
        <f t="shared" si="80"/>
        <v>0.91882515364745709</v>
      </c>
      <c r="AE55" s="223">
        <f t="shared" si="81"/>
        <v>3.8881788927562884</v>
      </c>
      <c r="AF55" s="223">
        <f t="shared" si="82"/>
        <v>0.85794133447942411</v>
      </c>
      <c r="AG55" s="223">
        <f t="shared" si="82"/>
        <v>0</v>
      </c>
      <c r="AH55" s="118"/>
      <c r="AI55" s="220">
        <f t="shared" si="7"/>
        <v>-1.635053465860381E-2</v>
      </c>
      <c r="AJ55" s="220">
        <f t="shared" si="8"/>
        <v>-3.3699157723542372E-2</v>
      </c>
      <c r="AK55" s="220">
        <f t="shared" si="9"/>
        <v>-3.3699157723542372E-2</v>
      </c>
      <c r="AL55" s="10" t="s">
        <v>240</v>
      </c>
    </row>
    <row r="56" spans="1:38" ht="12" customHeight="1" x14ac:dyDescent="0.25">
      <c r="B56" s="25"/>
      <c r="D56" s="39"/>
      <c r="F56" s="10" t="s">
        <v>250</v>
      </c>
      <c r="G56" s="434" t="s">
        <v>1139</v>
      </c>
      <c r="H56" s="22"/>
      <c r="J56" s="221">
        <f>SUMIF('HRC1216'!$L$9:$L$191,'1.2.Historical IS'!$G56,'HRC1216'!$K$9:$K$191)/1000</f>
        <v>-6.1730000000000007E-2</v>
      </c>
      <c r="K56" s="221">
        <f>SUMIF('HRC1217'!$L$9:$L$191,'1.2.Historical IS'!$G56,'HRC1217'!$K$9:$K$191)/1000</f>
        <v>15.938300000000002</v>
      </c>
      <c r="L56" s="221">
        <f>SUMIF('HRC1218'!$L$9:$L$191,'1.2.Historical IS'!$G56,'HRC1218'!$K$9:$K$191)/1000</f>
        <v>0</v>
      </c>
      <c r="M56" s="221"/>
      <c r="N56" s="108"/>
      <c r="O56" s="223">
        <f t="shared" si="79"/>
        <v>-1.3745880466731987E-2</v>
      </c>
      <c r="P56" s="223">
        <f t="shared" si="79"/>
        <v>3.4890435848602266</v>
      </c>
      <c r="Q56" s="223">
        <f t="shared" si="79"/>
        <v>0</v>
      </c>
      <c r="R56" s="223">
        <f t="shared" si="79"/>
        <v>0</v>
      </c>
      <c r="S56" s="108"/>
      <c r="T56" s="286"/>
      <c r="U56" s="286"/>
      <c r="V56" s="286"/>
      <c r="W56" s="286"/>
      <c r="X56" s="108"/>
      <c r="Y56" s="286"/>
      <c r="Z56" s="286"/>
      <c r="AA56" s="286"/>
      <c r="AB56" s="286"/>
      <c r="AC56" s="108"/>
      <c r="AD56" s="223">
        <f t="shared" si="80"/>
        <v>-1.3745880466731987E-2</v>
      </c>
      <c r="AE56" s="223">
        <f t="shared" si="81"/>
        <v>3.4890435848602266</v>
      </c>
      <c r="AF56" s="223">
        <f t="shared" si="82"/>
        <v>0</v>
      </c>
      <c r="AG56" s="223">
        <f t="shared" si="82"/>
        <v>0</v>
      </c>
      <c r="AH56" s="118"/>
      <c r="AI56" s="220">
        <f t="shared" si="7"/>
        <v>-1</v>
      </c>
      <c r="AJ56" s="220">
        <f t="shared" si="8"/>
        <v>-1</v>
      </c>
      <c r="AK56" s="220">
        <f t="shared" si="9"/>
        <v>-1</v>
      </c>
      <c r="AL56" s="10" t="s">
        <v>240</v>
      </c>
    </row>
    <row r="57" spans="1:38" ht="12" customHeight="1" x14ac:dyDescent="0.25">
      <c r="B57" s="25"/>
      <c r="D57" s="39"/>
      <c r="F57" s="74" t="s">
        <v>376</v>
      </c>
      <c r="G57" s="50"/>
      <c r="H57" s="75"/>
      <c r="I57" s="50"/>
      <c r="J57" s="227">
        <f>SUM(J51:J53)-SUM(J54:J56)</f>
        <v>53.757460000000009</v>
      </c>
      <c r="K57" s="227">
        <f t="shared" ref="K57:L57" si="83">SUM(K51:K53)-SUM(K54:K56)</f>
        <v>74.782530000000008</v>
      </c>
      <c r="L57" s="227">
        <f t="shared" si="83"/>
        <v>260.86364999999995</v>
      </c>
      <c r="M57" s="227"/>
      <c r="N57" s="54"/>
      <c r="O57" s="227">
        <f>SUM(O51:O53)-SUM(O54:O56)</f>
        <v>11.970575398592679</v>
      </c>
      <c r="P57" s="227">
        <f t="shared" ref="P57:R57" si="84">SUM(P51:P53)-SUM(P54:P56)</f>
        <v>16.37059827937216</v>
      </c>
      <c r="Q57" s="227">
        <f t="shared" si="84"/>
        <v>56.057515848286229</v>
      </c>
      <c r="R57" s="227">
        <f t="shared" si="84"/>
        <v>0</v>
      </c>
      <c r="S57" s="108"/>
      <c r="T57" s="227">
        <f>SUM(T51:T53)-SUM(T54:T56)</f>
        <v>0</v>
      </c>
      <c r="U57" s="227">
        <f t="shared" ref="U57:W57" si="85">SUM(U51:U53)-SUM(U54:U56)</f>
        <v>0</v>
      </c>
      <c r="V57" s="227">
        <f t="shared" si="85"/>
        <v>0</v>
      </c>
      <c r="W57" s="227">
        <f t="shared" si="85"/>
        <v>0</v>
      </c>
      <c r="X57" s="108"/>
      <c r="Y57" s="227">
        <f>SUM(Y51:Y53)-SUM(Y54:Y56)</f>
        <v>0</v>
      </c>
      <c r="Z57" s="227">
        <f t="shared" ref="Z57:AB57" si="86">SUM(Z51:Z53)-SUM(Z54:Z56)</f>
        <v>0</v>
      </c>
      <c r="AA57" s="227">
        <f t="shared" si="86"/>
        <v>0</v>
      </c>
      <c r="AB57" s="227">
        <f t="shared" si="86"/>
        <v>0</v>
      </c>
      <c r="AC57" s="108"/>
      <c r="AD57" s="227">
        <f>SUM(AD51:AD53)-SUM(AD54:AD56)</f>
        <v>11.970575398592679</v>
      </c>
      <c r="AE57" s="227">
        <f t="shared" ref="AE57:AG57" si="87">SUM(AE51:AE53)-SUM(AE54:AE56)</f>
        <v>16.37059827937216</v>
      </c>
      <c r="AF57" s="227">
        <f t="shared" si="87"/>
        <v>56.057515848286229</v>
      </c>
      <c r="AG57" s="227">
        <f t="shared" si="87"/>
        <v>0</v>
      </c>
      <c r="AH57" s="118"/>
      <c r="AI57" s="220">
        <f t="shared" si="7"/>
        <v>1.2028626178333166</v>
      </c>
      <c r="AJ57" s="220">
        <f t="shared" si="8"/>
        <v>1.1640107355651041</v>
      </c>
      <c r="AK57" s="220">
        <f t="shared" si="9"/>
        <v>1.1640107355651041</v>
      </c>
      <c r="AL57" s="10" t="s">
        <v>240</v>
      </c>
    </row>
    <row r="58" spans="1:38" ht="12" customHeight="1" x14ac:dyDescent="0.25">
      <c r="B58" s="25">
        <f ca="1">MAX($A$1:B57)+0.1</f>
        <v>1.6000000000000005</v>
      </c>
      <c r="C58" s="74" t="s">
        <v>54</v>
      </c>
      <c r="D58" s="50"/>
      <c r="E58" s="50"/>
      <c r="F58" s="50"/>
      <c r="G58" s="50"/>
      <c r="H58" s="75"/>
      <c r="I58" s="50"/>
      <c r="J58" s="227">
        <f>J48-J57</f>
        <v>1353.6973899999939</v>
      </c>
      <c r="K58" s="227">
        <f>K48-K57</f>
        <v>2384.5637799999959</v>
      </c>
      <c r="L58" s="227">
        <f>L48-L57</f>
        <v>2457.0672200000126</v>
      </c>
      <c r="M58" s="227"/>
      <c r="N58" s="108"/>
      <c r="O58" s="230">
        <f>O48-O57</f>
        <v>301.43791529348835</v>
      </c>
      <c r="P58" s="231">
        <f>P48-P57</f>
        <v>522.00341060834705</v>
      </c>
      <c r="Q58" s="231">
        <f>Q48-Q57</f>
        <v>528.00413022456428</v>
      </c>
      <c r="R58" s="231">
        <f>R48-R57</f>
        <v>0</v>
      </c>
      <c r="S58" s="108"/>
      <c r="T58" s="230">
        <f>T48-T57</f>
        <v>0</v>
      </c>
      <c r="U58" s="231">
        <f>U48-U57</f>
        <v>0</v>
      </c>
      <c r="V58" s="231">
        <f>V48-V57</f>
        <v>0</v>
      </c>
      <c r="W58" s="231">
        <f>W48-W57</f>
        <v>0</v>
      </c>
      <c r="X58" s="108"/>
      <c r="Y58" s="230">
        <f>Y48-Y57</f>
        <v>0</v>
      </c>
      <c r="Z58" s="231">
        <f>Z48-Z57</f>
        <v>0</v>
      </c>
      <c r="AA58" s="231">
        <f>AA48-AA57</f>
        <v>0</v>
      </c>
      <c r="AB58" s="231">
        <f>AB48-AB57</f>
        <v>0</v>
      </c>
      <c r="AC58" s="108"/>
      <c r="AD58" s="230">
        <f>AD48-AD57</f>
        <v>301.43791529348835</v>
      </c>
      <c r="AE58" s="231">
        <f>AE48-AE57</f>
        <v>522.00341060834705</v>
      </c>
      <c r="AF58" s="231">
        <f>AF48-AF57</f>
        <v>528.00413022456428</v>
      </c>
      <c r="AG58" s="231">
        <f>AG48-AG57</f>
        <v>0</v>
      </c>
      <c r="AH58" s="118"/>
      <c r="AI58" s="220">
        <f t="shared" si="7"/>
        <v>0.34724854491052293</v>
      </c>
      <c r="AJ58" s="220">
        <f t="shared" si="8"/>
        <v>0.32348712582376504</v>
      </c>
      <c r="AK58" s="220">
        <f t="shared" si="9"/>
        <v>0.32348712582376504</v>
      </c>
      <c r="AL58" s="10" t="s">
        <v>240</v>
      </c>
    </row>
    <row r="59" spans="1:38" s="13" customFormat="1" ht="12" customHeight="1" x14ac:dyDescent="0.25">
      <c r="A59" s="43"/>
      <c r="B59" s="56"/>
      <c r="C59" s="43"/>
      <c r="D59" s="43"/>
      <c r="E59" s="43"/>
      <c r="F59" s="11" t="str">
        <f>C58&amp;" mg (%)"</f>
        <v>EBT mg (%)</v>
      </c>
      <c r="G59" s="11"/>
      <c r="H59" s="22"/>
      <c r="I59" s="11"/>
      <c r="J59" s="220">
        <f>IF(ISERROR(J58/J$21),0,J58/J$21)</f>
        <v>5.6045432720412063E-2</v>
      </c>
      <c r="K59" s="220">
        <f>IF(ISERROR(K58/K$21),0,K58/K$21)</f>
        <v>5.4220488609417736E-2</v>
      </c>
      <c r="L59" s="220">
        <f>IF(ISERROR(L58/L$21),0,L58/L$21)</f>
        <v>6.5058747808328501E-2</v>
      </c>
      <c r="M59" s="220"/>
      <c r="N59" s="219"/>
      <c r="O59" s="220">
        <f>IF(ISERROR(O58/O$21),0,O58/O$21)</f>
        <v>5.6045432720412208E-2</v>
      </c>
      <c r="P59" s="220">
        <f>IF(ISERROR(P58/P$21),0,P58/P$21)</f>
        <v>5.4220488609417611E-2</v>
      </c>
      <c r="Q59" s="220">
        <f>IF(ISERROR(Q58/Q$21),0,Q58/Q$21)</f>
        <v>6.5058747808328432E-2</v>
      </c>
      <c r="R59" s="220">
        <f>IF(ISERROR(R58/R$21),0,R58/R$21)</f>
        <v>0</v>
      </c>
      <c r="S59" s="219"/>
      <c r="T59" s="220">
        <f>IF(ISERROR(T58/T$21),0,T58/T$21)</f>
        <v>0</v>
      </c>
      <c r="U59" s="220">
        <f>IF(ISERROR(U58/U$21),0,U58/U$21)</f>
        <v>0</v>
      </c>
      <c r="V59" s="220">
        <f>IF(ISERROR(V58/V$21),0,V58/V$21)</f>
        <v>0</v>
      </c>
      <c r="W59" s="220">
        <f>IF(ISERROR(W58/W$21),0,W58/W$21)</f>
        <v>0</v>
      </c>
      <c r="X59" s="219"/>
      <c r="Y59" s="220">
        <f>IF(ISERROR(Y58/Y$21),0,Y58/Y$21)</f>
        <v>0</v>
      </c>
      <c r="Z59" s="220">
        <f>IF(ISERROR(Z58/Z$21),0,Z58/Z$21)</f>
        <v>0</v>
      </c>
      <c r="AA59" s="220">
        <f>IF(ISERROR(AA58/AA$21),0,AA58/AA$21)</f>
        <v>0</v>
      </c>
      <c r="AB59" s="220">
        <f>IF(ISERROR(AB58/AB$21),0,AB58/AB$21)</f>
        <v>0</v>
      </c>
      <c r="AC59" s="219"/>
      <c r="AD59" s="220">
        <f>IF(ISERROR(AD58/AD$21),0,AD58/AD$21)</f>
        <v>5.6045432720412208E-2</v>
      </c>
      <c r="AE59" s="220">
        <f>IF(ISERROR(AE58/AE$21),0,AE58/AE$21)</f>
        <v>5.4220488609417611E-2</v>
      </c>
      <c r="AF59" s="220">
        <f>IF(ISERROR(AF58/AF$21),0,AF58/AF$21)</f>
        <v>6.5058747808328432E-2</v>
      </c>
      <c r="AG59" s="220">
        <f>IF(ISERROR(AG58/AG$21),0,AG58/AG$21)</f>
        <v>0</v>
      </c>
      <c r="AH59" s="225"/>
      <c r="AI59" s="220">
        <f t="shared" si="7"/>
        <v>7.7414303237805626E-2</v>
      </c>
      <c r="AJ59" s="220">
        <f t="shared" si="8"/>
        <v>7.7414303237803628E-2</v>
      </c>
      <c r="AK59" s="220">
        <f t="shared" si="9"/>
        <v>7.7414303237803628E-2</v>
      </c>
      <c r="AL59" s="10" t="s">
        <v>240</v>
      </c>
    </row>
    <row r="60" spans="1:38" ht="12" customHeight="1" x14ac:dyDescent="0.25">
      <c r="B60" s="25"/>
      <c r="F60" s="10" t="s">
        <v>227</v>
      </c>
      <c r="G60" s="434" t="s">
        <v>1102</v>
      </c>
      <c r="H60" s="22"/>
      <c r="J60" s="221">
        <f>-SUMIF('HRC1216'!$L$9:$L$191,'1.2.Historical IS'!$G60,'HRC1216'!$K$9:$K$191)/1000</f>
        <v>226.821</v>
      </c>
      <c r="K60" s="221">
        <f>-SUMIF('HRC1217'!$L$9:$L$191,'1.2.Historical IS'!$G60,'HRC1217'!$K$9:$K$191)/1000</f>
        <v>385.53</v>
      </c>
      <c r="L60" s="221">
        <f>-SUMIF('HRC1218'!$L$9:$L$191,'1.2.Historical IS'!$G60,'HRC1218'!$K$9:$K$191)/1000</f>
        <v>390.59500000000003</v>
      </c>
      <c r="M60" s="221"/>
      <c r="N60" s="108"/>
      <c r="O60" s="223">
        <f>J60/O$7</f>
        <v>50.507927318072504</v>
      </c>
      <c r="P60" s="223">
        <f>K60/P$7</f>
        <v>84.396138438300383</v>
      </c>
      <c r="Q60" s="223">
        <f>L60/Q$7</f>
        <v>83.935747286988288</v>
      </c>
      <c r="R60" s="223">
        <f>M60/R$7</f>
        <v>0</v>
      </c>
      <c r="S60" s="108"/>
      <c r="T60" s="224">
        <v>0</v>
      </c>
      <c r="U60" s="224">
        <v>0</v>
      </c>
      <c r="V60" s="224">
        <v>0</v>
      </c>
      <c r="W60" s="224">
        <v>0</v>
      </c>
      <c r="X60" s="108"/>
      <c r="Y60" s="224">
        <v>0</v>
      </c>
      <c r="Z60" s="224">
        <v>0</v>
      </c>
      <c r="AA60" s="224">
        <v>0</v>
      </c>
      <c r="AB60" s="224">
        <v>0</v>
      </c>
      <c r="AC60" s="108"/>
      <c r="AD60" s="223">
        <f t="shared" ref="AD60" si="88">O60-T60-Y60</f>
        <v>50.507927318072504</v>
      </c>
      <c r="AE60" s="223">
        <f t="shared" ref="AE60" si="89">P60-U60-Z60</f>
        <v>84.396138438300383</v>
      </c>
      <c r="AF60" s="223">
        <f t="shared" ref="AF60:AG60" si="90">Q60-V60-AA60</f>
        <v>83.935747286988288</v>
      </c>
      <c r="AG60" s="223">
        <f t="shared" si="90"/>
        <v>0</v>
      </c>
      <c r="AH60" s="118"/>
      <c r="AI60" s="220">
        <f t="shared" si="7"/>
        <v>0.31226549453655661</v>
      </c>
      <c r="AJ60" s="220">
        <f t="shared" si="8"/>
        <v>0.2891210714183694</v>
      </c>
      <c r="AK60" s="220">
        <f t="shared" si="9"/>
        <v>0.2891210714183694</v>
      </c>
      <c r="AL60" s="10" t="s">
        <v>240</v>
      </c>
    </row>
    <row r="61" spans="1:38" ht="12" customHeight="1" x14ac:dyDescent="0.25">
      <c r="B61" s="25">
        <f ca="1">MAX($A$1:B60)+0.1</f>
        <v>1.7000000000000006</v>
      </c>
      <c r="C61" s="74" t="s">
        <v>53</v>
      </c>
      <c r="D61" s="50"/>
      <c r="E61" s="50"/>
      <c r="F61" s="50"/>
      <c r="G61" s="50"/>
      <c r="H61" s="75"/>
      <c r="I61" s="50"/>
      <c r="J61" s="227">
        <f>J58-J60</f>
        <v>1126.876389999994</v>
      </c>
      <c r="K61" s="227">
        <f>K58-K60</f>
        <v>1999.0337799999959</v>
      </c>
      <c r="L61" s="623">
        <f>L58-L60</f>
        <v>2066.4722200000124</v>
      </c>
      <c r="M61" s="227"/>
      <c r="N61" s="108"/>
      <c r="O61" s="229">
        <f>O58-O60</f>
        <v>250.92998797541583</v>
      </c>
      <c r="P61" s="227">
        <f>P58-P60</f>
        <v>437.60727217004666</v>
      </c>
      <c r="Q61" s="227">
        <f>Q58-Q60</f>
        <v>444.06838293757596</v>
      </c>
      <c r="R61" s="227">
        <f>R58-R60</f>
        <v>0</v>
      </c>
      <c r="S61" s="108"/>
      <c r="T61" s="229">
        <f>T58-T60</f>
        <v>0</v>
      </c>
      <c r="U61" s="227">
        <f>U58-U60</f>
        <v>0</v>
      </c>
      <c r="V61" s="227">
        <f>V58-V60</f>
        <v>0</v>
      </c>
      <c r="W61" s="227">
        <f>W58-W60</f>
        <v>0</v>
      </c>
      <c r="X61" s="108"/>
      <c r="Y61" s="229">
        <f>Y58-Y60</f>
        <v>0</v>
      </c>
      <c r="Z61" s="227">
        <f>Z58-Z60</f>
        <v>0</v>
      </c>
      <c r="AA61" s="227">
        <f>AA58-AA60</f>
        <v>0</v>
      </c>
      <c r="AB61" s="227">
        <f>AB58-AB60</f>
        <v>0</v>
      </c>
      <c r="AC61" s="108"/>
      <c r="AD61" s="229">
        <f>AD58-AD60</f>
        <v>250.92998797541583</v>
      </c>
      <c r="AE61" s="227">
        <f>AE58-AE60</f>
        <v>437.60727217004666</v>
      </c>
      <c r="AF61" s="227">
        <f>AF58-AF60</f>
        <v>444.06838293757596</v>
      </c>
      <c r="AG61" s="227">
        <f>AG58-AG60</f>
        <v>0</v>
      </c>
      <c r="AH61" s="118"/>
      <c r="AI61" s="220">
        <f t="shared" si="7"/>
        <v>0.35418078081977633</v>
      </c>
      <c r="AJ61" s="220">
        <f t="shared" si="8"/>
        <v>0.33029709790629513</v>
      </c>
      <c r="AK61" s="220">
        <f t="shared" si="9"/>
        <v>0.33029709790629513</v>
      </c>
      <c r="AL61" s="10" t="s">
        <v>240</v>
      </c>
    </row>
    <row r="62" spans="1:38" s="13" customFormat="1" ht="12" customHeight="1" x14ac:dyDescent="0.25">
      <c r="A62" s="43"/>
      <c r="B62" s="56"/>
      <c r="C62" s="43"/>
      <c r="D62" s="43"/>
      <c r="E62" s="43"/>
      <c r="F62" s="11" t="str">
        <f>C61&amp;" mg (%)"</f>
        <v>EAT mg (%)</v>
      </c>
      <c r="G62" s="11"/>
      <c r="H62" s="22"/>
      <c r="I62" s="11"/>
      <c r="J62" s="220">
        <f>IF(ISERROR(J61/J$21),0,J61/J$21)</f>
        <v>4.6654647756959752E-2</v>
      </c>
      <c r="K62" s="220">
        <f>IF(ISERROR(K61/K$21),0,K61/K$21)</f>
        <v>4.5454262623384832E-2</v>
      </c>
      <c r="L62" s="220">
        <f>IF(ISERROR(L61/L$21),0,L61/L$21)</f>
        <v>5.4716490423854527E-2</v>
      </c>
      <c r="M62" s="220"/>
      <c r="N62" s="219"/>
      <c r="O62" s="220">
        <f>IF(ISERROR(O61/O$21),0,O61/O$21)</f>
        <v>4.6654647756959891E-2</v>
      </c>
      <c r="P62" s="220">
        <f>IF(ISERROR(P61/P$21),0,P61/P$21)</f>
        <v>4.54542626233847E-2</v>
      </c>
      <c r="Q62" s="220">
        <f>IF(ISERROR(Q61/Q$21),0,Q61/Q$21)</f>
        <v>5.4716490423854458E-2</v>
      </c>
      <c r="R62" s="220">
        <f>IF(ISERROR(R61/R$21),0,R61/R$21)</f>
        <v>0</v>
      </c>
      <c r="S62" s="219"/>
      <c r="T62" s="220">
        <f>IF(ISERROR(T61/T$21),0,T61/T$21)</f>
        <v>0</v>
      </c>
      <c r="U62" s="220">
        <f>IF(ISERROR(U61/U$21),0,U61/U$21)</f>
        <v>0</v>
      </c>
      <c r="V62" s="220">
        <f>IF(ISERROR(V61/V$21),0,V61/V$21)</f>
        <v>0</v>
      </c>
      <c r="W62" s="220">
        <f>IF(ISERROR(W61/W$21),0,W61/W$21)</f>
        <v>0</v>
      </c>
      <c r="X62" s="219"/>
      <c r="Y62" s="220">
        <f>IF(ISERROR(Y61/Y$21),0,Y61/Y$21)</f>
        <v>0</v>
      </c>
      <c r="Z62" s="220">
        <f>IF(ISERROR(Z61/Z$21),0,Z61/Z$21)</f>
        <v>0</v>
      </c>
      <c r="AA62" s="220">
        <f>IF(ISERROR(AA61/AA$21),0,AA61/AA$21)</f>
        <v>0</v>
      </c>
      <c r="AB62" s="220">
        <f>IF(ISERROR(AB61/AB$21),0,AB61/AB$21)</f>
        <v>0</v>
      </c>
      <c r="AC62" s="219"/>
      <c r="AD62" s="220">
        <f>IF(ISERROR(AD61/AD$21),0,AD61/AD$21)</f>
        <v>4.6654647756959891E-2</v>
      </c>
      <c r="AE62" s="220">
        <f>IF(ISERROR(AE61/AE$21),0,AE61/AE$21)</f>
        <v>4.54542626233847E-2</v>
      </c>
      <c r="AF62" s="220">
        <f>IF(ISERROR(AF61/AF$21),0,AF61/AF$21)</f>
        <v>5.4716490423854458E-2</v>
      </c>
      <c r="AG62" s="220">
        <f>IF(ISERROR(AG61/AG$21),0,AG61/AG$21)</f>
        <v>0</v>
      </c>
      <c r="AH62" s="225"/>
      <c r="AI62" s="220">
        <f t="shared" si="7"/>
        <v>8.2958113361233599E-2</v>
      </c>
      <c r="AJ62" s="220">
        <f t="shared" si="8"/>
        <v>8.2958113361231378E-2</v>
      </c>
      <c r="AK62" s="220">
        <f t="shared" si="9"/>
        <v>8.2958113361231378E-2</v>
      </c>
      <c r="AL62" s="10" t="s">
        <v>240</v>
      </c>
    </row>
    <row r="63" spans="1:38" s="13" customFormat="1" ht="12" customHeight="1" x14ac:dyDescent="0.25">
      <c r="A63" s="43"/>
      <c r="B63" s="56"/>
      <c r="C63" s="43"/>
      <c r="D63" s="43"/>
      <c r="E63" s="43"/>
      <c r="F63" s="11"/>
      <c r="G63" s="11"/>
      <c r="H63" s="22"/>
      <c r="I63" s="11"/>
      <c r="J63" s="219"/>
      <c r="K63" s="219"/>
      <c r="L63" s="219"/>
      <c r="M63" s="219"/>
      <c r="N63" s="219"/>
      <c r="O63" s="219"/>
      <c r="P63" s="219"/>
      <c r="Q63" s="219"/>
      <c r="R63" s="219"/>
      <c r="S63" s="219"/>
      <c r="T63" s="219"/>
      <c r="U63" s="219"/>
      <c r="V63" s="219"/>
      <c r="W63" s="219"/>
      <c r="X63" s="219"/>
      <c r="Y63" s="219"/>
      <c r="Z63" s="219"/>
      <c r="AA63" s="219"/>
      <c r="AB63" s="219"/>
      <c r="AC63" s="219"/>
      <c r="AD63" s="219"/>
      <c r="AE63" s="219"/>
      <c r="AF63" s="219"/>
      <c r="AG63" s="219"/>
      <c r="AH63" s="225"/>
      <c r="AI63" s="219"/>
      <c r="AJ63" s="219"/>
      <c r="AK63" s="219"/>
      <c r="AL63" s="11"/>
    </row>
    <row r="64" spans="1:38" ht="12" customHeight="1" x14ac:dyDescent="0.25">
      <c r="B64" s="25"/>
      <c r="C64" s="59" t="s">
        <v>52</v>
      </c>
      <c r="D64" s="60"/>
      <c r="E64" s="61"/>
      <c r="F64" s="61"/>
      <c r="G64" s="61"/>
      <c r="H64" s="61"/>
      <c r="I64" s="62"/>
      <c r="J64" s="452">
        <f>J61-'1.3.Historical BS'!J50</f>
        <v>-2.191000000607346E-2</v>
      </c>
      <c r="K64" s="855">
        <f>K61-'1.3.Historical BS'!K50</f>
        <v>0.28249999999593456</v>
      </c>
      <c r="L64" s="452">
        <f>L61-'1.3.Historical BS'!L50</f>
        <v>-11.857659999987845</v>
      </c>
      <c r="M64" s="452">
        <f>M61-'1.3.Historical BS'!M50</f>
        <v>0</v>
      </c>
      <c r="N64" s="118"/>
      <c r="O64" s="452">
        <f>J64/O7</f>
        <v>-4.8788634555253984E-3</v>
      </c>
      <c r="P64" s="452">
        <f t="shared" ref="P64:R64" si="91">K64/P7</f>
        <v>6.184190363519506E-2</v>
      </c>
      <c r="Q64" s="452">
        <f t="shared" si="91"/>
        <v>-2.5481164714704727</v>
      </c>
      <c r="R64" s="452">
        <f t="shared" si="91"/>
        <v>0</v>
      </c>
      <c r="S64" s="118"/>
      <c r="T64" s="118"/>
      <c r="U64" s="118"/>
      <c r="V64" s="118"/>
      <c r="W64" s="118"/>
      <c r="X64" s="118"/>
      <c r="Y64" s="118"/>
      <c r="Z64" s="118"/>
      <c r="AA64" s="118"/>
      <c r="AB64" s="118"/>
      <c r="AC64" s="118"/>
      <c r="AD64" s="118"/>
      <c r="AE64" s="118"/>
      <c r="AF64" s="118"/>
      <c r="AG64" s="118"/>
      <c r="AH64" s="118"/>
      <c r="AI64" s="225"/>
      <c r="AJ64" s="225"/>
      <c r="AK64" s="225"/>
    </row>
    <row r="65" spans="1:38" ht="12" customHeight="1" x14ac:dyDescent="0.25">
      <c r="K65" s="856"/>
    </row>
    <row r="66" spans="1:38" ht="12" customHeight="1" x14ac:dyDescent="0.25">
      <c r="J66" s="78"/>
      <c r="K66" s="78"/>
      <c r="L66" s="78"/>
      <c r="M66" s="78"/>
    </row>
    <row r="67" spans="1:38" ht="12" customHeight="1" x14ac:dyDescent="0.25">
      <c r="Q67" s="450"/>
    </row>
    <row r="68" spans="1:38" ht="12" customHeight="1" x14ac:dyDescent="0.25">
      <c r="A68" s="63" t="s">
        <v>0</v>
      </c>
      <c r="B68" s="63"/>
      <c r="C68" s="63"/>
      <c r="D68" s="64"/>
      <c r="E68" s="64"/>
      <c r="F68" s="63"/>
      <c r="G68" s="65"/>
      <c r="H68" s="66"/>
      <c r="I68" s="65"/>
      <c r="J68" s="455"/>
      <c r="K68" s="455"/>
      <c r="L68" s="67"/>
      <c r="M68" s="98"/>
      <c r="N68" s="67"/>
      <c r="O68" s="67"/>
      <c r="P68" s="67"/>
      <c r="Q68" s="67"/>
      <c r="R68" s="98"/>
      <c r="S68" s="67"/>
      <c r="T68" s="67"/>
      <c r="U68" s="67"/>
      <c r="V68" s="67"/>
      <c r="W68" s="98"/>
      <c r="X68" s="67"/>
      <c r="Y68" s="67"/>
      <c r="Z68" s="67"/>
      <c r="AA68" s="67"/>
      <c r="AB68" s="98"/>
      <c r="AC68" s="67"/>
      <c r="AD68" s="67"/>
      <c r="AE68" s="67"/>
      <c r="AF68" s="67"/>
      <c r="AG68" s="98"/>
      <c r="AH68" s="68"/>
      <c r="AI68" s="69"/>
      <c r="AJ68" s="69"/>
      <c r="AK68" s="69"/>
      <c r="AL68" s="68"/>
    </row>
    <row r="70" spans="1:38" ht="12" customHeight="1" x14ac:dyDescent="0.25">
      <c r="M70" s="439"/>
    </row>
    <row r="71" spans="1:38" ht="12" customHeight="1" x14ac:dyDescent="0.25">
      <c r="M71" s="439"/>
    </row>
  </sheetData>
  <mergeCells count="4">
    <mergeCell ref="O5:Q5"/>
    <mergeCell ref="Y5:AB5"/>
    <mergeCell ref="T5:W5"/>
    <mergeCell ref="AD5:AG5"/>
  </mergeCells>
  <conditionalFormatting sqref="A3">
    <cfRule type="containsText" dxfId="22" priority="1" operator="containsText" text="OK">
      <formula>NOT(ISERROR(SEARCH("OK",A3)))</formula>
    </cfRule>
    <cfRule type="containsText" dxfId="21" priority="2" operator="containsText" text="Error">
      <formula>NOT(ISERROR(SEARCH("Error",A3)))</formula>
    </cfRule>
  </conditionalFormatting>
  <pageMargins left="0.7" right="0.7" top="0.75" bottom="0.75" header="0.3" footer="0.3"/>
  <pageSetup paperSize="9" orientation="portrait" r:id="rId1"/>
  <headerFooter>
    <oddFooter>&amp;C&amp;7&amp;B&amp;"Arial"Document Classification: KPMG Confidential</oddFooter>
  </headerFooter>
  <ignoredErrors>
    <ignoredError sqref="K11:K17 K2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autoFill="0" autoPict="0" macro="[0]!scenario1">
                <anchor moveWithCells="1" sizeWithCells="1">
                  <from>
                    <xdr:col>6</xdr:col>
                    <xdr:colOff>533400</xdr:colOff>
                    <xdr:row>1</xdr:row>
                    <xdr:rowOff>0</xdr:rowOff>
                  </from>
                  <to>
                    <xdr:col>7</xdr:col>
                    <xdr:colOff>106680</xdr:colOff>
                    <xdr:row>2</xdr:row>
                    <xdr:rowOff>91440</xdr:rowOff>
                  </to>
                </anchor>
              </controlPr>
            </control>
          </mc:Choice>
        </mc:AlternateContent>
        <mc:AlternateContent xmlns:mc="http://schemas.openxmlformats.org/markup-compatibility/2006">
          <mc:Choice Requires="x14">
            <control shapeId="744450" r:id="rId5" name="Button 2">
              <controlPr defaultSize="0" autoFill="0" autoPict="0" macro="[0]!scenario2">
                <anchor moveWithCells="1" sizeWithCells="1">
                  <from>
                    <xdr:col>7</xdr:col>
                    <xdr:colOff>114300</xdr:colOff>
                    <xdr:row>1</xdr:row>
                    <xdr:rowOff>0</xdr:rowOff>
                  </from>
                  <to>
                    <xdr:col>7</xdr:col>
                    <xdr:colOff>426720</xdr:colOff>
                    <xdr:row>2</xdr:row>
                    <xdr:rowOff>91440</xdr:rowOff>
                  </to>
                </anchor>
              </controlPr>
            </control>
          </mc:Choice>
        </mc:AlternateContent>
        <mc:AlternateContent xmlns:mc="http://schemas.openxmlformats.org/markup-compatibility/2006">
          <mc:Choice Requires="x14">
            <control shapeId="744451" r:id="rId6" name="Button 3">
              <controlPr defaultSize="0" autoFill="0" autoPict="0" macro="[0]!scenario3">
                <anchor moveWithCells="1" sizeWithCells="1">
                  <from>
                    <xdr:col>7</xdr:col>
                    <xdr:colOff>434340</xdr:colOff>
                    <xdr:row>1</xdr:row>
                    <xdr:rowOff>0</xdr:rowOff>
                  </from>
                  <to>
                    <xdr:col>8</xdr:col>
                    <xdr:colOff>7620</xdr:colOff>
                    <xdr:row>2</xdr:row>
                    <xdr:rowOff>91440</xdr:rowOff>
                  </to>
                </anchor>
              </controlPr>
            </control>
          </mc:Choice>
        </mc:AlternateContent>
        <mc:AlternateContent xmlns:mc="http://schemas.openxmlformats.org/markup-compatibility/2006">
          <mc:Choice Requires="x14">
            <control shapeId="744452" r:id="rId7" name="Button 4">
              <controlPr defaultSize="0" print="0" autoFill="0" autoPict="0" macro="[0]!Module3.ModelMap">
                <anchor moveWithCells="1" sizeWithCells="1">
                  <from>
                    <xdr:col>5</xdr:col>
                    <xdr:colOff>2339340</xdr:colOff>
                    <xdr:row>1</xdr:row>
                    <xdr:rowOff>0</xdr:rowOff>
                  </from>
                  <to>
                    <xdr:col>6</xdr:col>
                    <xdr:colOff>525780</xdr:colOff>
                    <xdr:row>2</xdr:row>
                    <xdr:rowOff>91440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499984740745262"/>
    <outlinePr summaryBelow="0" summaryRight="0"/>
  </sheetPr>
  <dimension ref="A1:AL87"/>
  <sheetViews>
    <sheetView showGridLines="0" zoomScale="85" zoomScaleNormal="85" workbookViewId="0">
      <pane xSplit="9" ySplit="4" topLeftCell="J51" activePane="bottomRight" state="frozen"/>
      <selection activeCell="N34" sqref="N34"/>
      <selection pane="topRight" activeCell="N34" sqref="N34"/>
      <selection pane="bottomLeft" activeCell="N34" sqref="N34"/>
      <selection pane="bottomRight" activeCell="J71" sqref="J71:L71"/>
    </sheetView>
  </sheetViews>
  <sheetFormatPr defaultColWidth="0" defaultRowHeight="12" customHeight="1" outlineLevelRow="3" outlineLevelCol="1" x14ac:dyDescent="0.25"/>
  <cols>
    <col min="1" max="1" width="3.6640625" style="9" customWidth="1"/>
    <col min="2" max="4" width="5.6640625" style="9" customWidth="1"/>
    <col min="5" max="5" width="2.6640625" style="9" customWidth="1"/>
    <col min="6" max="6" width="40.6640625" style="10" customWidth="1"/>
    <col min="7" max="7" width="10.6640625" style="10" customWidth="1"/>
    <col min="8" max="8" width="10.6640625" style="11" customWidth="1"/>
    <col min="9" max="9" width="2.6640625" style="10" customWidth="1"/>
    <col min="10" max="13" width="10.6640625" style="12" customWidth="1"/>
    <col min="14" max="14" width="2.6640625" style="12" customWidth="1"/>
    <col min="15" max="17" width="10.6640625" style="12" customWidth="1"/>
    <col min="18" max="18" width="10.6640625" style="12" customWidth="1" collapsed="1"/>
    <col min="19" max="19" width="2.6640625" style="12" hidden="1" customWidth="1" outlineLevel="1"/>
    <col min="20" max="23" width="10.6640625" style="12" hidden="1" customWidth="1" outlineLevel="1"/>
    <col min="24" max="24" width="2.6640625" style="12" hidden="1" customWidth="1" outlineLevel="1"/>
    <col min="25" max="28" width="10.6640625" style="12" hidden="1" customWidth="1" outlineLevel="1"/>
    <col min="29" max="29" width="2.6640625" style="12" customWidth="1"/>
    <col min="30" max="33" width="10.6640625" style="12" customWidth="1"/>
    <col min="34" max="34" width="2.6640625" style="12" customWidth="1"/>
    <col min="35" max="37" width="10.6640625" style="13" bestFit="1" customWidth="1"/>
    <col min="38" max="38" width="25.6640625" style="10" customWidth="1"/>
    <col min="39" max="16384" width="0" style="12" hidden="1"/>
  </cols>
  <sheetData>
    <row r="1" spans="1:38" s="6" customFormat="1" ht="12" customHeight="1" x14ac:dyDescent="0.25">
      <c r="A1" s="1" t="str">
        <f ca="1">MID(CELL("filename"),SEARCH("[",CELL("filename"))+1, SEARCH("]",CELL("filename"))-SEARCH("[",CELL("filename"))-1)</f>
        <v>Project Horeco_190409_1810.xlsm</v>
      </c>
      <c r="B1" s="1"/>
      <c r="C1" s="1"/>
      <c r="D1" s="1"/>
      <c r="E1" s="1"/>
      <c r="F1" s="1"/>
      <c r="G1" s="1"/>
      <c r="H1" s="2"/>
      <c r="I1" s="1"/>
      <c r="J1" s="3">
        <f>'1.0.Model timing'!J9</f>
        <v>42370</v>
      </c>
      <c r="K1" s="3">
        <f>'1.0.Model timing'!K9</f>
        <v>42736</v>
      </c>
      <c r="L1" s="3">
        <f>'1.0.Model timing'!L9</f>
        <v>43101</v>
      </c>
      <c r="M1" s="3">
        <f>'1.0.Model timing'!M9</f>
        <v>43466</v>
      </c>
      <c r="N1" s="3"/>
      <c r="O1" s="3">
        <f t="shared" ref="O1:R4" si="0">J1</f>
        <v>42370</v>
      </c>
      <c r="P1" s="3">
        <f t="shared" si="0"/>
        <v>42736</v>
      </c>
      <c r="Q1" s="3">
        <f t="shared" si="0"/>
        <v>43101</v>
      </c>
      <c r="R1" s="3">
        <f t="shared" si="0"/>
        <v>43466</v>
      </c>
      <c r="S1" s="3"/>
      <c r="T1" s="3">
        <f t="shared" ref="T1:W4" si="1">J1</f>
        <v>42370</v>
      </c>
      <c r="U1" s="3">
        <f t="shared" si="1"/>
        <v>42736</v>
      </c>
      <c r="V1" s="3">
        <f t="shared" si="1"/>
        <v>43101</v>
      </c>
      <c r="W1" s="3">
        <f t="shared" si="1"/>
        <v>43466</v>
      </c>
      <c r="X1" s="3"/>
      <c r="Y1" s="3">
        <f t="shared" ref="Y1:AB4" si="2">J1</f>
        <v>42370</v>
      </c>
      <c r="Z1" s="3">
        <f t="shared" si="2"/>
        <v>42736</v>
      </c>
      <c r="AA1" s="3">
        <f t="shared" si="2"/>
        <v>43101</v>
      </c>
      <c r="AB1" s="3">
        <f t="shared" si="2"/>
        <v>43466</v>
      </c>
      <c r="AC1" s="3"/>
      <c r="AD1" s="3">
        <f t="shared" ref="AD1:AG4" si="3">O1</f>
        <v>42370</v>
      </c>
      <c r="AE1" s="3">
        <f t="shared" si="3"/>
        <v>42736</v>
      </c>
      <c r="AF1" s="3">
        <f t="shared" si="3"/>
        <v>43101</v>
      </c>
      <c r="AG1" s="3">
        <f t="shared" si="3"/>
        <v>43466</v>
      </c>
      <c r="AH1" s="4"/>
      <c r="AI1" s="5"/>
      <c r="AJ1" s="5"/>
      <c r="AK1" s="5"/>
      <c r="AL1" s="1" t="s">
        <v>11</v>
      </c>
    </row>
    <row r="2" spans="1:38" s="6" customFormat="1" ht="12" customHeight="1" x14ac:dyDescent="0.25">
      <c r="A2" s="1" t="str">
        <f ca="1">RIGHT(CELL("filename",A2),LEN(CELL("filename",A2))-FIND("]",CELL("filename",A2)))</f>
        <v>1.3.Historical BS</v>
      </c>
      <c r="B2" s="1"/>
      <c r="C2" s="1"/>
      <c r="D2" s="1"/>
      <c r="E2" s="1"/>
      <c r="F2" s="1"/>
      <c r="G2" s="1"/>
      <c r="H2" s="2"/>
      <c r="I2" s="1"/>
      <c r="J2" s="3">
        <f>'1.0.Model timing'!J10</f>
        <v>42735</v>
      </c>
      <c r="K2" s="3">
        <f>'1.0.Model timing'!K10</f>
        <v>43100</v>
      </c>
      <c r="L2" s="3">
        <f>'1.0.Model timing'!L10</f>
        <v>43465</v>
      </c>
      <c r="M2" s="3">
        <f>'1.0.Model timing'!M10</f>
        <v>43830</v>
      </c>
      <c r="N2" s="3"/>
      <c r="O2" s="3">
        <f t="shared" si="0"/>
        <v>42735</v>
      </c>
      <c r="P2" s="3">
        <f t="shared" si="0"/>
        <v>43100</v>
      </c>
      <c r="Q2" s="3">
        <f t="shared" si="0"/>
        <v>43465</v>
      </c>
      <c r="R2" s="3">
        <f t="shared" si="0"/>
        <v>43830</v>
      </c>
      <c r="S2" s="3"/>
      <c r="T2" s="3">
        <f t="shared" si="1"/>
        <v>42735</v>
      </c>
      <c r="U2" s="3">
        <f t="shared" si="1"/>
        <v>43100</v>
      </c>
      <c r="V2" s="3">
        <f t="shared" si="1"/>
        <v>43465</v>
      </c>
      <c r="W2" s="3">
        <f t="shared" si="1"/>
        <v>43830</v>
      </c>
      <c r="X2" s="3"/>
      <c r="Y2" s="3">
        <f t="shared" si="2"/>
        <v>42735</v>
      </c>
      <c r="Z2" s="3">
        <f t="shared" si="2"/>
        <v>43100</v>
      </c>
      <c r="AA2" s="3">
        <f t="shared" si="2"/>
        <v>43465</v>
      </c>
      <c r="AB2" s="3">
        <f t="shared" si="2"/>
        <v>43830</v>
      </c>
      <c r="AC2" s="3"/>
      <c r="AD2" s="3">
        <f t="shared" si="3"/>
        <v>42735</v>
      </c>
      <c r="AE2" s="3">
        <f t="shared" si="3"/>
        <v>43100</v>
      </c>
      <c r="AF2" s="3">
        <f t="shared" si="3"/>
        <v>43465</v>
      </c>
      <c r="AG2" s="3">
        <f t="shared" si="3"/>
        <v>43830</v>
      </c>
      <c r="AH2" s="4"/>
      <c r="AI2" s="5" t="s">
        <v>9</v>
      </c>
      <c r="AJ2" s="5" t="s">
        <v>9</v>
      </c>
      <c r="AK2" s="5" t="s">
        <v>9</v>
      </c>
      <c r="AL2" s="1"/>
    </row>
    <row r="3" spans="1:38" s="6" customFormat="1" ht="12" customHeight="1" x14ac:dyDescent="0.25">
      <c r="A3" s="1"/>
      <c r="B3" s="1"/>
      <c r="C3" s="1"/>
      <c r="D3" s="1"/>
      <c r="E3" s="1"/>
      <c r="F3" s="1"/>
      <c r="G3" s="1"/>
      <c r="H3" s="2"/>
      <c r="I3" s="1"/>
      <c r="J3" s="7">
        <f>'1.0.Model timing'!J11</f>
        <v>2016</v>
      </c>
      <c r="K3" s="7">
        <f>'1.0.Model timing'!K11</f>
        <v>2017</v>
      </c>
      <c r="L3" s="7">
        <f>'1.0.Model timing'!L11</f>
        <v>2018</v>
      </c>
      <c r="M3" s="7">
        <f>'1.0.Model timing'!M11</f>
        <v>2019</v>
      </c>
      <c r="N3" s="7"/>
      <c r="O3" s="7">
        <f t="shared" si="0"/>
        <v>2016</v>
      </c>
      <c r="P3" s="7">
        <f t="shared" si="0"/>
        <v>2017</v>
      </c>
      <c r="Q3" s="7">
        <f t="shared" si="0"/>
        <v>2018</v>
      </c>
      <c r="R3" s="7">
        <f t="shared" si="0"/>
        <v>2019</v>
      </c>
      <c r="S3" s="7"/>
      <c r="T3" s="7">
        <f t="shared" si="1"/>
        <v>2016</v>
      </c>
      <c r="U3" s="7">
        <f t="shared" si="1"/>
        <v>2017</v>
      </c>
      <c r="V3" s="7">
        <f t="shared" si="1"/>
        <v>2018</v>
      </c>
      <c r="W3" s="7">
        <f t="shared" si="1"/>
        <v>2019</v>
      </c>
      <c r="X3" s="7"/>
      <c r="Y3" s="7">
        <f t="shared" si="2"/>
        <v>2016</v>
      </c>
      <c r="Z3" s="7">
        <f t="shared" si="2"/>
        <v>2017</v>
      </c>
      <c r="AA3" s="7">
        <f t="shared" si="2"/>
        <v>2018</v>
      </c>
      <c r="AB3" s="7">
        <f t="shared" si="2"/>
        <v>2019</v>
      </c>
      <c r="AC3" s="7"/>
      <c r="AD3" s="7">
        <f t="shared" si="3"/>
        <v>2016</v>
      </c>
      <c r="AE3" s="7">
        <f t="shared" si="3"/>
        <v>2017</v>
      </c>
      <c r="AF3" s="7">
        <f t="shared" si="3"/>
        <v>2018</v>
      </c>
      <c r="AG3" s="7">
        <f t="shared" si="3"/>
        <v>2019</v>
      </c>
      <c r="AH3" s="4"/>
      <c r="AI3" s="5" t="s">
        <v>169</v>
      </c>
      <c r="AJ3" s="5" t="s">
        <v>251</v>
      </c>
      <c r="AK3" s="5" t="s">
        <v>252</v>
      </c>
      <c r="AL3" s="1"/>
    </row>
    <row r="4" spans="1:38" s="6" customFormat="1" ht="12" customHeight="1" x14ac:dyDescent="0.25">
      <c r="A4" s="1"/>
      <c r="B4" s="1"/>
      <c r="C4" s="1"/>
      <c r="D4" s="1"/>
      <c r="E4" s="1"/>
      <c r="F4" s="1"/>
      <c r="G4" s="1"/>
      <c r="H4" s="2" t="s">
        <v>7</v>
      </c>
      <c r="I4" s="1"/>
      <c r="J4" s="8" t="str">
        <f>'1.0.Model timing'!J15</f>
        <v>Actual</v>
      </c>
      <c r="K4" s="8" t="str">
        <f>'1.0.Model timing'!K15</f>
        <v>Actual</v>
      </c>
      <c r="L4" s="8" t="str">
        <f>'1.0.Model timing'!L15</f>
        <v>Actual</v>
      </c>
      <c r="M4" s="8" t="str">
        <f>'1.0.Model timing'!M15</f>
        <v>Forecast</v>
      </c>
      <c r="N4" s="8"/>
      <c r="O4" s="8" t="str">
        <f t="shared" si="0"/>
        <v>Actual</v>
      </c>
      <c r="P4" s="8" t="str">
        <f t="shared" si="0"/>
        <v>Actual</v>
      </c>
      <c r="Q4" s="8" t="str">
        <f t="shared" si="0"/>
        <v>Actual</v>
      </c>
      <c r="R4" s="8" t="str">
        <f t="shared" si="0"/>
        <v>Forecast</v>
      </c>
      <c r="S4" s="8"/>
      <c r="T4" s="8" t="str">
        <f t="shared" si="1"/>
        <v>Actual</v>
      </c>
      <c r="U4" s="8" t="str">
        <f t="shared" si="1"/>
        <v>Actual</v>
      </c>
      <c r="V4" s="8" t="str">
        <f t="shared" si="1"/>
        <v>Actual</v>
      </c>
      <c r="W4" s="8" t="str">
        <f t="shared" si="1"/>
        <v>Forecast</v>
      </c>
      <c r="X4" s="8"/>
      <c r="Y4" s="8" t="str">
        <f t="shared" si="2"/>
        <v>Actual</v>
      </c>
      <c r="Z4" s="8" t="str">
        <f t="shared" si="2"/>
        <v>Actual</v>
      </c>
      <c r="AA4" s="8" t="str">
        <f t="shared" si="2"/>
        <v>Actual</v>
      </c>
      <c r="AB4" s="8" t="str">
        <f t="shared" si="2"/>
        <v>Forecast</v>
      </c>
      <c r="AC4" s="8"/>
      <c r="AD4" s="8" t="str">
        <f t="shared" si="3"/>
        <v>Actual</v>
      </c>
      <c r="AE4" s="8" t="str">
        <f t="shared" si="3"/>
        <v>Actual</v>
      </c>
      <c r="AF4" s="8" t="str">
        <f t="shared" si="3"/>
        <v>Actual</v>
      </c>
      <c r="AG4" s="8" t="str">
        <f t="shared" si="3"/>
        <v>Forecast</v>
      </c>
      <c r="AH4" s="4"/>
      <c r="AI4" s="5" t="s">
        <v>1189</v>
      </c>
      <c r="AJ4" s="5" t="s">
        <v>1189</v>
      </c>
      <c r="AK4" s="5" t="s">
        <v>1189</v>
      </c>
      <c r="AL4" s="1"/>
    </row>
    <row r="5" spans="1:38" ht="12" customHeight="1" x14ac:dyDescent="0.25">
      <c r="O5" s="923" t="s">
        <v>63</v>
      </c>
      <c r="P5" s="923"/>
      <c r="Q5" s="923"/>
      <c r="R5" s="436"/>
      <c r="T5" s="924" t="s">
        <v>239</v>
      </c>
      <c r="U5" s="924"/>
      <c r="V5" s="924"/>
      <c r="W5" s="924"/>
      <c r="Y5" s="924" t="s">
        <v>239</v>
      </c>
      <c r="Z5" s="924"/>
      <c r="AA5" s="924"/>
      <c r="AB5" s="924"/>
      <c r="AD5" s="925" t="s">
        <v>377</v>
      </c>
      <c r="AE5" s="925"/>
      <c r="AF5" s="925"/>
      <c r="AG5" s="437"/>
    </row>
    <row r="6" spans="1:38" ht="12" customHeight="1" x14ac:dyDescent="0.25">
      <c r="A6" s="14">
        <f ca="1">MAX($A$1:A5)+1</f>
        <v>1</v>
      </c>
      <c r="B6" s="15" t="s">
        <v>73</v>
      </c>
      <c r="C6" s="15"/>
      <c r="D6" s="15"/>
      <c r="E6" s="15"/>
      <c r="F6" s="16"/>
      <c r="G6" s="17"/>
      <c r="H6" s="18"/>
      <c r="I6" s="17"/>
      <c r="J6" s="19" t="str">
        <f>"RON "&amp;Multiplier</f>
        <v>RON thd</v>
      </c>
      <c r="K6" s="19" t="str">
        <f>"RON "&amp;Multiplier</f>
        <v>RON thd</v>
      </c>
      <c r="L6" s="19" t="str">
        <f>"RON "&amp;Multiplier</f>
        <v>RON thd</v>
      </c>
      <c r="M6" s="19"/>
      <c r="N6" s="19"/>
      <c r="O6" s="19" t="str">
        <f>"EUR "&amp;Multiplier</f>
        <v>EUR thd</v>
      </c>
      <c r="P6" s="19" t="str">
        <f>"EUR "&amp;Multiplier</f>
        <v>EUR thd</v>
      </c>
      <c r="Q6" s="19" t="str">
        <f>"EUR "&amp;Multiplier</f>
        <v>EUR thd</v>
      </c>
      <c r="R6" s="19" t="str">
        <f>"EUR "&amp;Multiplier</f>
        <v>EUR thd</v>
      </c>
      <c r="S6" s="19"/>
      <c r="T6" s="19" t="str">
        <f>"EUR "&amp;Multiplier</f>
        <v>EUR thd</v>
      </c>
      <c r="U6" s="19" t="str">
        <f>"EUR "&amp;Multiplier</f>
        <v>EUR thd</v>
      </c>
      <c r="V6" s="19" t="str">
        <f>"EUR "&amp;Multiplier</f>
        <v>EUR thd</v>
      </c>
      <c r="W6" s="19" t="str">
        <f>"EUR "&amp;Multiplier</f>
        <v>EUR thd</v>
      </c>
      <c r="X6" s="19"/>
      <c r="Y6" s="19" t="str">
        <f>"EUR "&amp;Multiplier</f>
        <v>EUR thd</v>
      </c>
      <c r="Z6" s="19" t="str">
        <f>"EUR "&amp;Multiplier</f>
        <v>EUR thd</v>
      </c>
      <c r="AA6" s="19" t="str">
        <f>"EUR "&amp;Multiplier</f>
        <v>EUR thd</v>
      </c>
      <c r="AB6" s="19" t="str">
        <f>"EUR "&amp;Multiplier</f>
        <v>EUR thd</v>
      </c>
      <c r="AC6" s="19"/>
      <c r="AD6" s="19" t="str">
        <f>"EUR "&amp;Multiplier</f>
        <v>EUR thd</v>
      </c>
      <c r="AE6" s="19" t="str">
        <f>"EUR "&amp;Multiplier</f>
        <v>EUR thd</v>
      </c>
      <c r="AF6" s="19" t="str">
        <f>"EUR "&amp;Multiplier</f>
        <v>EUR thd</v>
      </c>
      <c r="AG6" s="19" t="str">
        <f>"EUR "&amp;Multiplier</f>
        <v>EUR thd</v>
      </c>
      <c r="AH6" s="19"/>
      <c r="AI6" s="20"/>
      <c r="AJ6" s="20"/>
      <c r="AK6" s="20"/>
      <c r="AL6" s="21"/>
    </row>
    <row r="7" spans="1:38" ht="12" customHeight="1" x14ac:dyDescent="0.25">
      <c r="H7" s="22"/>
      <c r="J7" s="288"/>
      <c r="K7" s="288"/>
      <c r="L7" s="288"/>
      <c r="M7" s="288"/>
      <c r="N7" s="108"/>
      <c r="O7" s="505">
        <f>'1.1.Macroeconomic'!J$10</f>
        <v>4.5411000000000001</v>
      </c>
      <c r="P7" s="505">
        <f>'1.1.Macroeconomic'!K$10</f>
        <v>4.6597</v>
      </c>
      <c r="Q7" s="505">
        <f>'1.1.Macroeconomic'!L$10</f>
        <v>4.6638999999999999</v>
      </c>
      <c r="R7" s="505">
        <f>'1.1.Macroeconomic'!L16</f>
        <v>4.6638999999999999</v>
      </c>
      <c r="S7" s="108"/>
      <c r="T7" s="108"/>
      <c r="U7" s="108"/>
      <c r="V7" s="108"/>
      <c r="W7" s="108"/>
      <c r="X7" s="108"/>
      <c r="Y7" s="108"/>
      <c r="Z7" s="108"/>
      <c r="AA7" s="108"/>
      <c r="AB7" s="108"/>
      <c r="AC7" s="108"/>
      <c r="AD7" s="108"/>
      <c r="AE7" s="108"/>
      <c r="AF7" s="108"/>
      <c r="AG7" s="108"/>
      <c r="AH7" s="118"/>
      <c r="AI7" s="225"/>
      <c r="AJ7" s="225"/>
      <c r="AK7" s="225"/>
    </row>
    <row r="8" spans="1:38" ht="12" customHeight="1" x14ac:dyDescent="0.25">
      <c r="B8" s="25">
        <f ca="1">MAX($A$1:B7)+0.1</f>
        <v>1.1000000000000001</v>
      </c>
      <c r="C8" s="26" t="s">
        <v>72</v>
      </c>
      <c r="E8" s="27"/>
      <c r="F8" s="28"/>
      <c r="G8" s="29"/>
      <c r="H8" s="30"/>
      <c r="I8" s="29"/>
      <c r="J8" s="108"/>
      <c r="K8" s="108"/>
      <c r="L8" s="108"/>
      <c r="M8" s="108"/>
      <c r="N8" s="108"/>
      <c r="O8" s="108"/>
      <c r="P8" s="108"/>
      <c r="Q8" s="108"/>
      <c r="R8" s="108"/>
      <c r="S8" s="108"/>
      <c r="T8" s="108"/>
      <c r="U8" s="108"/>
      <c r="V8" s="108"/>
      <c r="W8" s="108"/>
      <c r="X8" s="108"/>
      <c r="Y8" s="108"/>
      <c r="Z8" s="108"/>
      <c r="AA8" s="108"/>
      <c r="AB8" s="108"/>
      <c r="AC8" s="108"/>
      <c r="AD8" s="108"/>
      <c r="AE8" s="108"/>
      <c r="AF8" s="108"/>
      <c r="AG8" s="108"/>
      <c r="AH8" s="118"/>
      <c r="AI8" s="219"/>
      <c r="AJ8" s="219"/>
      <c r="AK8" s="219"/>
    </row>
    <row r="9" spans="1:38" s="6" customFormat="1" ht="12" customHeight="1" collapsed="1" x14ac:dyDescent="0.25">
      <c r="A9" s="9"/>
      <c r="B9" s="32"/>
      <c r="C9" s="33"/>
      <c r="D9" s="9" t="s">
        <v>107</v>
      </c>
      <c r="G9" s="349" t="s">
        <v>780</v>
      </c>
      <c r="H9" s="35"/>
      <c r="I9" s="34"/>
      <c r="J9" s="36">
        <f>SUMIF('HRC1216'!$L$9:$L$191,G9,'HRC1216'!$K$9:$K$191)/1000</f>
        <v>10.450719999999999</v>
      </c>
      <c r="K9" s="36">
        <f>SUMIF('HRC1217'!$L$9:$L$191,G9,'HRC1217'!$K$9:$K$191)/1000</f>
        <v>5.1835499999999977</v>
      </c>
      <c r="L9" s="831">
        <f>SUMIF('HRC1218'!$L$9:$L$191,G9,'HRC1218'!$K$9:$K$191)/1000</f>
        <v>5.5523200000000035</v>
      </c>
      <c r="M9" s="228">
        <f>SUM(M10:M12)</f>
        <v>0</v>
      </c>
      <c r="N9" s="54"/>
      <c r="O9" s="216">
        <f t="shared" ref="O9:R16" si="4">J9/O$7</f>
        <v>2.3013631058554092</v>
      </c>
      <c r="P9" s="216">
        <f t="shared" si="4"/>
        <v>1.1124214005193462</v>
      </c>
      <c r="Q9" s="216">
        <f t="shared" si="4"/>
        <v>1.1904886468406277</v>
      </c>
      <c r="R9" s="216">
        <f t="shared" si="4"/>
        <v>0</v>
      </c>
      <c r="S9" s="54"/>
      <c r="T9" s="226">
        <v>0</v>
      </c>
      <c r="U9" s="226">
        <v>0</v>
      </c>
      <c r="V9" s="226">
        <v>0</v>
      </c>
      <c r="W9" s="226"/>
      <c r="X9" s="54"/>
      <c r="Y9" s="226">
        <v>0</v>
      </c>
      <c r="Z9" s="226">
        <v>0</v>
      </c>
      <c r="AA9" s="226">
        <v>0</v>
      </c>
      <c r="AB9" s="226"/>
      <c r="AC9" s="54"/>
      <c r="AD9" s="216">
        <f t="shared" ref="AD9:AG10" si="5">O9-T9-Y9</f>
        <v>2.3013631058554092</v>
      </c>
      <c r="AE9" s="216">
        <f t="shared" si="5"/>
        <v>1.1124214005193462</v>
      </c>
      <c r="AF9" s="216">
        <f t="shared" si="5"/>
        <v>1.1904886468406277</v>
      </c>
      <c r="AG9" s="216">
        <f t="shared" si="5"/>
        <v>0</v>
      </c>
      <c r="AH9" s="218"/>
      <c r="AI9" s="220">
        <f t="shared" ref="AI9:AI28" si="6">IF(ISERROR((($L9/$J9)^(1/($L$3-$J$3))-1)),0,(($L9/$J9)^(1/($L$3-$J$3))-1))</f>
        <v>-0.27110639823417026</v>
      </c>
      <c r="AJ9" s="220">
        <f t="shared" ref="AJ9:AJ28" si="7">IF(ISERROR((($Q9/$O9)^(1/($Q$3-$O$3))-1)),0,(($Q9/$O9)^(1/($Q$3-$O$3))-1))</f>
        <v>-0.28076625435108604</v>
      </c>
      <c r="AK9" s="220">
        <f t="shared" ref="AK9:AK28" si="8">IF(ISERROR((($AF9/$AD9)^(1/($AF$3-$AD$3))-1)),0,(($AF9/$AD9)^(1/($AF$3-$AD$3))-1))</f>
        <v>-0.28076625435108604</v>
      </c>
      <c r="AL9" s="9"/>
    </row>
    <row r="10" spans="1:38" s="13" customFormat="1" ht="12" hidden="1" customHeight="1" outlineLevel="2" x14ac:dyDescent="0.25">
      <c r="A10" s="11"/>
      <c r="B10" s="37"/>
      <c r="C10" s="38"/>
      <c r="D10" s="39"/>
      <c r="E10" s="40" t="s">
        <v>105</v>
      </c>
      <c r="G10" s="30"/>
      <c r="H10" s="30"/>
      <c r="I10" s="30"/>
      <c r="J10" s="221"/>
      <c r="K10" s="221"/>
      <c r="L10" s="221"/>
      <c r="M10" s="221"/>
      <c r="N10" s="222"/>
      <c r="O10" s="223">
        <f t="shared" si="4"/>
        <v>0</v>
      </c>
      <c r="P10" s="223">
        <f t="shared" si="4"/>
        <v>0</v>
      </c>
      <c r="Q10" s="223">
        <f t="shared" si="4"/>
        <v>0</v>
      </c>
      <c r="R10" s="223">
        <f t="shared" si="4"/>
        <v>0</v>
      </c>
      <c r="S10" s="222"/>
      <c r="T10" s="224">
        <v>0</v>
      </c>
      <c r="U10" s="224">
        <v>0</v>
      </c>
      <c r="V10" s="224">
        <v>0</v>
      </c>
      <c r="W10" s="224"/>
      <c r="X10" s="222"/>
      <c r="Y10" s="224">
        <v>0</v>
      </c>
      <c r="Z10" s="224">
        <v>0</v>
      </c>
      <c r="AA10" s="224">
        <v>0</v>
      </c>
      <c r="AB10" s="224"/>
      <c r="AC10" s="222"/>
      <c r="AD10" s="223">
        <f t="shared" si="5"/>
        <v>0</v>
      </c>
      <c r="AE10" s="223">
        <f t="shared" si="5"/>
        <v>0</v>
      </c>
      <c r="AF10" s="223">
        <f t="shared" si="5"/>
        <v>0</v>
      </c>
      <c r="AG10" s="223">
        <f t="shared" si="5"/>
        <v>0</v>
      </c>
      <c r="AH10" s="225"/>
      <c r="AI10" s="220">
        <f t="shared" si="6"/>
        <v>0</v>
      </c>
      <c r="AJ10" s="220">
        <f t="shared" si="7"/>
        <v>0</v>
      </c>
      <c r="AK10" s="220">
        <f t="shared" si="8"/>
        <v>0</v>
      </c>
      <c r="AL10" s="11"/>
    </row>
    <row r="11" spans="1:38" s="13" customFormat="1" ht="12" hidden="1" customHeight="1" outlineLevel="2" x14ac:dyDescent="0.25">
      <c r="A11" s="11"/>
      <c r="B11" s="37"/>
      <c r="C11" s="38"/>
      <c r="D11" s="39"/>
      <c r="E11" s="40" t="s">
        <v>120</v>
      </c>
      <c r="G11" s="30"/>
      <c r="H11" s="30"/>
      <c r="I11" s="30"/>
      <c r="J11" s="221"/>
      <c r="K11" s="221"/>
      <c r="L11" s="221"/>
      <c r="M11" s="221"/>
      <c r="N11" s="222"/>
      <c r="O11" s="223">
        <f t="shared" si="4"/>
        <v>0</v>
      </c>
      <c r="P11" s="223">
        <f t="shared" si="4"/>
        <v>0</v>
      </c>
      <c r="Q11" s="223">
        <f t="shared" si="4"/>
        <v>0</v>
      </c>
      <c r="R11" s="223">
        <f t="shared" si="4"/>
        <v>0</v>
      </c>
      <c r="S11" s="222"/>
      <c r="T11" s="224">
        <v>0</v>
      </c>
      <c r="U11" s="224">
        <v>0</v>
      </c>
      <c r="V11" s="224">
        <v>0</v>
      </c>
      <c r="W11" s="224"/>
      <c r="X11" s="222"/>
      <c r="Y11" s="224">
        <v>0</v>
      </c>
      <c r="Z11" s="224">
        <v>0</v>
      </c>
      <c r="AA11" s="224">
        <v>0</v>
      </c>
      <c r="AB11" s="224"/>
      <c r="AC11" s="222"/>
      <c r="AD11" s="223">
        <f>O11-T11-Y11</f>
        <v>0</v>
      </c>
      <c r="AE11" s="223">
        <f t="shared" ref="AE11" si="9">P11-U11-Z11</f>
        <v>0</v>
      </c>
      <c r="AF11" s="223">
        <f t="shared" ref="AF11:AG11" si="10">Q11-V11-AA11</f>
        <v>0</v>
      </c>
      <c r="AG11" s="223">
        <f t="shared" si="10"/>
        <v>0</v>
      </c>
      <c r="AH11" s="225"/>
      <c r="AI11" s="220">
        <f t="shared" si="6"/>
        <v>0</v>
      </c>
      <c r="AJ11" s="220">
        <f t="shared" si="7"/>
        <v>0</v>
      </c>
      <c r="AK11" s="220">
        <f t="shared" si="8"/>
        <v>0</v>
      </c>
      <c r="AL11" s="11"/>
    </row>
    <row r="12" spans="1:38" s="13" customFormat="1" ht="12" hidden="1" customHeight="1" outlineLevel="2" x14ac:dyDescent="0.25">
      <c r="A12" s="11"/>
      <c r="B12" s="37"/>
      <c r="C12" s="38"/>
      <c r="D12" s="39"/>
      <c r="E12" s="40" t="s">
        <v>45</v>
      </c>
      <c r="G12" s="30"/>
      <c r="H12" s="30"/>
      <c r="I12" s="30"/>
      <c r="J12" s="221"/>
      <c r="K12" s="221"/>
      <c r="L12" s="221"/>
      <c r="M12" s="221"/>
      <c r="N12" s="222"/>
      <c r="O12" s="223">
        <f t="shared" si="4"/>
        <v>0</v>
      </c>
      <c r="P12" s="223">
        <f t="shared" si="4"/>
        <v>0</v>
      </c>
      <c r="Q12" s="223">
        <f t="shared" si="4"/>
        <v>0</v>
      </c>
      <c r="R12" s="223">
        <f t="shared" si="4"/>
        <v>0</v>
      </c>
      <c r="S12" s="222"/>
      <c r="T12" s="224">
        <v>0</v>
      </c>
      <c r="U12" s="224">
        <v>0</v>
      </c>
      <c r="V12" s="224">
        <v>0</v>
      </c>
      <c r="W12" s="224"/>
      <c r="X12" s="222"/>
      <c r="Y12" s="224">
        <v>0</v>
      </c>
      <c r="Z12" s="224">
        <v>0</v>
      </c>
      <c r="AA12" s="224">
        <v>0</v>
      </c>
      <c r="AB12" s="224"/>
      <c r="AC12" s="222"/>
      <c r="AD12" s="223">
        <f>O12-T12-Y12</f>
        <v>0</v>
      </c>
      <c r="AE12" s="223">
        <f t="shared" ref="AE12" si="11">P12-U12-Z12</f>
        <v>0</v>
      </c>
      <c r="AF12" s="223">
        <f t="shared" ref="AF12:AG12" si="12">Q12-V12-AA12</f>
        <v>0</v>
      </c>
      <c r="AG12" s="223">
        <f t="shared" si="12"/>
        <v>0</v>
      </c>
      <c r="AH12" s="225"/>
      <c r="AI12" s="220">
        <f t="shared" si="6"/>
        <v>0</v>
      </c>
      <c r="AJ12" s="220">
        <f t="shared" si="7"/>
        <v>0</v>
      </c>
      <c r="AK12" s="220">
        <f t="shared" si="8"/>
        <v>0</v>
      </c>
      <c r="AL12" s="11"/>
    </row>
    <row r="13" spans="1:38" s="6" customFormat="1" ht="12" customHeight="1" x14ac:dyDescent="0.25">
      <c r="A13" s="9"/>
      <c r="B13" s="32"/>
      <c r="C13" s="33"/>
      <c r="D13" s="39" t="s">
        <v>108</v>
      </c>
      <c r="G13" s="34"/>
      <c r="H13" s="35"/>
      <c r="I13" s="34"/>
      <c r="J13" s="228">
        <f>SUM(J14:J23)</f>
        <v>808.16707000000008</v>
      </c>
      <c r="K13" s="228">
        <f>SUM(K14:K23)</f>
        <v>552.92876000000012</v>
      </c>
      <c r="L13" s="228">
        <f>SUM(L14:L23)</f>
        <v>384.3261499999997</v>
      </c>
      <c r="M13" s="228">
        <f>SUM(M14:M23)</f>
        <v>0</v>
      </c>
      <c r="N13" s="54"/>
      <c r="O13" s="216">
        <f t="shared" si="4"/>
        <v>177.96724802360663</v>
      </c>
      <c r="P13" s="216">
        <f t="shared" si="4"/>
        <v>118.66187952014081</v>
      </c>
      <c r="Q13" s="216">
        <f t="shared" si="4"/>
        <v>82.404457642745285</v>
      </c>
      <c r="R13" s="216">
        <f t="shared" si="4"/>
        <v>0</v>
      </c>
      <c r="S13" s="54"/>
      <c r="T13" s="226">
        <v>0</v>
      </c>
      <c r="U13" s="226">
        <v>0</v>
      </c>
      <c r="V13" s="226">
        <v>0</v>
      </c>
      <c r="W13" s="226"/>
      <c r="X13" s="54"/>
      <c r="Y13" s="226">
        <v>0</v>
      </c>
      <c r="Z13" s="226">
        <v>0</v>
      </c>
      <c r="AA13" s="226">
        <v>0</v>
      </c>
      <c r="AB13" s="226"/>
      <c r="AC13" s="54"/>
      <c r="AD13" s="216">
        <f>O13-T13-Y13</f>
        <v>177.96724802360663</v>
      </c>
      <c r="AE13" s="216">
        <f t="shared" ref="AE13" si="13">P13-U13-Z13</f>
        <v>118.66187952014081</v>
      </c>
      <c r="AF13" s="216">
        <f t="shared" ref="AF13:AG13" si="14">Q13-V13-AA13</f>
        <v>82.404457642745285</v>
      </c>
      <c r="AG13" s="216">
        <f t="shared" si="14"/>
        <v>0</v>
      </c>
      <c r="AH13" s="218"/>
      <c r="AI13" s="220">
        <f t="shared" si="6"/>
        <v>-0.31039660254982659</v>
      </c>
      <c r="AJ13" s="220">
        <f t="shared" si="7"/>
        <v>-0.31953575479504692</v>
      </c>
      <c r="AK13" s="220">
        <f t="shared" si="8"/>
        <v>-0.31953575479504692</v>
      </c>
      <c r="AL13" s="9"/>
    </row>
    <row r="14" spans="1:38" ht="12" customHeight="1" outlineLevel="2" x14ac:dyDescent="0.25">
      <c r="A14" s="10"/>
      <c r="B14" s="41"/>
      <c r="C14" s="42"/>
      <c r="D14" s="39"/>
      <c r="E14" s="40" t="s">
        <v>212</v>
      </c>
      <c r="F14" s="12"/>
      <c r="G14" s="349" t="s">
        <v>787</v>
      </c>
      <c r="H14" s="30"/>
      <c r="I14" s="29"/>
      <c r="J14" s="221">
        <f>SUMIF('HRC1216'!$L$9:$L$191,G14,'HRC1216'!$K$9:$K$191)/1000</f>
        <v>20</v>
      </c>
      <c r="K14" s="221">
        <f>SUMIF('HRC1217'!$L$9:$L$191,G14,'HRC1217'!$K$9:$K$191)/1000</f>
        <v>20</v>
      </c>
      <c r="L14" s="221">
        <f>SUMIF('HRC1218'!$L$9:$L$191,G14,'HRC1218'!$K$9:$K$191)/1000</f>
        <v>20</v>
      </c>
      <c r="M14" s="221"/>
      <c r="N14" s="108"/>
      <c r="O14" s="223">
        <f t="shared" si="4"/>
        <v>4.4042192420338679</v>
      </c>
      <c r="P14" s="223">
        <f t="shared" si="4"/>
        <v>4.2921218104169796</v>
      </c>
      <c r="Q14" s="223">
        <f t="shared" si="4"/>
        <v>4.288256609275499</v>
      </c>
      <c r="R14" s="223">
        <f t="shared" si="4"/>
        <v>0</v>
      </c>
      <c r="S14" s="108"/>
      <c r="T14" s="226">
        <v>0</v>
      </c>
      <c r="U14" s="226">
        <v>0</v>
      </c>
      <c r="V14" s="226">
        <v>0</v>
      </c>
      <c r="W14" s="226"/>
      <c r="X14" s="108"/>
      <c r="Y14" s="226">
        <v>0</v>
      </c>
      <c r="Z14" s="226">
        <v>0</v>
      </c>
      <c r="AA14" s="226">
        <v>0</v>
      </c>
      <c r="AB14" s="226"/>
      <c r="AC14" s="108"/>
      <c r="AD14" s="223">
        <f t="shared" ref="AD14:AD22" si="15">O14-T14-Y14</f>
        <v>4.4042192420338679</v>
      </c>
      <c r="AE14" s="223">
        <f t="shared" ref="AE14:AE24" si="16">P14-U14-Z14</f>
        <v>4.2921218104169796</v>
      </c>
      <c r="AF14" s="223">
        <f t="shared" ref="AF14:AG24" si="17">Q14-V14-AA14</f>
        <v>4.288256609275499</v>
      </c>
      <c r="AG14" s="223">
        <f t="shared" si="17"/>
        <v>0</v>
      </c>
      <c r="AH14" s="118"/>
      <c r="AI14" s="220">
        <f t="shared" si="6"/>
        <v>0</v>
      </c>
      <c r="AJ14" s="220">
        <f t="shared" si="7"/>
        <v>-1.3252765689688584E-2</v>
      </c>
      <c r="AK14" s="220">
        <f t="shared" si="8"/>
        <v>-1.3252765689688584E-2</v>
      </c>
    </row>
    <row r="15" spans="1:38" ht="12" customHeight="1" outlineLevel="2" x14ac:dyDescent="0.25">
      <c r="A15" s="10"/>
      <c r="B15" s="41"/>
      <c r="C15" s="42"/>
      <c r="D15" s="39"/>
      <c r="E15" s="40" t="s">
        <v>213</v>
      </c>
      <c r="F15" s="12"/>
      <c r="G15" s="29"/>
      <c r="H15" s="30"/>
      <c r="I15" s="29"/>
      <c r="J15" s="221"/>
      <c r="K15" s="221"/>
      <c r="L15" s="221"/>
      <c r="M15" s="221"/>
      <c r="N15" s="108"/>
      <c r="O15" s="223">
        <f t="shared" si="4"/>
        <v>0</v>
      </c>
      <c r="P15" s="223">
        <f t="shared" si="4"/>
        <v>0</v>
      </c>
      <c r="Q15" s="223">
        <f t="shared" si="4"/>
        <v>0</v>
      </c>
      <c r="R15" s="223">
        <f t="shared" si="4"/>
        <v>0</v>
      </c>
      <c r="S15" s="108"/>
      <c r="T15" s="226">
        <v>0</v>
      </c>
      <c r="U15" s="226">
        <v>0</v>
      </c>
      <c r="V15" s="226">
        <v>0</v>
      </c>
      <c r="W15" s="226"/>
      <c r="X15" s="108"/>
      <c r="Y15" s="226">
        <v>0</v>
      </c>
      <c r="Z15" s="226">
        <v>0</v>
      </c>
      <c r="AA15" s="226">
        <v>0</v>
      </c>
      <c r="AB15" s="226"/>
      <c r="AC15" s="108"/>
      <c r="AD15" s="223">
        <f t="shared" si="15"/>
        <v>0</v>
      </c>
      <c r="AE15" s="223">
        <f t="shared" si="16"/>
        <v>0</v>
      </c>
      <c r="AF15" s="223">
        <f t="shared" si="17"/>
        <v>0</v>
      </c>
      <c r="AG15" s="223">
        <f t="shared" si="17"/>
        <v>0</v>
      </c>
      <c r="AH15" s="118"/>
      <c r="AI15" s="220">
        <f t="shared" si="6"/>
        <v>0</v>
      </c>
      <c r="AJ15" s="220">
        <f t="shared" si="7"/>
        <v>0</v>
      </c>
      <c r="AK15" s="220">
        <f t="shared" si="8"/>
        <v>0</v>
      </c>
    </row>
    <row r="16" spans="1:38" ht="12" customHeight="1" outlineLevel="2" collapsed="1" x14ac:dyDescent="0.25">
      <c r="A16" s="10"/>
      <c r="B16" s="41"/>
      <c r="C16" s="42"/>
      <c r="D16" s="39"/>
      <c r="E16" s="40" t="s">
        <v>238</v>
      </c>
      <c r="F16" s="12"/>
      <c r="G16" s="349" t="s">
        <v>791</v>
      </c>
      <c r="H16" s="30"/>
      <c r="I16" s="29"/>
      <c r="J16" s="221">
        <f>SUMIF('HRC1216'!$L$9:$L$191,G16,'HRC1216'!$K$9:$K$191)/1000</f>
        <v>535.80412000000013</v>
      </c>
      <c r="K16" s="221">
        <f>SUMIF('HRC1217'!$L$9:$L$191,G16,'HRC1217'!$K$9:$K$191)/1000</f>
        <v>311.16733000000005</v>
      </c>
      <c r="L16" s="832">
        <f>SUMIF('HRC1218'!$L$9:$L$191,G16,'HRC1218'!$K$9:$K$191)/1000</f>
        <v>156.14843999999971</v>
      </c>
      <c r="M16" s="221"/>
      <c r="N16" s="108"/>
      <c r="O16" s="223">
        <f t="shared" si="4"/>
        <v>117.98994076325121</v>
      </c>
      <c r="P16" s="223">
        <f t="shared" si="4"/>
        <v>66.778404189110901</v>
      </c>
      <c r="Q16" s="223">
        <f t="shared" si="4"/>
        <v>33.480228992902873</v>
      </c>
      <c r="R16" s="223">
        <f t="shared" si="4"/>
        <v>0</v>
      </c>
      <c r="S16" s="108"/>
      <c r="T16" s="226">
        <v>0</v>
      </c>
      <c r="U16" s="226">
        <v>0</v>
      </c>
      <c r="V16" s="226">
        <v>0</v>
      </c>
      <c r="W16" s="226"/>
      <c r="X16" s="108"/>
      <c r="Y16" s="226">
        <v>0</v>
      </c>
      <c r="Z16" s="226">
        <v>0</v>
      </c>
      <c r="AA16" s="226">
        <v>0</v>
      </c>
      <c r="AB16" s="226"/>
      <c r="AC16" s="108"/>
      <c r="AD16" s="223">
        <f t="shared" si="15"/>
        <v>117.98994076325121</v>
      </c>
      <c r="AE16" s="223">
        <f t="shared" si="16"/>
        <v>66.778404189110901</v>
      </c>
      <c r="AF16" s="223">
        <f t="shared" si="17"/>
        <v>33.480228992902873</v>
      </c>
      <c r="AG16" s="223">
        <f t="shared" si="17"/>
        <v>0</v>
      </c>
      <c r="AH16" s="118"/>
      <c r="AI16" s="220">
        <f t="shared" si="6"/>
        <v>-0.460159080647083</v>
      </c>
      <c r="AJ16" s="220">
        <f t="shared" si="7"/>
        <v>-0.46731346586097322</v>
      </c>
      <c r="AK16" s="220">
        <f t="shared" si="8"/>
        <v>-0.46731346586097322</v>
      </c>
    </row>
    <row r="17" spans="1:38" ht="12" hidden="1" customHeight="1" outlineLevel="3" x14ac:dyDescent="0.25">
      <c r="A17" s="10"/>
      <c r="B17" s="41"/>
      <c r="C17" s="42"/>
      <c r="D17" s="39"/>
      <c r="E17" s="432" t="s">
        <v>167</v>
      </c>
      <c r="F17" s="12"/>
      <c r="G17" s="29"/>
      <c r="H17" s="30"/>
      <c r="I17" s="29"/>
      <c r="J17" s="221"/>
      <c r="K17" s="221"/>
      <c r="L17" s="221"/>
      <c r="M17" s="221"/>
      <c r="N17" s="108"/>
      <c r="O17" s="223">
        <f t="shared" ref="O17:O20" si="18">J17/O$7</f>
        <v>0</v>
      </c>
      <c r="P17" s="223">
        <f t="shared" ref="P17:P20" si="19">K17/P$7</f>
        <v>0</v>
      </c>
      <c r="Q17" s="223">
        <f t="shared" ref="Q17:Q20" si="20">L17/Q$7</f>
        <v>0</v>
      </c>
      <c r="R17" s="223">
        <f t="shared" ref="R17:R20" si="21">M17/R$7</f>
        <v>0</v>
      </c>
      <c r="S17" s="108"/>
      <c r="T17" s="226"/>
      <c r="U17" s="226"/>
      <c r="V17" s="226"/>
      <c r="W17" s="226"/>
      <c r="X17" s="108"/>
      <c r="Y17" s="226"/>
      <c r="Z17" s="226"/>
      <c r="AA17" s="226"/>
      <c r="AB17" s="226"/>
      <c r="AC17" s="108"/>
      <c r="AD17" s="223">
        <f t="shared" ref="AD17:AD20" si="22">O17-T17-Y17</f>
        <v>0</v>
      </c>
      <c r="AE17" s="223">
        <f t="shared" ref="AE17:AE20" si="23">P17-U17-Z17</f>
        <v>0</v>
      </c>
      <c r="AF17" s="223">
        <f t="shared" ref="AF17:AF20" si="24">Q17-V17-AA17</f>
        <v>0</v>
      </c>
      <c r="AG17" s="223">
        <f t="shared" ref="AG17:AG20" si="25">R17-W17-AB17</f>
        <v>0</v>
      </c>
      <c r="AH17" s="118"/>
      <c r="AI17" s="220">
        <f t="shared" si="6"/>
        <v>0</v>
      </c>
      <c r="AJ17" s="220">
        <f t="shared" si="7"/>
        <v>0</v>
      </c>
      <c r="AK17" s="220">
        <f t="shared" si="8"/>
        <v>0</v>
      </c>
    </row>
    <row r="18" spans="1:38" ht="12" hidden="1" customHeight="1" outlineLevel="3" x14ac:dyDescent="0.25">
      <c r="A18" s="10"/>
      <c r="B18" s="41"/>
      <c r="C18" s="42"/>
      <c r="D18" s="39"/>
      <c r="E18" s="432" t="s">
        <v>214</v>
      </c>
      <c r="F18" s="12"/>
      <c r="G18" s="29"/>
      <c r="H18" s="30"/>
      <c r="I18" s="29"/>
      <c r="J18" s="221"/>
      <c r="K18" s="221"/>
      <c r="L18" s="221"/>
      <c r="M18" s="221"/>
      <c r="N18" s="108"/>
      <c r="O18" s="223">
        <f t="shared" si="18"/>
        <v>0</v>
      </c>
      <c r="P18" s="223">
        <f t="shared" si="19"/>
        <v>0</v>
      </c>
      <c r="Q18" s="223">
        <f t="shared" si="20"/>
        <v>0</v>
      </c>
      <c r="R18" s="223">
        <f t="shared" si="21"/>
        <v>0</v>
      </c>
      <c r="S18" s="108"/>
      <c r="T18" s="226"/>
      <c r="U18" s="226"/>
      <c r="V18" s="226"/>
      <c r="W18" s="226"/>
      <c r="X18" s="108"/>
      <c r="Y18" s="226"/>
      <c r="Z18" s="226"/>
      <c r="AA18" s="226"/>
      <c r="AB18" s="226"/>
      <c r="AC18" s="108"/>
      <c r="AD18" s="223">
        <f t="shared" si="22"/>
        <v>0</v>
      </c>
      <c r="AE18" s="223">
        <f t="shared" si="23"/>
        <v>0</v>
      </c>
      <c r="AF18" s="223">
        <f t="shared" si="24"/>
        <v>0</v>
      </c>
      <c r="AG18" s="223">
        <f t="shared" si="25"/>
        <v>0</v>
      </c>
      <c r="AH18" s="118"/>
      <c r="AI18" s="220">
        <f t="shared" si="6"/>
        <v>0</v>
      </c>
      <c r="AJ18" s="220">
        <f t="shared" si="7"/>
        <v>0</v>
      </c>
      <c r="AK18" s="220">
        <f t="shared" si="8"/>
        <v>0</v>
      </c>
    </row>
    <row r="19" spans="1:38" ht="12" hidden="1" customHeight="1" outlineLevel="3" x14ac:dyDescent="0.25">
      <c r="A19" s="10"/>
      <c r="B19" s="41"/>
      <c r="C19" s="42"/>
      <c r="D19" s="39"/>
      <c r="E19" s="432" t="s">
        <v>215</v>
      </c>
      <c r="F19" s="12"/>
      <c r="G19" s="29"/>
      <c r="H19" s="30"/>
      <c r="I19" s="29"/>
      <c r="J19" s="221"/>
      <c r="K19" s="221"/>
      <c r="L19" s="221"/>
      <c r="M19" s="221"/>
      <c r="N19" s="108"/>
      <c r="O19" s="223">
        <f t="shared" si="18"/>
        <v>0</v>
      </c>
      <c r="P19" s="223">
        <f t="shared" si="19"/>
        <v>0</v>
      </c>
      <c r="Q19" s="223">
        <f t="shared" si="20"/>
        <v>0</v>
      </c>
      <c r="R19" s="223">
        <f t="shared" si="21"/>
        <v>0</v>
      </c>
      <c r="S19" s="108"/>
      <c r="T19" s="226"/>
      <c r="U19" s="226"/>
      <c r="V19" s="226"/>
      <c r="W19" s="226"/>
      <c r="X19" s="108"/>
      <c r="Y19" s="226"/>
      <c r="Z19" s="226"/>
      <c r="AA19" s="226"/>
      <c r="AB19" s="226"/>
      <c r="AC19" s="108"/>
      <c r="AD19" s="223">
        <f t="shared" si="22"/>
        <v>0</v>
      </c>
      <c r="AE19" s="223">
        <f t="shared" si="23"/>
        <v>0</v>
      </c>
      <c r="AF19" s="223">
        <f t="shared" si="24"/>
        <v>0</v>
      </c>
      <c r="AG19" s="223">
        <f t="shared" si="25"/>
        <v>0</v>
      </c>
      <c r="AH19" s="118"/>
      <c r="AI19" s="220">
        <f t="shared" si="6"/>
        <v>0</v>
      </c>
      <c r="AJ19" s="220">
        <f t="shared" si="7"/>
        <v>0</v>
      </c>
      <c r="AK19" s="220">
        <f t="shared" si="8"/>
        <v>0</v>
      </c>
    </row>
    <row r="20" spans="1:38" ht="12" hidden="1" customHeight="1" outlineLevel="3" x14ac:dyDescent="0.25">
      <c r="A20" s="10"/>
      <c r="B20" s="41"/>
      <c r="C20" s="42"/>
      <c r="D20" s="39"/>
      <c r="E20" s="432" t="s">
        <v>277</v>
      </c>
      <c r="F20" s="12"/>
      <c r="G20" s="29"/>
      <c r="H20" s="30"/>
      <c r="I20" s="29"/>
      <c r="J20" s="221"/>
      <c r="K20" s="221"/>
      <c r="L20" s="221"/>
      <c r="M20" s="221"/>
      <c r="N20" s="108"/>
      <c r="O20" s="223">
        <f t="shared" si="18"/>
        <v>0</v>
      </c>
      <c r="P20" s="223">
        <f t="shared" si="19"/>
        <v>0</v>
      </c>
      <c r="Q20" s="223">
        <f t="shared" si="20"/>
        <v>0</v>
      </c>
      <c r="R20" s="223">
        <f t="shared" si="21"/>
        <v>0</v>
      </c>
      <c r="S20" s="108"/>
      <c r="T20" s="226"/>
      <c r="U20" s="226"/>
      <c r="V20" s="226"/>
      <c r="W20" s="226"/>
      <c r="X20" s="108"/>
      <c r="Y20" s="226"/>
      <c r="Z20" s="226"/>
      <c r="AA20" s="226"/>
      <c r="AB20" s="226"/>
      <c r="AC20" s="108"/>
      <c r="AD20" s="223">
        <f t="shared" si="22"/>
        <v>0</v>
      </c>
      <c r="AE20" s="223">
        <f t="shared" si="23"/>
        <v>0</v>
      </c>
      <c r="AF20" s="223">
        <f t="shared" si="24"/>
        <v>0</v>
      </c>
      <c r="AG20" s="223">
        <f t="shared" si="25"/>
        <v>0</v>
      </c>
      <c r="AH20" s="118"/>
      <c r="AI20" s="220">
        <f t="shared" si="6"/>
        <v>0</v>
      </c>
      <c r="AJ20" s="220">
        <f t="shared" si="7"/>
        <v>0</v>
      </c>
      <c r="AK20" s="220">
        <f t="shared" si="8"/>
        <v>0</v>
      </c>
    </row>
    <row r="21" spans="1:38" ht="12" customHeight="1" outlineLevel="2" x14ac:dyDescent="0.25">
      <c r="A21" s="10"/>
      <c r="B21" s="41"/>
      <c r="C21" s="42"/>
      <c r="D21" s="39"/>
      <c r="E21" s="40" t="s">
        <v>44</v>
      </c>
      <c r="F21" s="12"/>
      <c r="G21" s="349" t="s">
        <v>802</v>
      </c>
      <c r="H21" s="30"/>
      <c r="I21" s="29"/>
      <c r="J21" s="221">
        <f>SUMIF('HRC1216'!$L$9:$L$191,G21,'HRC1216'!$K$9:$K$191)/1000</f>
        <v>207.40293</v>
      </c>
      <c r="K21" s="221">
        <f>SUMIF('HRC1217'!$L$9:$L$191,G21,'HRC1217'!$K$9:$K$191)/1000</f>
        <v>207.40293</v>
      </c>
      <c r="L21" s="832">
        <f>SUMIF('HRC1218'!$L$9:$L$191,G21,'HRC1218'!$K$9:$K$191)/1000</f>
        <v>208.17770999999999</v>
      </c>
      <c r="M21" s="221"/>
      <c r="N21" s="108"/>
      <c r="O21" s="223">
        <f t="shared" ref="O21:R27" si="26">J21/O$7</f>
        <v>45.672398758010175</v>
      </c>
      <c r="P21" s="223">
        <f t="shared" si="26"/>
        <v>44.509931969869307</v>
      </c>
      <c r="Q21" s="223">
        <f t="shared" si="26"/>
        <v>44.635972040566905</v>
      </c>
      <c r="R21" s="223">
        <f t="shared" si="26"/>
        <v>0</v>
      </c>
      <c r="S21" s="108"/>
      <c r="T21" s="226">
        <v>0</v>
      </c>
      <c r="U21" s="226">
        <v>0</v>
      </c>
      <c r="V21" s="226">
        <v>0</v>
      </c>
      <c r="W21" s="226"/>
      <c r="X21" s="108"/>
      <c r="Y21" s="226">
        <v>0</v>
      </c>
      <c r="Z21" s="226">
        <v>0</v>
      </c>
      <c r="AA21" s="226">
        <v>0</v>
      </c>
      <c r="AB21" s="226"/>
      <c r="AC21" s="108"/>
      <c r="AD21" s="223">
        <f t="shared" si="15"/>
        <v>45.672398758010175</v>
      </c>
      <c r="AE21" s="223">
        <f t="shared" si="16"/>
        <v>44.509931969869307</v>
      </c>
      <c r="AF21" s="223">
        <f t="shared" si="17"/>
        <v>44.635972040566905</v>
      </c>
      <c r="AG21" s="223">
        <f t="shared" si="17"/>
        <v>0</v>
      </c>
      <c r="AH21" s="118"/>
      <c r="AI21" s="220">
        <f t="shared" si="6"/>
        <v>1.8660724225671999E-3</v>
      </c>
      <c r="AJ21" s="220">
        <f t="shared" si="7"/>
        <v>-1.1411423887697669E-2</v>
      </c>
      <c r="AK21" s="220">
        <f t="shared" si="8"/>
        <v>-1.1411423887697669E-2</v>
      </c>
    </row>
    <row r="22" spans="1:38" ht="12" customHeight="1" outlineLevel="2" x14ac:dyDescent="0.25">
      <c r="A22" s="10"/>
      <c r="B22" s="41"/>
      <c r="C22" s="42"/>
      <c r="D22" s="39"/>
      <c r="E22" s="40" t="s">
        <v>46</v>
      </c>
      <c r="F22" s="12"/>
      <c r="G22" s="29"/>
      <c r="H22" s="30"/>
      <c r="I22" s="29"/>
      <c r="J22" s="221"/>
      <c r="K22" s="221"/>
      <c r="L22" s="221"/>
      <c r="M22" s="221"/>
      <c r="N22" s="108"/>
      <c r="O22" s="223">
        <f t="shared" si="26"/>
        <v>0</v>
      </c>
      <c r="P22" s="223">
        <f t="shared" si="26"/>
        <v>0</v>
      </c>
      <c r="Q22" s="223">
        <f t="shared" si="26"/>
        <v>0</v>
      </c>
      <c r="R22" s="223">
        <f t="shared" si="26"/>
        <v>0</v>
      </c>
      <c r="S22" s="108"/>
      <c r="T22" s="226">
        <v>0</v>
      </c>
      <c r="U22" s="226">
        <v>0</v>
      </c>
      <c r="V22" s="226">
        <v>0</v>
      </c>
      <c r="W22" s="226"/>
      <c r="X22" s="108"/>
      <c r="Y22" s="226">
        <v>0</v>
      </c>
      <c r="Z22" s="226">
        <v>0</v>
      </c>
      <c r="AA22" s="226">
        <v>0</v>
      </c>
      <c r="AB22" s="226"/>
      <c r="AC22" s="108"/>
      <c r="AD22" s="223">
        <f t="shared" si="15"/>
        <v>0</v>
      </c>
      <c r="AE22" s="223">
        <f t="shared" si="16"/>
        <v>0</v>
      </c>
      <c r="AF22" s="223">
        <f t="shared" si="17"/>
        <v>0</v>
      </c>
      <c r="AG22" s="223">
        <f t="shared" si="17"/>
        <v>0</v>
      </c>
      <c r="AH22" s="118"/>
      <c r="AI22" s="220">
        <f t="shared" si="6"/>
        <v>0</v>
      </c>
      <c r="AJ22" s="220">
        <f t="shared" si="7"/>
        <v>0</v>
      </c>
      <c r="AK22" s="220">
        <f t="shared" si="8"/>
        <v>0</v>
      </c>
    </row>
    <row r="23" spans="1:38" ht="12" customHeight="1" outlineLevel="2" x14ac:dyDescent="0.25">
      <c r="A23" s="10"/>
      <c r="B23" s="41"/>
      <c r="C23" s="42"/>
      <c r="D23" s="39"/>
      <c r="E23" s="40" t="s">
        <v>279</v>
      </c>
      <c r="F23" s="12"/>
      <c r="G23" s="349" t="s">
        <v>1190</v>
      </c>
      <c r="H23" s="30"/>
      <c r="I23" s="29"/>
      <c r="J23" s="221">
        <f>SUMIF('HRC1216'!$L$9:$L$191,G23,'HRC1216'!$K$9:$K$191)/1000</f>
        <v>44.960020000000007</v>
      </c>
      <c r="K23" s="221">
        <f>SUMIF('HRC1217'!$L$9:$L$191,G23,'HRC1217'!$K$9:$K$191)/1000</f>
        <v>14.358499999999999</v>
      </c>
      <c r="L23" s="221">
        <f>SUMIF('HRC1218'!$L$9:$L$191,G23,'HRC1218'!$K$9:$K$191)/1000</f>
        <v>0</v>
      </c>
      <c r="M23" s="221"/>
      <c r="N23" s="108"/>
      <c r="O23" s="223">
        <f t="shared" si="26"/>
        <v>9.9006892603113794</v>
      </c>
      <c r="P23" s="223">
        <f t="shared" si="26"/>
        <v>3.08142155074361</v>
      </c>
      <c r="Q23" s="223">
        <f t="shared" si="26"/>
        <v>0</v>
      </c>
      <c r="R23" s="223">
        <f t="shared" si="26"/>
        <v>0</v>
      </c>
      <c r="S23" s="108"/>
      <c r="T23" s="226"/>
      <c r="U23" s="226"/>
      <c r="V23" s="226"/>
      <c r="W23" s="226"/>
      <c r="X23" s="108"/>
      <c r="Y23" s="226"/>
      <c r="Z23" s="226"/>
      <c r="AA23" s="226"/>
      <c r="AB23" s="226"/>
      <c r="AC23" s="108"/>
      <c r="AD23" s="223"/>
      <c r="AE23" s="223"/>
      <c r="AF23" s="223"/>
      <c r="AG23" s="223"/>
      <c r="AH23" s="118"/>
      <c r="AI23" s="220">
        <f t="shared" si="6"/>
        <v>-1</v>
      </c>
      <c r="AJ23" s="220">
        <f t="shared" si="7"/>
        <v>-1</v>
      </c>
      <c r="AK23" s="220">
        <f t="shared" si="8"/>
        <v>0</v>
      </c>
    </row>
    <row r="24" spans="1:38" s="46" customFormat="1" ht="12" customHeight="1" collapsed="1" x14ac:dyDescent="0.25">
      <c r="A24" s="43"/>
      <c r="B24" s="44"/>
      <c r="C24" s="45"/>
      <c r="D24" s="39" t="s">
        <v>106</v>
      </c>
      <c r="G24" s="43"/>
      <c r="H24" s="35"/>
      <c r="I24" s="35"/>
      <c r="J24" s="228">
        <f>SUM(J25:J27)</f>
        <v>0</v>
      </c>
      <c r="K24" s="228">
        <f>SUM(K25:K27)</f>
        <v>0</v>
      </c>
      <c r="L24" s="228">
        <f>SUM(L25:L27)</f>
        <v>0</v>
      </c>
      <c r="M24" s="228">
        <f>SUM(M25:M27)</f>
        <v>0</v>
      </c>
      <c r="N24" s="232"/>
      <c r="O24" s="216">
        <f t="shared" si="26"/>
        <v>0</v>
      </c>
      <c r="P24" s="216">
        <f t="shared" si="26"/>
        <v>0</v>
      </c>
      <c r="Q24" s="216">
        <f t="shared" si="26"/>
        <v>0</v>
      </c>
      <c r="R24" s="216">
        <f t="shared" si="26"/>
        <v>0</v>
      </c>
      <c r="S24" s="232"/>
      <c r="T24" s="226">
        <v>0</v>
      </c>
      <c r="U24" s="226">
        <v>0</v>
      </c>
      <c r="V24" s="226">
        <v>0</v>
      </c>
      <c r="W24" s="226"/>
      <c r="X24" s="232"/>
      <c r="Y24" s="226">
        <v>0</v>
      </c>
      <c r="Z24" s="226">
        <v>0</v>
      </c>
      <c r="AA24" s="226">
        <v>0</v>
      </c>
      <c r="AB24" s="226"/>
      <c r="AC24" s="232"/>
      <c r="AD24" s="216">
        <f>O24-T24-Y24</f>
        <v>0</v>
      </c>
      <c r="AE24" s="216">
        <f t="shared" si="16"/>
        <v>0</v>
      </c>
      <c r="AF24" s="216">
        <f t="shared" si="17"/>
        <v>0</v>
      </c>
      <c r="AG24" s="216">
        <f t="shared" si="17"/>
        <v>0</v>
      </c>
      <c r="AH24" s="289"/>
      <c r="AI24" s="220">
        <f t="shared" si="6"/>
        <v>0</v>
      </c>
      <c r="AJ24" s="220">
        <f t="shared" si="7"/>
        <v>0</v>
      </c>
      <c r="AK24" s="220">
        <f t="shared" si="8"/>
        <v>0</v>
      </c>
      <c r="AL24" s="43"/>
    </row>
    <row r="25" spans="1:38" s="13" customFormat="1" ht="12" hidden="1" customHeight="1" outlineLevel="2" x14ac:dyDescent="0.25">
      <c r="A25" s="11"/>
      <c r="B25" s="37"/>
      <c r="C25" s="47"/>
      <c r="D25" s="48"/>
      <c r="E25" s="40" t="s">
        <v>149</v>
      </c>
      <c r="G25" s="11"/>
      <c r="H25" s="30"/>
      <c r="I25" s="30"/>
      <c r="J25" s="221"/>
      <c r="K25" s="221"/>
      <c r="L25" s="221"/>
      <c r="M25" s="221"/>
      <c r="N25" s="222"/>
      <c r="O25" s="223">
        <f t="shared" si="26"/>
        <v>0</v>
      </c>
      <c r="P25" s="223">
        <f t="shared" si="26"/>
        <v>0</v>
      </c>
      <c r="Q25" s="223">
        <f t="shared" si="26"/>
        <v>0</v>
      </c>
      <c r="R25" s="223">
        <f t="shared" si="26"/>
        <v>0</v>
      </c>
      <c r="S25" s="222"/>
      <c r="T25" s="226">
        <v>0</v>
      </c>
      <c r="U25" s="226">
        <v>0</v>
      </c>
      <c r="V25" s="226">
        <v>0</v>
      </c>
      <c r="W25" s="226"/>
      <c r="X25" s="222"/>
      <c r="Y25" s="226">
        <v>0</v>
      </c>
      <c r="Z25" s="226">
        <v>0</v>
      </c>
      <c r="AA25" s="226">
        <v>0</v>
      </c>
      <c r="AB25" s="226"/>
      <c r="AC25" s="222"/>
      <c r="AD25" s="223">
        <f t="shared" ref="AD25:AD27" si="27">O25-T25-Y25</f>
        <v>0</v>
      </c>
      <c r="AE25" s="223">
        <f t="shared" ref="AE25:AE27" si="28">P25-U25-Z25</f>
        <v>0</v>
      </c>
      <c r="AF25" s="223">
        <f t="shared" ref="AF25:AG27" si="29">Q25-V25-AA25</f>
        <v>0</v>
      </c>
      <c r="AG25" s="223">
        <f t="shared" si="29"/>
        <v>0</v>
      </c>
      <c r="AH25" s="225"/>
      <c r="AI25" s="220">
        <f t="shared" si="6"/>
        <v>0</v>
      </c>
      <c r="AJ25" s="220">
        <f t="shared" si="7"/>
        <v>0</v>
      </c>
      <c r="AK25" s="220">
        <f t="shared" si="8"/>
        <v>0</v>
      </c>
      <c r="AL25" s="11"/>
    </row>
    <row r="26" spans="1:38" s="13" customFormat="1" ht="12" hidden="1" customHeight="1" outlineLevel="2" x14ac:dyDescent="0.25">
      <c r="A26" s="11"/>
      <c r="B26" s="37"/>
      <c r="C26" s="47"/>
      <c r="D26" s="48"/>
      <c r="E26" s="40" t="s">
        <v>148</v>
      </c>
      <c r="G26" s="11"/>
      <c r="H26" s="30"/>
      <c r="I26" s="30"/>
      <c r="J26" s="221"/>
      <c r="K26" s="221"/>
      <c r="L26" s="221"/>
      <c r="M26" s="221"/>
      <c r="N26" s="222"/>
      <c r="O26" s="223">
        <f t="shared" si="26"/>
        <v>0</v>
      </c>
      <c r="P26" s="223">
        <f t="shared" si="26"/>
        <v>0</v>
      </c>
      <c r="Q26" s="223">
        <f t="shared" si="26"/>
        <v>0</v>
      </c>
      <c r="R26" s="223">
        <f t="shared" si="26"/>
        <v>0</v>
      </c>
      <c r="S26" s="222"/>
      <c r="T26" s="226">
        <v>0</v>
      </c>
      <c r="U26" s="226">
        <v>0</v>
      </c>
      <c r="V26" s="226">
        <v>0</v>
      </c>
      <c r="W26" s="226"/>
      <c r="X26" s="222"/>
      <c r="Y26" s="226">
        <v>0</v>
      </c>
      <c r="Z26" s="226">
        <v>0</v>
      </c>
      <c r="AA26" s="226">
        <v>0</v>
      </c>
      <c r="AB26" s="226"/>
      <c r="AC26" s="222"/>
      <c r="AD26" s="223">
        <f t="shared" si="27"/>
        <v>0</v>
      </c>
      <c r="AE26" s="223">
        <f t="shared" si="28"/>
        <v>0</v>
      </c>
      <c r="AF26" s="223">
        <f t="shared" si="29"/>
        <v>0</v>
      </c>
      <c r="AG26" s="223">
        <f t="shared" si="29"/>
        <v>0</v>
      </c>
      <c r="AH26" s="225"/>
      <c r="AI26" s="220">
        <f t="shared" si="6"/>
        <v>0</v>
      </c>
      <c r="AJ26" s="220">
        <f t="shared" si="7"/>
        <v>0</v>
      </c>
      <c r="AK26" s="220">
        <f t="shared" si="8"/>
        <v>0</v>
      </c>
      <c r="AL26" s="11"/>
    </row>
    <row r="27" spans="1:38" s="13" customFormat="1" ht="12" hidden="1" customHeight="1" outlineLevel="2" x14ac:dyDescent="0.25">
      <c r="A27" s="11"/>
      <c r="B27" s="37"/>
      <c r="C27" s="47"/>
      <c r="D27" s="43"/>
      <c r="E27" s="40" t="s">
        <v>150</v>
      </c>
      <c r="G27" s="11"/>
      <c r="H27" s="30"/>
      <c r="I27" s="30"/>
      <c r="J27" s="221"/>
      <c r="K27" s="221"/>
      <c r="L27" s="221"/>
      <c r="M27" s="221"/>
      <c r="N27" s="222"/>
      <c r="O27" s="223">
        <f t="shared" si="26"/>
        <v>0</v>
      </c>
      <c r="P27" s="223">
        <f t="shared" si="26"/>
        <v>0</v>
      </c>
      <c r="Q27" s="223">
        <f t="shared" si="26"/>
        <v>0</v>
      </c>
      <c r="R27" s="223">
        <f t="shared" si="26"/>
        <v>0</v>
      </c>
      <c r="S27" s="222"/>
      <c r="T27" s="226">
        <v>0</v>
      </c>
      <c r="U27" s="226">
        <v>0</v>
      </c>
      <c r="V27" s="226">
        <v>0</v>
      </c>
      <c r="W27" s="226"/>
      <c r="X27" s="222"/>
      <c r="Y27" s="226">
        <v>0</v>
      </c>
      <c r="Z27" s="226">
        <v>0</v>
      </c>
      <c r="AA27" s="226">
        <v>0</v>
      </c>
      <c r="AB27" s="226"/>
      <c r="AC27" s="222"/>
      <c r="AD27" s="223">
        <f t="shared" si="27"/>
        <v>0</v>
      </c>
      <c r="AE27" s="223">
        <f t="shared" si="28"/>
        <v>0</v>
      </c>
      <c r="AF27" s="223">
        <f t="shared" si="29"/>
        <v>0</v>
      </c>
      <c r="AG27" s="223">
        <f t="shared" si="29"/>
        <v>0</v>
      </c>
      <c r="AH27" s="225"/>
      <c r="AI27" s="220">
        <f t="shared" si="6"/>
        <v>0</v>
      </c>
      <c r="AJ27" s="220">
        <f t="shared" si="7"/>
        <v>0</v>
      </c>
      <c r="AK27" s="220">
        <f t="shared" si="8"/>
        <v>0</v>
      </c>
      <c r="AL27" s="11"/>
    </row>
    <row r="28" spans="1:38" ht="12" customHeight="1" x14ac:dyDescent="0.25">
      <c r="B28" s="32"/>
      <c r="C28" s="49" t="str">
        <f>"Total "&amp;LOWER(C8)</f>
        <v>Total non-current assets</v>
      </c>
      <c r="D28" s="50"/>
      <c r="E28" s="50"/>
      <c r="F28" s="50"/>
      <c r="G28" s="50"/>
      <c r="H28" s="51"/>
      <c r="I28" s="52"/>
      <c r="J28" s="227">
        <f>J9+J13+J24</f>
        <v>818.61779000000013</v>
      </c>
      <c r="K28" s="227">
        <f>K9+K13+K24</f>
        <v>558.11231000000009</v>
      </c>
      <c r="L28" s="227">
        <f>L9+L13+L24</f>
        <v>389.87846999999971</v>
      </c>
      <c r="M28" s="227">
        <f>M9+M13+M24</f>
        <v>0</v>
      </c>
      <c r="N28" s="108"/>
      <c r="O28" s="227">
        <f>O9+O13+O24</f>
        <v>180.26861112946204</v>
      </c>
      <c r="P28" s="227">
        <f>P9+P13+P24</f>
        <v>119.77430092066017</v>
      </c>
      <c r="Q28" s="227">
        <f>Q9+Q13+Q24</f>
        <v>83.59494628958592</v>
      </c>
      <c r="R28" s="227">
        <f>R9+R13+R24</f>
        <v>0</v>
      </c>
      <c r="S28" s="108"/>
      <c r="T28" s="227">
        <f>T9+T13+T24</f>
        <v>0</v>
      </c>
      <c r="U28" s="227">
        <f>U9+U13+U24</f>
        <v>0</v>
      </c>
      <c r="V28" s="227">
        <f>V9+V13+V24</f>
        <v>0</v>
      </c>
      <c r="W28" s="433"/>
      <c r="X28" s="108"/>
      <c r="Y28" s="227">
        <f>Y9+Y13+Y24</f>
        <v>0</v>
      </c>
      <c r="Z28" s="227">
        <f>Z9+Z13+Z24</f>
        <v>0</v>
      </c>
      <c r="AA28" s="227">
        <f>AA9+AA13+AA24</f>
        <v>0</v>
      </c>
      <c r="AB28" s="433"/>
      <c r="AC28" s="108"/>
      <c r="AD28" s="227">
        <f>AD9+AD13+AD24</f>
        <v>180.26861112946204</v>
      </c>
      <c r="AE28" s="227">
        <f>AE9+AE13+AE24</f>
        <v>119.77430092066017</v>
      </c>
      <c r="AF28" s="227">
        <f>AF9+AF13+AF24</f>
        <v>83.59494628958592</v>
      </c>
      <c r="AG28" s="227">
        <f>AG9+AG13+AG24</f>
        <v>0</v>
      </c>
      <c r="AH28" s="118"/>
      <c r="AI28" s="220">
        <f t="shared" si="6"/>
        <v>-0.30988091576587629</v>
      </c>
      <c r="AJ28" s="220">
        <f t="shared" si="7"/>
        <v>-0.31902690228721353</v>
      </c>
      <c r="AK28" s="220">
        <f t="shared" si="8"/>
        <v>-0.31902690228721353</v>
      </c>
    </row>
    <row r="29" spans="1:38" ht="12" customHeight="1" x14ac:dyDescent="0.25">
      <c r="B29" s="25">
        <f ca="1">MAX($A$1:B28)+0.1</f>
        <v>1.2000000000000002</v>
      </c>
      <c r="C29" s="26" t="s">
        <v>71</v>
      </c>
      <c r="E29" s="27"/>
      <c r="F29" s="28"/>
      <c r="G29" s="29"/>
      <c r="H29" s="30"/>
      <c r="I29" s="29"/>
      <c r="J29" s="108"/>
      <c r="K29" s="108"/>
      <c r="L29" s="108"/>
      <c r="M29" s="108"/>
      <c r="N29" s="108"/>
      <c r="O29" s="108"/>
      <c r="P29" s="108"/>
      <c r="Q29" s="108"/>
      <c r="R29" s="108"/>
      <c r="S29" s="108"/>
      <c r="T29" s="108"/>
      <c r="U29" s="108"/>
      <c r="V29" s="108"/>
      <c r="W29" s="108"/>
      <c r="X29" s="108"/>
      <c r="Y29" s="108"/>
      <c r="Z29" s="108"/>
      <c r="AA29" s="108"/>
      <c r="AB29" s="108"/>
      <c r="AC29" s="108"/>
      <c r="AD29" s="108"/>
      <c r="AE29" s="108"/>
      <c r="AF29" s="108"/>
      <c r="AG29" s="108"/>
      <c r="AH29" s="118"/>
      <c r="AI29" s="219"/>
      <c r="AJ29" s="219"/>
      <c r="AK29" s="219"/>
    </row>
    <row r="30" spans="1:38" ht="12" customHeight="1" x14ac:dyDescent="0.25">
      <c r="B30" s="25"/>
      <c r="C30" s="26"/>
      <c r="D30" s="9" t="s">
        <v>109</v>
      </c>
      <c r="E30" s="28"/>
      <c r="F30" s="28"/>
      <c r="H30" s="29"/>
      <c r="I30" s="29"/>
      <c r="J30" s="36">
        <f>SUM(J31:J33)</f>
        <v>6069.8152</v>
      </c>
      <c r="K30" s="36">
        <f>SUM(K31:K33)</f>
        <v>6169.5622300000005</v>
      </c>
      <c r="L30" s="36">
        <f>SUM(L31:L33)</f>
        <v>8403.222560000002</v>
      </c>
      <c r="M30" s="36"/>
      <c r="N30" s="108"/>
      <c r="O30" s="216">
        <f>J30/O$7</f>
        <v>1336.6398449714827</v>
      </c>
      <c r="P30" s="216">
        <f>K30/P$7</f>
        <v>1324.025630405391</v>
      </c>
      <c r="Q30" s="216">
        <f>L30/Q$7</f>
        <v>1801.7587341066494</v>
      </c>
      <c r="R30" s="216">
        <f>M30/R$7</f>
        <v>0</v>
      </c>
      <c r="S30" s="108"/>
      <c r="T30" s="233">
        <v>0</v>
      </c>
      <c r="U30" s="233">
        <v>0</v>
      </c>
      <c r="V30" s="233">
        <v>0</v>
      </c>
      <c r="W30" s="233"/>
      <c r="X30" s="108"/>
      <c r="Y30" s="233">
        <v>0</v>
      </c>
      <c r="Z30" s="233">
        <v>0</v>
      </c>
      <c r="AA30" s="233">
        <v>0</v>
      </c>
      <c r="AB30" s="233"/>
      <c r="AC30" s="108"/>
      <c r="AD30" s="223">
        <f t="shared" ref="AD30:AD39" si="30">O30-T30-Y30</f>
        <v>1336.6398449714827</v>
      </c>
      <c r="AE30" s="223">
        <f t="shared" ref="AE30:AE39" si="31">P30-U30-Z30</f>
        <v>1324.025630405391</v>
      </c>
      <c r="AF30" s="223">
        <f t="shared" ref="AF30:AG39" si="32">Q30-V30-AA30</f>
        <v>1801.7587341066494</v>
      </c>
      <c r="AG30" s="223">
        <f t="shared" si="32"/>
        <v>0</v>
      </c>
      <c r="AH30" s="118"/>
      <c r="AI30" s="220">
        <f t="shared" ref="AI30:AI41" si="33">IF(ISERROR((($L30/$J30)^(1/($L$3-$J$3))-1)),0,(($L30/$J30)^(1/($L$3-$J$3))-1))</f>
        <v>0.17661721594911794</v>
      </c>
      <c r="AJ30" s="220">
        <f t="shared" ref="AJ30:AJ41" si="34">IF(ISERROR((($Q30/$O30)^(1/($Q$3-$O$3))-1)),0,(($Q30/$O30)^(1/($Q$3-$O$3))-1))</f>
        <v>0.16102378367969039</v>
      </c>
      <c r="AK30" s="220">
        <f t="shared" ref="AK30:AK41" si="35">IF(ISERROR((($AF30/$AD30)^(1/($AF$3-$AD$3))-1)),0,(($AF30/$AD30)^(1/($AF$3-$AD$3))-1))</f>
        <v>0.16102378367969039</v>
      </c>
    </row>
    <row r="31" spans="1:38" ht="12" customHeight="1" x14ac:dyDescent="0.25">
      <c r="B31" s="25"/>
      <c r="C31" s="26"/>
      <c r="D31" s="11" t="s">
        <v>1191</v>
      </c>
      <c r="E31" s="28"/>
      <c r="F31" s="28"/>
      <c r="G31" s="434" t="s">
        <v>825</v>
      </c>
      <c r="H31" s="29"/>
      <c r="I31" s="29"/>
      <c r="J31" s="221">
        <f>SUMIF('HRC1216'!$L$9:$L$191,G31,'HRC1216'!$K$9:$K$191)/1000</f>
        <v>3769.90841</v>
      </c>
      <c r="K31" s="221">
        <f>SUMIF('HRC1217'!$L$9:$L$191,G31,'HRC1217'!$K$9:$K$191)/1000</f>
        <v>4101.0038599999998</v>
      </c>
      <c r="L31" s="221">
        <f>SUMIF('HRC1218'!$L$9:$L$191,G31,'HRC1218'!$K$9:$K$191)/1000</f>
        <v>3816.3180300000004</v>
      </c>
      <c r="M31" s="36"/>
      <c r="N31" s="108"/>
      <c r="O31" s="223">
        <f t="shared" ref="O31" si="36">J31/O$7</f>
        <v>830.17515800136528</v>
      </c>
      <c r="P31" s="223">
        <f t="shared" ref="P31" si="37">K31/P$7</f>
        <v>880.10040560551101</v>
      </c>
      <c r="Q31" s="223">
        <f t="shared" ref="Q31" si="38">L31/Q$7</f>
        <v>818.26755076223765</v>
      </c>
      <c r="R31" s="216"/>
      <c r="S31" s="108"/>
      <c r="T31" s="233"/>
      <c r="U31" s="233"/>
      <c r="V31" s="233"/>
      <c r="W31" s="233"/>
      <c r="X31" s="108"/>
      <c r="Y31" s="233"/>
      <c r="Z31" s="233"/>
      <c r="AA31" s="233"/>
      <c r="AB31" s="233"/>
      <c r="AC31" s="108"/>
      <c r="AD31" s="223">
        <f t="shared" si="30"/>
        <v>830.17515800136528</v>
      </c>
      <c r="AE31" s="223">
        <f t="shared" si="31"/>
        <v>880.10040560551101</v>
      </c>
      <c r="AF31" s="223">
        <f t="shared" si="32"/>
        <v>818.26755076223765</v>
      </c>
      <c r="AG31" s="223">
        <f t="shared" si="32"/>
        <v>0</v>
      </c>
      <c r="AH31" s="118"/>
      <c r="AI31" s="220"/>
      <c r="AJ31" s="220"/>
      <c r="AK31" s="220"/>
    </row>
    <row r="32" spans="1:38" ht="12" customHeight="1" x14ac:dyDescent="0.25">
      <c r="B32" s="25"/>
      <c r="C32" s="26"/>
      <c r="D32" s="40" t="s">
        <v>280</v>
      </c>
      <c r="F32" s="28"/>
      <c r="G32" s="434" t="s">
        <v>836</v>
      </c>
      <c r="H32" s="29"/>
      <c r="I32" s="29"/>
      <c r="J32" s="221">
        <f>SUMIF('HRC1216'!$L$9:$L$191,G32,'HRC1216'!$K$9:$K$191)/1000</f>
        <v>1725.97558</v>
      </c>
      <c r="K32" s="221">
        <f>SUMIF('HRC1217'!$L$9:$L$191,G32,'HRC1217'!$K$9:$K$191)/1000</f>
        <v>1275.52925</v>
      </c>
      <c r="L32" s="221">
        <f>SUMIF('HRC1218'!$L$9:$L$191,G32,'HRC1218'!$K$9:$K$191)/1000</f>
        <v>3685.1370000000002</v>
      </c>
      <c r="M32" s="221"/>
      <c r="N32" s="108"/>
      <c r="O32" s="223">
        <f t="shared" ref="O32:O33" si="39">J32/O$7</f>
        <v>380.07874303582832</v>
      </c>
      <c r="P32" s="223">
        <f t="shared" ref="P32:P33" si="40">K32/P$7</f>
        <v>273.7363456874906</v>
      </c>
      <c r="Q32" s="223">
        <f t="shared" ref="Q32:Q33" si="41">L32/Q$7</f>
        <v>790.14065481678426</v>
      </c>
      <c r="R32" s="223">
        <f t="shared" ref="R32:R33" si="42">M32/R$7</f>
        <v>0</v>
      </c>
      <c r="S32" s="108"/>
      <c r="T32" s="233"/>
      <c r="U32" s="233"/>
      <c r="V32" s="233"/>
      <c r="W32" s="233"/>
      <c r="X32" s="108"/>
      <c r="Y32" s="233"/>
      <c r="Z32" s="233"/>
      <c r="AA32" s="233"/>
      <c r="AB32" s="233"/>
      <c r="AC32" s="108"/>
      <c r="AD32" s="223">
        <f t="shared" ref="AD32:AD33" si="43">O32-T32-Y32</f>
        <v>380.07874303582832</v>
      </c>
      <c r="AE32" s="223">
        <f t="shared" ref="AE32:AE33" si="44">P32-U32-Z32</f>
        <v>273.7363456874906</v>
      </c>
      <c r="AF32" s="223">
        <f t="shared" ref="AF32:AF33" si="45">Q32-V32-AA32</f>
        <v>790.14065481678426</v>
      </c>
      <c r="AG32" s="223">
        <f t="shared" ref="AG32:AG33" si="46">R32-W32-AB32</f>
        <v>0</v>
      </c>
      <c r="AH32" s="118"/>
      <c r="AI32" s="220">
        <f t="shared" si="33"/>
        <v>0.46119943493838766</v>
      </c>
      <c r="AJ32" s="220">
        <f t="shared" si="34"/>
        <v>0.4418345012012439</v>
      </c>
      <c r="AK32" s="220">
        <f t="shared" si="35"/>
        <v>0.4418345012012439</v>
      </c>
    </row>
    <row r="33" spans="2:37" ht="12" customHeight="1" x14ac:dyDescent="0.25">
      <c r="B33" s="25"/>
      <c r="C33" s="26"/>
      <c r="D33" s="40" t="s">
        <v>281</v>
      </c>
      <c r="F33" s="28"/>
      <c r="G33" s="434" t="s">
        <v>839</v>
      </c>
      <c r="H33" s="29"/>
      <c r="I33" s="29"/>
      <c r="J33" s="221">
        <f>SUMIF('HRC1216'!$L$9:$L$191,G33,'HRC1216'!$K$9:$K$191)/1000</f>
        <v>573.93120999999996</v>
      </c>
      <c r="K33" s="221">
        <f>SUMIF('HRC1217'!$L$9:$L$191,G33,'HRC1217'!$K$9:$K$191)/1000</f>
        <v>793.02912000000003</v>
      </c>
      <c r="L33" s="221">
        <f>SUMIF('HRC1218'!$L$9:$L$191,G33,'HRC1218'!$K$9:$K$191)/1000</f>
        <v>901.76753000000008</v>
      </c>
      <c r="M33" s="221"/>
      <c r="N33" s="108"/>
      <c r="O33" s="223">
        <f t="shared" si="39"/>
        <v>126.38594393428903</v>
      </c>
      <c r="P33" s="223">
        <f t="shared" si="40"/>
        <v>170.18887911238923</v>
      </c>
      <c r="Q33" s="223">
        <f t="shared" si="41"/>
        <v>193.35052852762712</v>
      </c>
      <c r="R33" s="223">
        <f t="shared" si="42"/>
        <v>0</v>
      </c>
      <c r="S33" s="108"/>
      <c r="T33" s="233"/>
      <c r="U33" s="233"/>
      <c r="V33" s="233"/>
      <c r="W33" s="233"/>
      <c r="X33" s="108"/>
      <c r="Y33" s="233"/>
      <c r="Z33" s="233"/>
      <c r="AA33" s="233"/>
      <c r="AB33" s="233"/>
      <c r="AC33" s="108"/>
      <c r="AD33" s="223">
        <f t="shared" si="43"/>
        <v>126.38594393428903</v>
      </c>
      <c r="AE33" s="223">
        <f t="shared" si="44"/>
        <v>170.18887911238923</v>
      </c>
      <c r="AF33" s="223">
        <f t="shared" si="45"/>
        <v>193.35052852762712</v>
      </c>
      <c r="AG33" s="223">
        <f t="shared" si="46"/>
        <v>0</v>
      </c>
      <c r="AH33" s="118"/>
      <c r="AI33" s="220">
        <f t="shared" si="33"/>
        <v>0.25347990430471956</v>
      </c>
      <c r="AJ33" s="220">
        <f t="shared" si="34"/>
        <v>0.23686782883623603</v>
      </c>
      <c r="AK33" s="220">
        <f t="shared" si="35"/>
        <v>0.23686782883623603</v>
      </c>
    </row>
    <row r="34" spans="2:37" ht="12" customHeight="1" x14ac:dyDescent="0.25">
      <c r="B34" s="25"/>
      <c r="C34" s="53"/>
      <c r="D34" s="9" t="s">
        <v>232</v>
      </c>
      <c r="E34" s="28"/>
      <c r="F34" s="28"/>
      <c r="G34" s="434" t="s">
        <v>853</v>
      </c>
      <c r="H34" s="29"/>
      <c r="I34" s="29"/>
      <c r="J34" s="36">
        <f>SUMIF('HRC1216'!$L$9:$L$191,G34,'HRC1216'!$K$9:$K$191)/1000</f>
        <v>5971.8396399999992</v>
      </c>
      <c r="K34" s="36">
        <f>SUMIF('HRC1217'!$L$9:$L$191,G34,'HRC1217'!$K$9:$K$191)/1000</f>
        <v>9758.2584900000002</v>
      </c>
      <c r="L34" s="36">
        <f>SUMIF('HRC1218'!$L$9:$L$191,G34,'HRC1218'!$K$9:$K$191)/1000</f>
        <v>5509.3369299999995</v>
      </c>
      <c r="M34" s="36"/>
      <c r="N34" s="108"/>
      <c r="O34" s="216">
        <f t="shared" ref="O34:R39" si="47">J34/O$7</f>
        <v>1315.0645526414303</v>
      </c>
      <c r="P34" s="216">
        <f t="shared" si="47"/>
        <v>2094.181704830783</v>
      </c>
      <c r="Q34" s="216">
        <f t="shared" si="47"/>
        <v>1181.2725251399042</v>
      </c>
      <c r="R34" s="216">
        <f t="shared" si="47"/>
        <v>0</v>
      </c>
      <c r="S34" s="108"/>
      <c r="T34" s="233">
        <v>0</v>
      </c>
      <c r="U34" s="233">
        <v>0</v>
      </c>
      <c r="V34" s="233">
        <v>0</v>
      </c>
      <c r="W34" s="233"/>
      <c r="X34" s="108"/>
      <c r="Y34" s="233">
        <v>0</v>
      </c>
      <c r="Z34" s="233">
        <v>0</v>
      </c>
      <c r="AA34" s="233">
        <v>0</v>
      </c>
      <c r="AB34" s="233"/>
      <c r="AC34" s="108"/>
      <c r="AD34" s="223">
        <f t="shared" si="30"/>
        <v>1315.0645526414303</v>
      </c>
      <c r="AE34" s="223">
        <f t="shared" si="31"/>
        <v>2094.181704830783</v>
      </c>
      <c r="AF34" s="223">
        <f t="shared" si="32"/>
        <v>1181.2725251399042</v>
      </c>
      <c r="AG34" s="223">
        <f t="shared" si="32"/>
        <v>0</v>
      </c>
      <c r="AH34" s="118"/>
      <c r="AI34" s="220">
        <f t="shared" si="33"/>
        <v>-3.9503917512747733E-2</v>
      </c>
      <c r="AJ34" s="220">
        <f t="shared" si="34"/>
        <v>-5.2233147039815186E-2</v>
      </c>
      <c r="AK34" s="220">
        <f t="shared" si="35"/>
        <v>-5.2233147039815186E-2</v>
      </c>
    </row>
    <row r="35" spans="2:37" ht="12" customHeight="1" x14ac:dyDescent="0.25">
      <c r="B35" s="25"/>
      <c r="C35" s="26"/>
      <c r="D35" s="9" t="s">
        <v>143</v>
      </c>
      <c r="E35" s="28"/>
      <c r="F35" s="28"/>
      <c r="G35" s="434" t="s">
        <v>868</v>
      </c>
      <c r="H35" s="29"/>
      <c r="I35" s="29"/>
      <c r="J35" s="36">
        <f>SUMIF('HRC1216'!$L$9:$L$191,G35,'HRC1216'!$K$9:$K$191)/1000</f>
        <v>333.05052000000001</v>
      </c>
      <c r="K35" s="36">
        <f>SUMIF('HRC1217'!$L$9:$L$191,G35,'HRC1217'!$K$9:$K$191)/1000</f>
        <v>1481.1721499999999</v>
      </c>
      <c r="L35" s="36">
        <f>SUMIF('HRC1218'!$L$9:$L$191,G35,'HRC1218'!$K$9:$K$191)/1000</f>
        <v>-74.501199999999983</v>
      </c>
      <c r="M35" s="36"/>
      <c r="N35" s="108"/>
      <c r="O35" s="216">
        <f t="shared" si="47"/>
        <v>73.341375437669285</v>
      </c>
      <c r="P35" s="216">
        <f t="shared" si="47"/>
        <v>317.8685644998605</v>
      </c>
      <c r="Q35" s="216">
        <f t="shared" si="47"/>
        <v>-15.974013164947786</v>
      </c>
      <c r="R35" s="216">
        <f t="shared" si="47"/>
        <v>0</v>
      </c>
      <c r="S35" s="108"/>
      <c r="T35" s="233">
        <v>0</v>
      </c>
      <c r="U35" s="233">
        <v>0</v>
      </c>
      <c r="V35" s="233">
        <v>0</v>
      </c>
      <c r="W35" s="233"/>
      <c r="X35" s="108"/>
      <c r="Y35" s="233">
        <v>0</v>
      </c>
      <c r="Z35" s="233">
        <v>0</v>
      </c>
      <c r="AA35" s="233">
        <v>0</v>
      </c>
      <c r="AB35" s="233"/>
      <c r="AC35" s="108"/>
      <c r="AD35" s="223">
        <f t="shared" si="30"/>
        <v>73.341375437669285</v>
      </c>
      <c r="AE35" s="223">
        <f t="shared" si="31"/>
        <v>317.8685644998605</v>
      </c>
      <c r="AF35" s="223">
        <f t="shared" si="32"/>
        <v>-15.974013164947786</v>
      </c>
      <c r="AG35" s="223">
        <f t="shared" si="32"/>
        <v>0</v>
      </c>
      <c r="AH35" s="118"/>
      <c r="AI35" s="220">
        <f t="shared" si="33"/>
        <v>0</v>
      </c>
      <c r="AJ35" s="220">
        <f t="shared" si="34"/>
        <v>0</v>
      </c>
      <c r="AK35" s="220">
        <f t="shared" si="35"/>
        <v>0</v>
      </c>
    </row>
    <row r="36" spans="2:37" ht="12" customHeight="1" x14ac:dyDescent="0.25">
      <c r="B36" s="25"/>
      <c r="C36" s="26"/>
      <c r="D36" s="9" t="s">
        <v>151</v>
      </c>
      <c r="E36" s="28"/>
      <c r="F36" s="28"/>
      <c r="H36" s="29"/>
      <c r="I36" s="29"/>
      <c r="J36" s="36"/>
      <c r="K36" s="36"/>
      <c r="L36" s="36"/>
      <c r="M36" s="36"/>
      <c r="N36" s="108"/>
      <c r="O36" s="216">
        <f t="shared" si="47"/>
        <v>0</v>
      </c>
      <c r="P36" s="216">
        <f t="shared" si="47"/>
        <v>0</v>
      </c>
      <c r="Q36" s="216">
        <f t="shared" si="47"/>
        <v>0</v>
      </c>
      <c r="R36" s="216">
        <f t="shared" si="47"/>
        <v>0</v>
      </c>
      <c r="S36" s="108"/>
      <c r="T36" s="233">
        <v>0</v>
      </c>
      <c r="U36" s="233">
        <v>0</v>
      </c>
      <c r="V36" s="233">
        <v>0</v>
      </c>
      <c r="W36" s="233"/>
      <c r="X36" s="108"/>
      <c r="Y36" s="233">
        <v>0</v>
      </c>
      <c r="Z36" s="233">
        <v>0</v>
      </c>
      <c r="AA36" s="233">
        <v>0</v>
      </c>
      <c r="AB36" s="233"/>
      <c r="AC36" s="108"/>
      <c r="AD36" s="223">
        <f t="shared" si="30"/>
        <v>0</v>
      </c>
      <c r="AE36" s="223">
        <f t="shared" si="31"/>
        <v>0</v>
      </c>
      <c r="AF36" s="223">
        <f t="shared" si="32"/>
        <v>0</v>
      </c>
      <c r="AG36" s="223">
        <f t="shared" si="32"/>
        <v>0</v>
      </c>
      <c r="AH36" s="118"/>
      <c r="AI36" s="220">
        <f t="shared" si="33"/>
        <v>0</v>
      </c>
      <c r="AJ36" s="220">
        <f t="shared" si="34"/>
        <v>0</v>
      </c>
      <c r="AK36" s="220">
        <f t="shared" si="35"/>
        <v>0</v>
      </c>
    </row>
    <row r="37" spans="2:37" ht="12" customHeight="1" x14ac:dyDescent="0.25">
      <c r="B37" s="25"/>
      <c r="C37" s="26"/>
      <c r="D37" s="9" t="s">
        <v>152</v>
      </c>
      <c r="E37" s="28"/>
      <c r="F37" s="28"/>
      <c r="G37" s="434" t="s">
        <v>848</v>
      </c>
      <c r="H37" s="29"/>
      <c r="I37" s="29"/>
      <c r="J37" s="36">
        <f>SUMIF('HRC1216'!$L$9:$L$191,G37,'HRC1216'!$K$9:$K$191)/1000</f>
        <v>1018.3574</v>
      </c>
      <c r="K37" s="36">
        <f>SUMIF('HRC1217'!$L$9:$L$191,G37,'HRC1217'!$K$9:$K$191)/1000</f>
        <v>3322.9356400000001</v>
      </c>
      <c r="L37" s="36">
        <f>SUMIF('HRC1218'!$L$9:$L$191,G37,'HRC1218'!$K$9:$K$191)/1000</f>
        <v>1802.558</v>
      </c>
      <c r="M37" s="36"/>
      <c r="N37" s="108"/>
      <c r="O37" s="216">
        <f t="shared" si="47"/>
        <v>224.25346281737905</v>
      </c>
      <c r="P37" s="216">
        <f t="shared" si="47"/>
        <v>713.12222675279531</v>
      </c>
      <c r="Q37" s="216">
        <f t="shared" si="47"/>
        <v>386.49156285512123</v>
      </c>
      <c r="R37" s="216">
        <f t="shared" si="47"/>
        <v>0</v>
      </c>
      <c r="S37" s="108"/>
      <c r="T37" s="233">
        <v>0</v>
      </c>
      <c r="U37" s="233">
        <v>0</v>
      </c>
      <c r="V37" s="233">
        <v>0</v>
      </c>
      <c r="W37" s="233"/>
      <c r="X37" s="108"/>
      <c r="Y37" s="233">
        <v>0</v>
      </c>
      <c r="Z37" s="233">
        <v>0</v>
      </c>
      <c r="AA37" s="233">
        <v>0</v>
      </c>
      <c r="AB37" s="233"/>
      <c r="AC37" s="108"/>
      <c r="AD37" s="223">
        <f t="shared" si="30"/>
        <v>224.25346281737905</v>
      </c>
      <c r="AE37" s="223">
        <f t="shared" si="31"/>
        <v>713.12222675279531</v>
      </c>
      <c r="AF37" s="223">
        <f t="shared" si="32"/>
        <v>386.49156285512123</v>
      </c>
      <c r="AG37" s="223">
        <f t="shared" si="32"/>
        <v>0</v>
      </c>
      <c r="AH37" s="118"/>
      <c r="AI37" s="220">
        <f t="shared" si="33"/>
        <v>0.33043760583956372</v>
      </c>
      <c r="AJ37" s="220">
        <f t="shared" si="34"/>
        <v>0.31280562798462164</v>
      </c>
      <c r="AK37" s="220">
        <f t="shared" si="35"/>
        <v>0.31280562798462164</v>
      </c>
    </row>
    <row r="38" spans="2:37" ht="12" customHeight="1" x14ac:dyDescent="0.25">
      <c r="B38" s="25"/>
      <c r="C38" s="26"/>
      <c r="D38" s="9" t="s">
        <v>113</v>
      </c>
      <c r="E38" s="28"/>
      <c r="F38" s="28"/>
      <c r="H38" s="29"/>
      <c r="I38" s="29"/>
      <c r="J38" s="36"/>
      <c r="K38" s="36"/>
      <c r="L38" s="36"/>
      <c r="M38" s="36"/>
      <c r="N38" s="108"/>
      <c r="O38" s="304">
        <f t="shared" si="47"/>
        <v>0</v>
      </c>
      <c r="P38" s="304">
        <f t="shared" si="47"/>
        <v>0</v>
      </c>
      <c r="Q38" s="304">
        <f t="shared" si="47"/>
        <v>0</v>
      </c>
      <c r="R38" s="304">
        <f t="shared" si="47"/>
        <v>0</v>
      </c>
      <c r="S38" s="108"/>
      <c r="T38" s="233"/>
      <c r="U38" s="233"/>
      <c r="V38" s="233"/>
      <c r="W38" s="233"/>
      <c r="X38" s="108"/>
      <c r="Y38" s="233"/>
      <c r="Z38" s="233"/>
      <c r="AA38" s="233"/>
      <c r="AB38" s="233"/>
      <c r="AC38" s="108"/>
      <c r="AD38" s="223">
        <f t="shared" ref="AD38" si="48">O38-T38-Y38</f>
        <v>0</v>
      </c>
      <c r="AE38" s="223">
        <f t="shared" ref="AE38" si="49">P38-U38-Z38</f>
        <v>0</v>
      </c>
      <c r="AF38" s="223">
        <f t="shared" ref="AF38" si="50">Q38-V38-AA38</f>
        <v>0</v>
      </c>
      <c r="AG38" s="223">
        <f t="shared" ref="AG38" si="51">R38-W38-AB38</f>
        <v>0</v>
      </c>
      <c r="AH38" s="118"/>
      <c r="AI38" s="220">
        <f t="shared" si="33"/>
        <v>0</v>
      </c>
      <c r="AJ38" s="220">
        <f t="shared" si="34"/>
        <v>0</v>
      </c>
      <c r="AK38" s="220">
        <f t="shared" si="35"/>
        <v>0</v>
      </c>
    </row>
    <row r="39" spans="2:37" ht="12" customHeight="1" x14ac:dyDescent="0.25">
      <c r="B39" s="25"/>
      <c r="C39" s="26"/>
      <c r="D39" s="9" t="s">
        <v>41</v>
      </c>
      <c r="E39" s="28"/>
      <c r="F39" s="28"/>
      <c r="G39" s="434" t="s">
        <v>954</v>
      </c>
      <c r="H39" s="29"/>
      <c r="I39" s="29"/>
      <c r="J39" s="36">
        <f>SUMIF('HRC1216'!$L$9:$L$191,G39,'HRC1216'!$K$9:$K$191)/1000</f>
        <v>2166.0120100000004</v>
      </c>
      <c r="K39" s="36">
        <f>SUMIF('HRC1217'!$L$9:$L$191,G39,'HRC1217'!$K$9:$K$191)/1000</f>
        <v>5197.3773099999999</v>
      </c>
      <c r="L39" s="36">
        <f>SUMIF('HRC1218'!$L$9:$L$191,G39,'HRC1218'!$K$9:$K$191)/1000</f>
        <v>6571.7538800000002</v>
      </c>
      <c r="M39" s="36"/>
      <c r="N39" s="108"/>
      <c r="O39" s="216">
        <f t="shared" si="47"/>
        <v>476.97958864592289</v>
      </c>
      <c r="P39" s="216">
        <f t="shared" si="47"/>
        <v>1115.3888254608667</v>
      </c>
      <c r="Q39" s="216">
        <f t="shared" si="47"/>
        <v>1409.0683505220952</v>
      </c>
      <c r="R39" s="216">
        <f t="shared" si="47"/>
        <v>0</v>
      </c>
      <c r="S39" s="108"/>
      <c r="T39" s="233">
        <v>0</v>
      </c>
      <c r="U39" s="233">
        <v>0</v>
      </c>
      <c r="V39" s="233">
        <v>0</v>
      </c>
      <c r="W39" s="233"/>
      <c r="X39" s="108"/>
      <c r="Y39" s="233">
        <v>0</v>
      </c>
      <c r="Z39" s="233">
        <v>0</v>
      </c>
      <c r="AA39" s="233">
        <v>0</v>
      </c>
      <c r="AB39" s="233"/>
      <c r="AC39" s="108"/>
      <c r="AD39" s="223">
        <f t="shared" si="30"/>
        <v>476.97958864592289</v>
      </c>
      <c r="AE39" s="223">
        <f t="shared" si="31"/>
        <v>1115.3888254608667</v>
      </c>
      <c r="AF39" s="223">
        <f t="shared" si="32"/>
        <v>1409.0683505220952</v>
      </c>
      <c r="AG39" s="223">
        <f t="shared" si="32"/>
        <v>0</v>
      </c>
      <c r="AH39" s="118"/>
      <c r="AI39" s="220">
        <f t="shared" si="33"/>
        <v>0.74184784249243774</v>
      </c>
      <c r="AJ39" s="220">
        <f t="shared" si="34"/>
        <v>0.71876354116879559</v>
      </c>
      <c r="AK39" s="220">
        <f t="shared" si="35"/>
        <v>0.71876354116879559</v>
      </c>
    </row>
    <row r="40" spans="2:37" ht="12" customHeight="1" x14ac:dyDescent="0.25">
      <c r="B40" s="32"/>
      <c r="C40" s="49" t="str">
        <f>"Total "&amp;LOWER(C29)</f>
        <v>Total current assets</v>
      </c>
      <c r="D40" s="50"/>
      <c r="E40" s="50"/>
      <c r="F40" s="50"/>
      <c r="G40" s="50"/>
      <c r="H40" s="51"/>
      <c r="I40" s="52"/>
      <c r="J40" s="227">
        <f>SUM(J31:J39)</f>
        <v>15559.074770000001</v>
      </c>
      <c r="K40" s="227">
        <f t="shared" ref="K40:M40" si="52">SUM(K31:K39)</f>
        <v>25929.305819999998</v>
      </c>
      <c r="L40" s="227">
        <f t="shared" si="52"/>
        <v>22212.370170000002</v>
      </c>
      <c r="M40" s="227">
        <f t="shared" si="52"/>
        <v>0</v>
      </c>
      <c r="N40" s="108"/>
      <c r="O40" s="227">
        <f>SUM(O31:O39)</f>
        <v>3426.278824513884</v>
      </c>
      <c r="P40" s="227">
        <f t="shared" ref="P40:R40" si="53">SUM(P31:P39)</f>
        <v>5564.5869519496964</v>
      </c>
      <c r="Q40" s="227">
        <f t="shared" si="53"/>
        <v>4762.6171594588222</v>
      </c>
      <c r="R40" s="227">
        <f t="shared" si="53"/>
        <v>0</v>
      </c>
      <c r="S40" s="108"/>
      <c r="T40" s="227">
        <f>SUM(T30:T39)</f>
        <v>0</v>
      </c>
      <c r="U40" s="227">
        <f>SUM(U30:U39)</f>
        <v>0</v>
      </c>
      <c r="V40" s="227">
        <f>SUM(V30:V39)</f>
        <v>0</v>
      </c>
      <c r="W40" s="433"/>
      <c r="X40" s="108"/>
      <c r="Y40" s="227">
        <f>SUM(Y30:Y39)</f>
        <v>0</v>
      </c>
      <c r="Z40" s="227">
        <f>SUM(Z30:Z39)</f>
        <v>0</v>
      </c>
      <c r="AA40" s="227">
        <f>SUM(AA30:AA39)</f>
        <v>0</v>
      </c>
      <c r="AB40" s="433"/>
      <c r="AC40" s="108"/>
      <c r="AD40" s="227">
        <f t="shared" ref="AD40:AG40" si="54">SUM(AD31:AD39)</f>
        <v>3426.278824513884</v>
      </c>
      <c r="AE40" s="227">
        <f t="shared" si="54"/>
        <v>5564.5869519496964</v>
      </c>
      <c r="AF40" s="227">
        <f t="shared" si="54"/>
        <v>4762.6171594588222</v>
      </c>
      <c r="AG40" s="227">
        <f t="shared" si="54"/>
        <v>0</v>
      </c>
      <c r="AH40" s="118"/>
      <c r="AI40" s="220">
        <f t="shared" si="33"/>
        <v>0.19482848373639872</v>
      </c>
      <c r="AJ40" s="220">
        <f t="shared" si="34"/>
        <v>0.17899370180207441</v>
      </c>
      <c r="AK40" s="220">
        <f t="shared" si="35"/>
        <v>0.17899370180207441</v>
      </c>
    </row>
    <row r="41" spans="2:37" ht="12" customHeight="1" x14ac:dyDescent="0.25">
      <c r="B41" s="32"/>
      <c r="C41" s="49" t="s">
        <v>70</v>
      </c>
      <c r="D41" s="50"/>
      <c r="E41" s="50"/>
      <c r="F41" s="50"/>
      <c r="G41" s="50"/>
      <c r="H41" s="51"/>
      <c r="I41" s="52"/>
      <c r="J41" s="227">
        <f>J28+J40</f>
        <v>16377.692560000001</v>
      </c>
      <c r="K41" s="227">
        <f>K28+K40</f>
        <v>26487.418129999998</v>
      </c>
      <c r="L41" s="227">
        <f>L28+L40</f>
        <v>22602.248640000002</v>
      </c>
      <c r="M41" s="227">
        <f>M28+M40</f>
        <v>0</v>
      </c>
      <c r="N41" s="108"/>
      <c r="O41" s="227">
        <f>O28+O40</f>
        <v>3606.547435643346</v>
      </c>
      <c r="P41" s="227">
        <f>P28+P40</f>
        <v>5684.361252870357</v>
      </c>
      <c r="Q41" s="227">
        <f>Q28+Q40</f>
        <v>4846.2121057484082</v>
      </c>
      <c r="R41" s="227">
        <f>R28+R40</f>
        <v>0</v>
      </c>
      <c r="S41" s="108"/>
      <c r="T41" s="227">
        <f>T28+T40</f>
        <v>0</v>
      </c>
      <c r="U41" s="227">
        <f>U28+U40</f>
        <v>0</v>
      </c>
      <c r="V41" s="227">
        <f>V28+V40</f>
        <v>0</v>
      </c>
      <c r="W41" s="433"/>
      <c r="X41" s="108"/>
      <c r="Y41" s="227">
        <f>Y28+Y40</f>
        <v>0</v>
      </c>
      <c r="Z41" s="227">
        <f>Z28+Z40</f>
        <v>0</v>
      </c>
      <c r="AA41" s="227">
        <f>AA28+AA40</f>
        <v>0</v>
      </c>
      <c r="AB41" s="433"/>
      <c r="AC41" s="108"/>
      <c r="AD41" s="227">
        <f>AD28+AD40</f>
        <v>3606.547435643346</v>
      </c>
      <c r="AE41" s="227">
        <f>AE28+AE40</f>
        <v>5684.361252870357</v>
      </c>
      <c r="AF41" s="227">
        <f>AF28+AF40</f>
        <v>4846.2121057484082</v>
      </c>
      <c r="AG41" s="227">
        <f>AG28+AG40</f>
        <v>0</v>
      </c>
      <c r="AH41" s="118"/>
      <c r="AI41" s="220">
        <f t="shared" si="33"/>
        <v>0.1747608556348641</v>
      </c>
      <c r="AJ41" s="220">
        <f t="shared" si="34"/>
        <v>0.15919202527371712</v>
      </c>
      <c r="AK41" s="220">
        <f t="shared" si="35"/>
        <v>0.15919202527371712</v>
      </c>
    </row>
    <row r="42" spans="2:37" ht="12" customHeight="1" x14ac:dyDescent="0.25">
      <c r="B42" s="25"/>
      <c r="C42" s="27"/>
      <c r="E42" s="27"/>
      <c r="F42" s="28"/>
      <c r="G42" s="29"/>
      <c r="H42" s="30"/>
      <c r="I42" s="29"/>
      <c r="J42" s="108"/>
      <c r="K42" s="108"/>
      <c r="L42" s="108"/>
      <c r="M42" s="108"/>
      <c r="N42" s="108"/>
      <c r="O42" s="108"/>
      <c r="P42" s="108"/>
      <c r="Q42" s="108"/>
      <c r="R42" s="108"/>
      <c r="S42" s="108"/>
      <c r="T42" s="108"/>
      <c r="U42" s="108"/>
      <c r="V42" s="108"/>
      <c r="W42" s="108"/>
      <c r="X42" s="108"/>
      <c r="Y42" s="108"/>
      <c r="Z42" s="108"/>
      <c r="AA42" s="108"/>
      <c r="AB42" s="108"/>
      <c r="AC42" s="108"/>
      <c r="AD42" s="108"/>
      <c r="AE42" s="108"/>
      <c r="AF42" s="108"/>
      <c r="AG42" s="108"/>
      <c r="AH42" s="118"/>
      <c r="AI42" s="220"/>
      <c r="AJ42" s="219"/>
      <c r="AK42" s="219"/>
    </row>
    <row r="43" spans="2:37" ht="12" customHeight="1" x14ac:dyDescent="0.25">
      <c r="B43" s="25">
        <f ca="1">MAX($A$1:B42)+0.1</f>
        <v>1.3000000000000003</v>
      </c>
      <c r="C43" s="26" t="s">
        <v>69</v>
      </c>
      <c r="E43" s="27"/>
      <c r="F43" s="28"/>
      <c r="G43" s="29"/>
      <c r="H43" s="30"/>
      <c r="I43" s="29"/>
      <c r="J43" s="108"/>
      <c r="K43" s="108"/>
      <c r="L43" s="108"/>
      <c r="M43" s="108"/>
      <c r="N43" s="108"/>
      <c r="O43" s="108"/>
      <c r="P43" s="108"/>
      <c r="Q43" s="108"/>
      <c r="R43" s="108"/>
      <c r="S43" s="108"/>
      <c r="T43" s="108"/>
      <c r="U43" s="108"/>
      <c r="V43" s="108"/>
      <c r="W43" s="108"/>
      <c r="X43" s="108"/>
      <c r="Y43" s="108"/>
      <c r="Z43" s="108"/>
      <c r="AA43" s="108"/>
      <c r="AB43" s="108"/>
      <c r="AC43" s="108"/>
      <c r="AD43" s="108"/>
      <c r="AE43" s="108"/>
      <c r="AF43" s="108"/>
      <c r="AG43" s="108"/>
      <c r="AH43" s="118"/>
      <c r="AI43" s="219"/>
      <c r="AJ43" s="219"/>
      <c r="AK43" s="219"/>
    </row>
    <row r="44" spans="2:37" ht="12" customHeight="1" x14ac:dyDescent="0.25">
      <c r="B44" s="25"/>
      <c r="C44" s="26"/>
      <c r="D44" s="9" t="s">
        <v>51</v>
      </c>
      <c r="E44" s="27"/>
      <c r="F44" s="28"/>
      <c r="G44" s="434" t="s">
        <v>744</v>
      </c>
      <c r="H44" s="30"/>
      <c r="I44" s="29"/>
      <c r="J44" s="36">
        <f>-SUMIF('HRC1216'!$L$9:$L$191,G44,'HRC1216'!$K$9:$K$191)/1000</f>
        <v>200</v>
      </c>
      <c r="K44" s="36">
        <f>-SUMIF('HRC1217'!$L$9:$L$191,G44,'HRC1217'!$K$9:$K$191)/1000</f>
        <v>200</v>
      </c>
      <c r="L44" s="36">
        <f>-SUMIF('HRC1218'!$L$9:$L$191,G44,'HRC1218'!$K$9:$K$191)/1000</f>
        <v>200</v>
      </c>
      <c r="M44" s="36"/>
      <c r="N44" s="108"/>
      <c r="O44" s="216">
        <f t="shared" ref="O44:R51" si="55">J44/O$7</f>
        <v>44.042192420338687</v>
      </c>
      <c r="P44" s="216">
        <f t="shared" si="55"/>
        <v>42.921218104169796</v>
      </c>
      <c r="Q44" s="216">
        <f t="shared" si="55"/>
        <v>42.882566092754992</v>
      </c>
      <c r="R44" s="216">
        <f t="shared" si="55"/>
        <v>0</v>
      </c>
      <c r="S44" s="108"/>
      <c r="T44" s="233">
        <v>0</v>
      </c>
      <c r="U44" s="233">
        <v>0</v>
      </c>
      <c r="V44" s="233">
        <v>0</v>
      </c>
      <c r="W44" s="233"/>
      <c r="X44" s="108"/>
      <c r="Y44" s="233">
        <v>0</v>
      </c>
      <c r="Z44" s="233">
        <v>0</v>
      </c>
      <c r="AA44" s="233">
        <v>0</v>
      </c>
      <c r="AB44" s="233"/>
      <c r="AC44" s="108"/>
      <c r="AD44" s="223">
        <f t="shared" ref="AD44:AD51" si="56">O44-T44-Y44</f>
        <v>44.042192420338687</v>
      </c>
      <c r="AE44" s="223">
        <f t="shared" ref="AE44:AE51" si="57">P44-U44-Z44</f>
        <v>42.921218104169796</v>
      </c>
      <c r="AF44" s="223">
        <f t="shared" ref="AF44:AG51" si="58">Q44-V44-AA44</f>
        <v>42.882566092754992</v>
      </c>
      <c r="AG44" s="223">
        <f t="shared" si="58"/>
        <v>0</v>
      </c>
      <c r="AH44" s="118"/>
      <c r="AI44" s="220">
        <f t="shared" ref="AI44:AI52" si="59">IF(ISERROR((($L44/$J44)^(1/($L$3-$J$3))-1)),0,(($L44/$J44)^(1/($L$3-$J$3))-1))</f>
        <v>0</v>
      </c>
      <c r="AJ44" s="220">
        <f t="shared" ref="AJ44:AJ52" si="60">IF(ISERROR((($Q44/$O44)^(1/($Q$3-$O$3))-1)),0,(($Q44/$O44)^(1/($Q$3-$O$3))-1))</f>
        <v>-1.3252765689688695E-2</v>
      </c>
      <c r="AK44" s="220">
        <f t="shared" ref="AK44:AK52" si="61">IF(ISERROR((($AF44/$AD44)^(1/($AF$3-$AD$3))-1)),0,(($AF44/$AD44)^(1/($AF$3-$AD$3))-1))</f>
        <v>-1.3252765689688695E-2</v>
      </c>
    </row>
    <row r="45" spans="2:37" ht="12" customHeight="1" x14ac:dyDescent="0.25">
      <c r="B45" s="25"/>
      <c r="C45" s="26"/>
      <c r="D45" s="9" t="s">
        <v>50</v>
      </c>
      <c r="E45" s="27"/>
      <c r="F45" s="28"/>
      <c r="H45" s="30"/>
      <c r="I45" s="29"/>
      <c r="J45" s="36"/>
      <c r="K45" s="36"/>
      <c r="L45" s="36"/>
      <c r="M45" s="36"/>
      <c r="N45" s="108"/>
      <c r="O45" s="216">
        <f t="shared" si="55"/>
        <v>0</v>
      </c>
      <c r="P45" s="216">
        <f t="shared" si="55"/>
        <v>0</v>
      </c>
      <c r="Q45" s="216">
        <f t="shared" si="55"/>
        <v>0</v>
      </c>
      <c r="R45" s="216">
        <f t="shared" si="55"/>
        <v>0</v>
      </c>
      <c r="S45" s="108"/>
      <c r="T45" s="233">
        <v>0</v>
      </c>
      <c r="U45" s="233">
        <v>0</v>
      </c>
      <c r="V45" s="233">
        <v>0</v>
      </c>
      <c r="W45" s="233"/>
      <c r="X45" s="108"/>
      <c r="Y45" s="233">
        <v>0</v>
      </c>
      <c r="Z45" s="233">
        <v>0</v>
      </c>
      <c r="AA45" s="233">
        <v>0</v>
      </c>
      <c r="AB45" s="233"/>
      <c r="AC45" s="108"/>
      <c r="AD45" s="223">
        <f t="shared" si="56"/>
        <v>0</v>
      </c>
      <c r="AE45" s="223">
        <f t="shared" si="57"/>
        <v>0</v>
      </c>
      <c r="AF45" s="223">
        <f t="shared" si="58"/>
        <v>0</v>
      </c>
      <c r="AG45" s="223">
        <f t="shared" si="58"/>
        <v>0</v>
      </c>
      <c r="AH45" s="118"/>
      <c r="AI45" s="220">
        <f t="shared" si="59"/>
        <v>0</v>
      </c>
      <c r="AJ45" s="220">
        <f t="shared" si="60"/>
        <v>0</v>
      </c>
      <c r="AK45" s="220">
        <f t="shared" si="61"/>
        <v>0</v>
      </c>
    </row>
    <row r="46" spans="2:37" ht="12" customHeight="1" x14ac:dyDescent="0.25">
      <c r="B46" s="25"/>
      <c r="C46" s="26"/>
      <c r="D46" s="9" t="s">
        <v>49</v>
      </c>
      <c r="E46" s="27"/>
      <c r="F46" s="28"/>
      <c r="G46" s="434" t="s">
        <v>751</v>
      </c>
      <c r="H46" s="35"/>
      <c r="I46" s="34"/>
      <c r="J46" s="36">
        <f>-SUMIF('HRC1216'!$L$9:$L$191,G46,'HRC1216'!$K$9:$K$191)/1000</f>
        <v>40</v>
      </c>
      <c r="K46" s="36">
        <f>-SUMIF('HRC1217'!$L$9:$L$191,G46,'HRC1217'!$K$9:$K$191)/1000</f>
        <v>40</v>
      </c>
      <c r="L46" s="36">
        <f>-SUMIF('HRC1218'!$L$9:$L$191,G46,'HRC1218'!$K$9:$K$191)/1000</f>
        <v>40</v>
      </c>
      <c r="M46" s="36"/>
      <c r="N46" s="54"/>
      <c r="O46" s="216">
        <f t="shared" si="55"/>
        <v>8.8084384840677359</v>
      </c>
      <c r="P46" s="216">
        <f t="shared" si="55"/>
        <v>8.5842436208339592</v>
      </c>
      <c r="Q46" s="216">
        <f t="shared" si="55"/>
        <v>8.576513218550998</v>
      </c>
      <c r="R46" s="216">
        <f t="shared" si="55"/>
        <v>0</v>
      </c>
      <c r="S46" s="108"/>
      <c r="T46" s="233">
        <v>0</v>
      </c>
      <c r="U46" s="233">
        <v>0</v>
      </c>
      <c r="V46" s="233">
        <v>0</v>
      </c>
      <c r="W46" s="233"/>
      <c r="X46" s="108"/>
      <c r="Y46" s="233">
        <v>0</v>
      </c>
      <c r="Z46" s="233">
        <v>0</v>
      </c>
      <c r="AA46" s="233">
        <v>0</v>
      </c>
      <c r="AB46" s="233"/>
      <c r="AC46" s="108"/>
      <c r="AD46" s="223">
        <f t="shared" si="56"/>
        <v>8.8084384840677359</v>
      </c>
      <c r="AE46" s="223">
        <f t="shared" si="57"/>
        <v>8.5842436208339592</v>
      </c>
      <c r="AF46" s="223">
        <f t="shared" si="58"/>
        <v>8.576513218550998</v>
      </c>
      <c r="AG46" s="223">
        <f t="shared" si="58"/>
        <v>0</v>
      </c>
      <c r="AH46" s="118"/>
      <c r="AI46" s="220">
        <f t="shared" si="59"/>
        <v>0</v>
      </c>
      <c r="AJ46" s="220">
        <f t="shared" si="60"/>
        <v>-1.3252765689688584E-2</v>
      </c>
      <c r="AK46" s="220">
        <f t="shared" si="61"/>
        <v>-1.3252765689688584E-2</v>
      </c>
    </row>
    <row r="47" spans="2:37" ht="12" customHeight="1" x14ac:dyDescent="0.25">
      <c r="B47" s="25"/>
      <c r="C47" s="26"/>
      <c r="D47" s="9" t="s">
        <v>153</v>
      </c>
      <c r="E47" s="27"/>
      <c r="F47" s="28"/>
      <c r="H47" s="35"/>
      <c r="I47" s="34"/>
      <c r="J47" s="36"/>
      <c r="K47" s="36"/>
      <c r="L47" s="36"/>
      <c r="M47" s="36"/>
      <c r="N47" s="54"/>
      <c r="O47" s="216">
        <f t="shared" si="55"/>
        <v>0</v>
      </c>
      <c r="P47" s="216">
        <f t="shared" si="55"/>
        <v>0</v>
      </c>
      <c r="Q47" s="216">
        <f t="shared" si="55"/>
        <v>0</v>
      </c>
      <c r="R47" s="216">
        <f t="shared" si="55"/>
        <v>0</v>
      </c>
      <c r="S47" s="108"/>
      <c r="T47" s="233">
        <v>0</v>
      </c>
      <c r="U47" s="233">
        <v>0</v>
      </c>
      <c r="V47" s="233">
        <v>0</v>
      </c>
      <c r="W47" s="233"/>
      <c r="X47" s="108"/>
      <c r="Y47" s="233">
        <v>0</v>
      </c>
      <c r="Z47" s="233">
        <v>0</v>
      </c>
      <c r="AA47" s="233">
        <v>0</v>
      </c>
      <c r="AB47" s="233"/>
      <c r="AC47" s="108"/>
      <c r="AD47" s="223">
        <f t="shared" si="56"/>
        <v>0</v>
      </c>
      <c r="AE47" s="223">
        <f t="shared" si="57"/>
        <v>0</v>
      </c>
      <c r="AF47" s="223">
        <f t="shared" si="58"/>
        <v>0</v>
      </c>
      <c r="AG47" s="223">
        <f t="shared" si="58"/>
        <v>0</v>
      </c>
      <c r="AH47" s="118"/>
      <c r="AI47" s="220">
        <f t="shared" si="59"/>
        <v>0</v>
      </c>
      <c r="AJ47" s="220">
        <f t="shared" si="60"/>
        <v>0</v>
      </c>
      <c r="AK47" s="220">
        <f t="shared" si="61"/>
        <v>0</v>
      </c>
    </row>
    <row r="48" spans="2:37" ht="12" customHeight="1" x14ac:dyDescent="0.25">
      <c r="B48" s="25"/>
      <c r="C48" s="26"/>
      <c r="D48" s="9" t="s">
        <v>115</v>
      </c>
      <c r="E48" s="27"/>
      <c r="F48" s="28"/>
      <c r="G48" s="434" t="s">
        <v>754</v>
      </c>
      <c r="H48" s="35"/>
      <c r="I48" s="34"/>
      <c r="J48" s="36">
        <f>-SUMIF('HRC1216'!$L$9:$L$191,G48,'HRC1216'!$K$9:$K$191)/1000</f>
        <v>555.45323999999994</v>
      </c>
      <c r="K48" s="36">
        <f>-SUMIF('HRC1217'!$L$9:$L$191,G48,'HRC1217'!$K$9:$K$191)/1000</f>
        <v>555.45323999999994</v>
      </c>
      <c r="L48" s="36">
        <f>-SUMIF('HRC1218'!$L$9:$L$191,G48,'HRC1218'!$K$9:$K$191)/1000</f>
        <v>555.45323999999994</v>
      </c>
      <c r="M48" s="36"/>
      <c r="N48" s="54"/>
      <c r="O48" s="216">
        <f t="shared" si="55"/>
        <v>122.31689238290281</v>
      </c>
      <c r="P48" s="216">
        <f t="shared" si="55"/>
        <v>119.20364830353884</v>
      </c>
      <c r="Q48" s="216">
        <f t="shared" si="55"/>
        <v>119.09630137867448</v>
      </c>
      <c r="R48" s="216">
        <f t="shared" si="55"/>
        <v>0</v>
      </c>
      <c r="S48" s="108"/>
      <c r="T48" s="233">
        <v>0</v>
      </c>
      <c r="U48" s="233">
        <v>0</v>
      </c>
      <c r="V48" s="233">
        <v>0</v>
      </c>
      <c r="W48" s="233"/>
      <c r="X48" s="108"/>
      <c r="Y48" s="233">
        <v>0</v>
      </c>
      <c r="Z48" s="233">
        <v>0</v>
      </c>
      <c r="AA48" s="233">
        <v>0</v>
      </c>
      <c r="AB48" s="233"/>
      <c r="AC48" s="108"/>
      <c r="AD48" s="223">
        <f t="shared" si="56"/>
        <v>122.31689238290281</v>
      </c>
      <c r="AE48" s="223">
        <f t="shared" si="57"/>
        <v>119.20364830353884</v>
      </c>
      <c r="AF48" s="223">
        <f t="shared" si="58"/>
        <v>119.09630137867448</v>
      </c>
      <c r="AG48" s="223">
        <f t="shared" si="58"/>
        <v>0</v>
      </c>
      <c r="AH48" s="118"/>
      <c r="AI48" s="220">
        <f t="shared" si="59"/>
        <v>0</v>
      </c>
      <c r="AJ48" s="220">
        <f t="shared" si="60"/>
        <v>-1.3252765689688695E-2</v>
      </c>
      <c r="AK48" s="220">
        <f t="shared" si="61"/>
        <v>-1.3252765689688695E-2</v>
      </c>
    </row>
    <row r="49" spans="1:38" ht="12" customHeight="1" x14ac:dyDescent="0.25">
      <c r="B49" s="25"/>
      <c r="C49" s="26"/>
      <c r="D49" s="9" t="s">
        <v>48</v>
      </c>
      <c r="E49" s="27"/>
      <c r="F49" s="28"/>
      <c r="G49" s="434" t="s">
        <v>757</v>
      </c>
      <c r="H49" s="35"/>
      <c r="I49" s="34"/>
      <c r="J49" s="36">
        <f>-SUMIF('HRC1216'!$L$9:$L$191,G49,'HRC1216'!$K$9:$K$191)/1000</f>
        <v>3325.2242099999999</v>
      </c>
      <c r="K49" s="36">
        <f>-SUMIF('HRC1217'!$L$9:$L$191,G49,'HRC1217'!$K$9:$K$191)/1000</f>
        <v>1119.1956400000001</v>
      </c>
      <c r="L49" s="36">
        <f>-SUMIF('HRC1218'!$L$9:$L$191,G49,'HRC1218'!$K$9:$K$191)/1000</f>
        <v>2567.1469200000001</v>
      </c>
      <c r="M49" s="36"/>
      <c r="N49" s="108"/>
      <c r="O49" s="216">
        <f t="shared" si="55"/>
        <v>732.25082248794342</v>
      </c>
      <c r="P49" s="216">
        <f t="shared" si="55"/>
        <v>240.18620082837955</v>
      </c>
      <c r="Q49" s="216">
        <f t="shared" si="55"/>
        <v>550.42923733356213</v>
      </c>
      <c r="R49" s="216">
        <f t="shared" si="55"/>
        <v>0</v>
      </c>
      <c r="S49" s="108"/>
      <c r="T49" s="233">
        <v>0</v>
      </c>
      <c r="U49" s="233">
        <v>0</v>
      </c>
      <c r="V49" s="233">
        <v>0</v>
      </c>
      <c r="W49" s="233"/>
      <c r="X49" s="108"/>
      <c r="Y49" s="233">
        <v>0</v>
      </c>
      <c r="Z49" s="233">
        <v>0</v>
      </c>
      <c r="AA49" s="233">
        <v>0</v>
      </c>
      <c r="AB49" s="233"/>
      <c r="AC49" s="108"/>
      <c r="AD49" s="223">
        <f t="shared" si="56"/>
        <v>732.25082248794342</v>
      </c>
      <c r="AE49" s="223">
        <f t="shared" si="57"/>
        <v>240.18620082837955</v>
      </c>
      <c r="AF49" s="223">
        <f t="shared" si="58"/>
        <v>550.42923733356213</v>
      </c>
      <c r="AG49" s="223">
        <f t="shared" si="58"/>
        <v>0</v>
      </c>
      <c r="AH49" s="118"/>
      <c r="AI49" s="220">
        <f t="shared" si="59"/>
        <v>-0.12135205970877838</v>
      </c>
      <c r="AJ49" s="220">
        <f t="shared" si="60"/>
        <v>-0.13299657498518547</v>
      </c>
      <c r="AK49" s="220">
        <f t="shared" si="61"/>
        <v>-0.13299657498518547</v>
      </c>
    </row>
    <row r="50" spans="1:38" ht="12" customHeight="1" x14ac:dyDescent="0.25">
      <c r="B50" s="25"/>
      <c r="C50" s="26"/>
      <c r="D50" s="9" t="s">
        <v>230</v>
      </c>
      <c r="E50" s="27"/>
      <c r="F50" s="28"/>
      <c r="G50" s="434" t="s">
        <v>763</v>
      </c>
      <c r="H50" s="30"/>
      <c r="I50" s="29"/>
      <c r="J50" s="36">
        <f>-SUMIF('HRC1216'!$L$9:$L$191,G50,'HRC1216'!$K$9:$K$191)/1000</f>
        <v>1126.8983000000001</v>
      </c>
      <c r="K50" s="36">
        <f>-SUMIF('HRC1217'!$L$9:$L$191,G50,'HRC1217'!$K$9:$K$191)/1000</f>
        <v>1998.75128</v>
      </c>
      <c r="L50" s="36">
        <f>-SUMIF('HRC1218'!$L$9:$L$191,G50,'HRC1218'!$K$9:$K$191)/1000</f>
        <v>2078.3298800000002</v>
      </c>
      <c r="M50" s="36"/>
      <c r="N50" s="108"/>
      <c r="O50" s="216">
        <f t="shared" si="55"/>
        <v>248.15535883376276</v>
      </c>
      <c r="P50" s="216">
        <f t="shared" si="55"/>
        <v>428.94419812434279</v>
      </c>
      <c r="Q50" s="216">
        <f t="shared" si="55"/>
        <v>445.62059220823778</v>
      </c>
      <c r="R50" s="216">
        <f t="shared" si="55"/>
        <v>0</v>
      </c>
      <c r="S50" s="108"/>
      <c r="T50" s="233">
        <v>0</v>
      </c>
      <c r="U50" s="233">
        <v>0</v>
      </c>
      <c r="V50" s="233">
        <v>0</v>
      </c>
      <c r="W50" s="233"/>
      <c r="X50" s="108"/>
      <c r="Y50" s="233">
        <v>0</v>
      </c>
      <c r="Z50" s="233">
        <v>0</v>
      </c>
      <c r="AA50" s="233">
        <v>0</v>
      </c>
      <c r="AB50" s="233"/>
      <c r="AC50" s="108"/>
      <c r="AD50" s="223">
        <f t="shared" si="56"/>
        <v>248.15535883376276</v>
      </c>
      <c r="AE50" s="223">
        <f t="shared" si="57"/>
        <v>428.94419812434279</v>
      </c>
      <c r="AF50" s="223">
        <f t="shared" si="58"/>
        <v>445.62059220823778</v>
      </c>
      <c r="AG50" s="223">
        <f t="shared" si="58"/>
        <v>0</v>
      </c>
      <c r="AH50" s="118"/>
      <c r="AI50" s="220">
        <f t="shared" si="59"/>
        <v>0.35804724509180841</v>
      </c>
      <c r="AJ50" s="220">
        <f t="shared" si="60"/>
        <v>0.34004936315707934</v>
      </c>
      <c r="AK50" s="220">
        <f t="shared" si="61"/>
        <v>0.34004936315707934</v>
      </c>
    </row>
    <row r="51" spans="1:38" ht="12" customHeight="1" x14ac:dyDescent="0.25">
      <c r="B51" s="25"/>
      <c r="C51" s="27"/>
      <c r="D51" s="9" t="s">
        <v>47</v>
      </c>
      <c r="E51" s="27"/>
      <c r="F51" s="28"/>
      <c r="G51" s="434" t="s">
        <v>770</v>
      </c>
      <c r="H51" s="30"/>
      <c r="I51" s="29"/>
      <c r="J51" s="36">
        <f>-SUMIF('HRC1216'!$L$9:$L$191,G51,'HRC1216'!$K$9:$K$191)/1000</f>
        <v>0</v>
      </c>
      <c r="K51" s="36">
        <f>-SUMIF('HRC1217'!$L$9:$L$191,G51,'HRC1217'!$K$9:$K$191)/1000</f>
        <v>0</v>
      </c>
      <c r="L51" s="36">
        <f>-SUMIF('HRC1218'!$L$9:$L$191,G51,'HRC1218'!$K$9:$K$191)/1000</f>
        <v>0</v>
      </c>
      <c r="M51" s="36"/>
      <c r="N51" s="108"/>
      <c r="O51" s="216">
        <f t="shared" si="55"/>
        <v>0</v>
      </c>
      <c r="P51" s="216">
        <f t="shared" si="55"/>
        <v>0</v>
      </c>
      <c r="Q51" s="216">
        <f t="shared" si="55"/>
        <v>0</v>
      </c>
      <c r="R51" s="216">
        <f t="shared" si="55"/>
        <v>0</v>
      </c>
      <c r="S51" s="108"/>
      <c r="T51" s="233">
        <v>0</v>
      </c>
      <c r="U51" s="233">
        <v>0</v>
      </c>
      <c r="V51" s="233">
        <v>0</v>
      </c>
      <c r="W51" s="233"/>
      <c r="X51" s="108"/>
      <c r="Y51" s="233">
        <v>0</v>
      </c>
      <c r="Z51" s="233">
        <v>0</v>
      </c>
      <c r="AA51" s="233">
        <v>0</v>
      </c>
      <c r="AB51" s="233"/>
      <c r="AC51" s="108"/>
      <c r="AD51" s="223">
        <f t="shared" si="56"/>
        <v>0</v>
      </c>
      <c r="AE51" s="223">
        <f t="shared" si="57"/>
        <v>0</v>
      </c>
      <c r="AF51" s="223">
        <f t="shared" si="58"/>
        <v>0</v>
      </c>
      <c r="AG51" s="223">
        <f t="shared" si="58"/>
        <v>0</v>
      </c>
      <c r="AH51" s="118"/>
      <c r="AI51" s="220">
        <f t="shared" si="59"/>
        <v>0</v>
      </c>
      <c r="AJ51" s="220">
        <f t="shared" si="60"/>
        <v>0</v>
      </c>
      <c r="AK51" s="220">
        <f t="shared" si="61"/>
        <v>0</v>
      </c>
    </row>
    <row r="52" spans="1:38" ht="12" customHeight="1" x14ac:dyDescent="0.25">
      <c r="B52" s="25"/>
      <c r="C52" s="49" t="str">
        <f>"Total "&amp;LOWER(C43)</f>
        <v>Total equity</v>
      </c>
      <c r="D52" s="50"/>
      <c r="E52" s="50"/>
      <c r="F52" s="50"/>
      <c r="G52" s="50"/>
      <c r="H52" s="51"/>
      <c r="I52" s="52"/>
      <c r="J52" s="227">
        <f>SUM(J44:J51)</f>
        <v>5247.57575</v>
      </c>
      <c r="K52" s="227">
        <f>SUM(K44:K51)</f>
        <v>3913.4001600000001</v>
      </c>
      <c r="L52" s="227">
        <f>SUM(L44:L51)</f>
        <v>5440.9300400000002</v>
      </c>
      <c r="M52" s="227">
        <f>SUM(M44:M51)</f>
        <v>0</v>
      </c>
      <c r="N52" s="108"/>
      <c r="O52" s="227">
        <f>SUM(O44:O51)</f>
        <v>1155.5737046090153</v>
      </c>
      <c r="P52" s="227">
        <f>SUM(P44:P51)</f>
        <v>839.839508981265</v>
      </c>
      <c r="Q52" s="227">
        <f>SUM(Q44:Q51)</f>
        <v>1166.6052102317803</v>
      </c>
      <c r="R52" s="227">
        <f>SUM(R44:R51)</f>
        <v>0</v>
      </c>
      <c r="S52" s="108"/>
      <c r="T52" s="227">
        <f>SUM(T44:T51)</f>
        <v>0</v>
      </c>
      <c r="U52" s="227">
        <f>SUM(U44:U51)</f>
        <v>0</v>
      </c>
      <c r="V52" s="227">
        <f>SUM(V44:V51)</f>
        <v>0</v>
      </c>
      <c r="W52" s="433"/>
      <c r="X52" s="108"/>
      <c r="Y52" s="227">
        <f>SUM(Y44:Y51)</f>
        <v>0</v>
      </c>
      <c r="Z52" s="227">
        <f>SUM(Z44:Z51)</f>
        <v>0</v>
      </c>
      <c r="AA52" s="227">
        <f>SUM(AA44:AA51)</f>
        <v>0</v>
      </c>
      <c r="AB52" s="433"/>
      <c r="AC52" s="108"/>
      <c r="AD52" s="227">
        <f>SUM(AD44:AD51)</f>
        <v>1155.5737046090153</v>
      </c>
      <c r="AE52" s="227">
        <f>SUM(AE44:AE51)</f>
        <v>839.839508981265</v>
      </c>
      <c r="AF52" s="227">
        <f>SUM(AF44:AF51)</f>
        <v>1166.6052102317803</v>
      </c>
      <c r="AG52" s="227">
        <f>SUM(AG44:AG51)</f>
        <v>0</v>
      </c>
      <c r="AH52" s="118"/>
      <c r="AI52" s="220">
        <f t="shared" si="59"/>
        <v>1.8256550598416688E-2</v>
      </c>
      <c r="AJ52" s="220">
        <f t="shared" si="60"/>
        <v>4.7618351213454257E-3</v>
      </c>
      <c r="AK52" s="220">
        <f t="shared" si="61"/>
        <v>4.7618351213454257E-3</v>
      </c>
    </row>
    <row r="53" spans="1:38" ht="12" customHeight="1" x14ac:dyDescent="0.25">
      <c r="B53" s="32">
        <f ca="1">MAX($A$1:B52)+0.1</f>
        <v>1.4000000000000004</v>
      </c>
      <c r="C53" s="26" t="s">
        <v>68</v>
      </c>
      <c r="D53" s="39"/>
      <c r="E53" s="27"/>
      <c r="F53" s="28"/>
      <c r="G53" s="29"/>
      <c r="H53" s="30"/>
      <c r="I53" s="29"/>
      <c r="J53" s="108"/>
      <c r="K53" s="108"/>
      <c r="L53" s="108"/>
      <c r="M53" s="108"/>
      <c r="N53" s="108"/>
      <c r="O53" s="108"/>
      <c r="P53" s="108"/>
      <c r="Q53" s="108"/>
      <c r="R53" s="108"/>
      <c r="S53" s="108"/>
      <c r="T53" s="108"/>
      <c r="U53" s="108"/>
      <c r="V53" s="108"/>
      <c r="W53" s="108"/>
      <c r="X53" s="108"/>
      <c r="Y53" s="108"/>
      <c r="Z53" s="108"/>
      <c r="AA53" s="108"/>
      <c r="AB53" s="108"/>
      <c r="AC53" s="108"/>
      <c r="AD53" s="108"/>
      <c r="AE53" s="108"/>
      <c r="AF53" s="108"/>
      <c r="AG53" s="108"/>
      <c r="AH53" s="118"/>
      <c r="AI53" s="219"/>
      <c r="AJ53" s="219"/>
      <c r="AK53" s="219"/>
    </row>
    <row r="54" spans="1:38" s="6" customFormat="1" ht="12" customHeight="1" x14ac:dyDescent="0.25">
      <c r="A54" s="9"/>
      <c r="B54" s="32"/>
      <c r="C54" s="33"/>
      <c r="D54" s="39" t="s">
        <v>112</v>
      </c>
      <c r="F54" s="27"/>
      <c r="G54" s="34"/>
      <c r="H54" s="35"/>
      <c r="I54" s="34"/>
      <c r="J54" s="216">
        <f>SUM(J55:J57)</f>
        <v>0</v>
      </c>
      <c r="K54" s="216">
        <f>SUM(K55:K57)</f>
        <v>3136.9869800000001</v>
      </c>
      <c r="L54" s="216">
        <f>SUM(L55:L57)</f>
        <v>2585.38483</v>
      </c>
      <c r="M54" s="216">
        <f>SUM(M55:M57)</f>
        <v>0</v>
      </c>
      <c r="N54" s="54"/>
      <c r="O54" s="216">
        <f t="shared" ref="O54:R61" si="62">J54/O$7</f>
        <v>0</v>
      </c>
      <c r="P54" s="216">
        <f t="shared" si="62"/>
        <v>673.21651179260471</v>
      </c>
      <c r="Q54" s="216">
        <f t="shared" si="62"/>
        <v>554.33967923840567</v>
      </c>
      <c r="R54" s="216">
        <f t="shared" si="62"/>
        <v>0</v>
      </c>
      <c r="S54" s="54"/>
      <c r="T54" s="226">
        <v>0</v>
      </c>
      <c r="U54" s="226">
        <v>0</v>
      </c>
      <c r="V54" s="226">
        <v>0</v>
      </c>
      <c r="W54" s="226"/>
      <c r="X54" s="54"/>
      <c r="Y54" s="226">
        <v>0</v>
      </c>
      <c r="Z54" s="226">
        <v>0</v>
      </c>
      <c r="AA54" s="226">
        <v>0</v>
      </c>
      <c r="AB54" s="226"/>
      <c r="AC54" s="54"/>
      <c r="AD54" s="216">
        <f>O54-T54-Y54</f>
        <v>0</v>
      </c>
      <c r="AE54" s="216">
        <f t="shared" ref="AE54:AE58" si="63">P54-U54-Z54</f>
        <v>673.21651179260471</v>
      </c>
      <c r="AF54" s="216">
        <f t="shared" ref="AF54:AG58" si="64">Q54-V54-AA54</f>
        <v>554.33967923840567</v>
      </c>
      <c r="AG54" s="216">
        <f t="shared" si="64"/>
        <v>0</v>
      </c>
      <c r="AH54" s="218"/>
      <c r="AI54" s="220">
        <f t="shared" ref="AI54:AI72" si="65">IF(ISERROR((($L54/$J54)^(1/($L$3-$J$3))-1)),0,(($L54/$J54)^(1/($L$3-$J$3))-1))</f>
        <v>0</v>
      </c>
      <c r="AJ54" s="220">
        <f t="shared" ref="AJ54:AJ72" si="66">IF(ISERROR((($Q54/$O54)^(1/($Q$3-$O$3))-1)),0,(($Q54/$O54)^(1/($Q$3-$O$3))-1))</f>
        <v>0</v>
      </c>
      <c r="AK54" s="220">
        <f t="shared" ref="AK54:AK72" si="67">IF(ISERROR((($AF54/$AD54)^(1/($AF$3-$AD$3))-1)),0,(($AF54/$AD54)^(1/($AF$3-$AD$3))-1))</f>
        <v>0</v>
      </c>
      <c r="AL54" s="9"/>
    </row>
    <row r="55" spans="1:38" s="13" customFormat="1" ht="12" customHeight="1" outlineLevel="2" x14ac:dyDescent="0.25">
      <c r="A55" s="43"/>
      <c r="B55" s="44"/>
      <c r="C55" s="47"/>
      <c r="D55" s="48"/>
      <c r="E55" s="40" t="s">
        <v>161</v>
      </c>
      <c r="F55" s="40"/>
      <c r="G55" s="11" t="s">
        <v>1155</v>
      </c>
      <c r="H55" s="30"/>
      <c r="I55" s="30"/>
      <c r="J55" s="221">
        <f>-SUMIF('HRC1216'!$L$9:$L$191,G55,'HRC1216'!$K$9:$K$191)/1000</f>
        <v>0</v>
      </c>
      <c r="K55" s="221">
        <f>-SUMIF('HRC1217'!$L$9:$L$191,G55,'HRC1217'!$K$9:$K$191)/1000</f>
        <v>3136.9869800000001</v>
      </c>
      <c r="L55" s="221">
        <f>-SUMIF('HRC1218'!$L$9:$L$191,G55,'HRC1218'!$K$9:$K$191)/1000</f>
        <v>2585.38483</v>
      </c>
      <c r="M55" s="221"/>
      <c r="N55" s="222"/>
      <c r="O55" s="223">
        <f t="shared" si="62"/>
        <v>0</v>
      </c>
      <c r="P55" s="223">
        <f t="shared" si="62"/>
        <v>673.21651179260471</v>
      </c>
      <c r="Q55" s="223">
        <f t="shared" si="62"/>
        <v>554.33967923840567</v>
      </c>
      <c r="R55" s="223">
        <f t="shared" si="62"/>
        <v>0</v>
      </c>
      <c r="S55" s="222"/>
      <c r="T55" s="224">
        <v>0</v>
      </c>
      <c r="U55" s="224">
        <v>0</v>
      </c>
      <c r="V55" s="224">
        <v>0</v>
      </c>
      <c r="W55" s="224"/>
      <c r="X55" s="222"/>
      <c r="Y55" s="224">
        <v>0</v>
      </c>
      <c r="Z55" s="224">
        <v>0</v>
      </c>
      <c r="AA55" s="224">
        <v>0</v>
      </c>
      <c r="AB55" s="224"/>
      <c r="AC55" s="222"/>
      <c r="AD55" s="223">
        <f t="shared" ref="AD55:AD58" si="68">O55-T55-Y55</f>
        <v>0</v>
      </c>
      <c r="AE55" s="223">
        <f t="shared" si="63"/>
        <v>673.21651179260471</v>
      </c>
      <c r="AF55" s="223">
        <f t="shared" si="64"/>
        <v>554.33967923840567</v>
      </c>
      <c r="AG55" s="223">
        <f t="shared" si="64"/>
        <v>0</v>
      </c>
      <c r="AH55" s="225"/>
      <c r="AI55" s="220">
        <f t="shared" si="65"/>
        <v>0</v>
      </c>
      <c r="AJ55" s="220">
        <f t="shared" si="66"/>
        <v>0</v>
      </c>
      <c r="AK55" s="220">
        <f t="shared" si="67"/>
        <v>0</v>
      </c>
      <c r="AL55" s="11"/>
    </row>
    <row r="56" spans="1:38" s="13" customFormat="1" ht="12" customHeight="1" outlineLevel="2" x14ac:dyDescent="0.25">
      <c r="A56" s="43"/>
      <c r="B56" s="44"/>
      <c r="C56" s="47"/>
      <c r="D56" s="48"/>
      <c r="E56" s="40" t="s">
        <v>155</v>
      </c>
      <c r="F56" s="40"/>
      <c r="G56" s="11"/>
      <c r="H56" s="30"/>
      <c r="I56" s="30"/>
      <c r="J56" s="221">
        <f>-SUMIF('HRC1216'!$L$9:$L$191,G56,'HRC1216'!$K$9:$K$191)/1000</f>
        <v>0</v>
      </c>
      <c r="K56" s="221">
        <f>-SUMIF('HRC1217'!$L$9:$L$191,G56,'HRC1217'!$K$9:$K$191)/1000</f>
        <v>0</v>
      </c>
      <c r="L56" s="221">
        <f>-SUMIF('HRC1218'!$L$9:$L$191,G56,'HRC1218'!$K$9:$K$191)/1000</f>
        <v>0</v>
      </c>
      <c r="M56" s="221"/>
      <c r="N56" s="222"/>
      <c r="O56" s="223">
        <f t="shared" si="62"/>
        <v>0</v>
      </c>
      <c r="P56" s="223">
        <f t="shared" si="62"/>
        <v>0</v>
      </c>
      <c r="Q56" s="223">
        <f t="shared" si="62"/>
        <v>0</v>
      </c>
      <c r="R56" s="223">
        <f t="shared" si="62"/>
        <v>0</v>
      </c>
      <c r="S56" s="222"/>
      <c r="T56" s="224">
        <v>0</v>
      </c>
      <c r="U56" s="224">
        <v>0</v>
      </c>
      <c r="V56" s="224">
        <v>0</v>
      </c>
      <c r="W56" s="224"/>
      <c r="X56" s="222"/>
      <c r="Y56" s="224">
        <v>0</v>
      </c>
      <c r="Z56" s="224">
        <v>0</v>
      </c>
      <c r="AA56" s="224">
        <v>0</v>
      </c>
      <c r="AB56" s="224"/>
      <c r="AC56" s="222"/>
      <c r="AD56" s="223">
        <f t="shared" si="68"/>
        <v>0</v>
      </c>
      <c r="AE56" s="223">
        <f t="shared" si="63"/>
        <v>0</v>
      </c>
      <c r="AF56" s="223">
        <f t="shared" si="64"/>
        <v>0</v>
      </c>
      <c r="AG56" s="223">
        <f t="shared" si="64"/>
        <v>0</v>
      </c>
      <c r="AH56" s="225"/>
      <c r="AI56" s="220">
        <f t="shared" si="65"/>
        <v>0</v>
      </c>
      <c r="AJ56" s="220">
        <f t="shared" si="66"/>
        <v>0</v>
      </c>
      <c r="AK56" s="220">
        <f t="shared" si="67"/>
        <v>0</v>
      </c>
      <c r="AL56" s="11"/>
    </row>
    <row r="57" spans="1:38" s="13" customFormat="1" ht="12" customHeight="1" outlineLevel="2" x14ac:dyDescent="0.25">
      <c r="A57" s="43"/>
      <c r="B57" s="44"/>
      <c r="C57" s="47"/>
      <c r="D57" s="48"/>
      <c r="E57" s="40" t="s">
        <v>154</v>
      </c>
      <c r="F57" s="55"/>
      <c r="G57" s="11"/>
      <c r="H57" s="30"/>
      <c r="I57" s="30"/>
      <c r="J57" s="221">
        <f>-SUMIF('HRC1216'!$L$9:$L$191,G57,'HRC1216'!$K$9:$K$191)/1000</f>
        <v>0</v>
      </c>
      <c r="K57" s="221">
        <f>-SUMIF('HRC1217'!$L$9:$L$191,G57,'HRC1217'!$K$9:$K$191)/1000</f>
        <v>0</v>
      </c>
      <c r="L57" s="221">
        <f>-SUMIF('HRC1218'!$L$9:$L$191,G57,'HRC1218'!$K$9:$K$191)/1000</f>
        <v>0</v>
      </c>
      <c r="M57" s="221"/>
      <c r="N57" s="222"/>
      <c r="O57" s="223">
        <f t="shared" si="62"/>
        <v>0</v>
      </c>
      <c r="P57" s="223">
        <f t="shared" si="62"/>
        <v>0</v>
      </c>
      <c r="Q57" s="223">
        <f t="shared" si="62"/>
        <v>0</v>
      </c>
      <c r="R57" s="223">
        <f t="shared" si="62"/>
        <v>0</v>
      </c>
      <c r="S57" s="222"/>
      <c r="T57" s="224">
        <v>0</v>
      </c>
      <c r="U57" s="224">
        <v>0</v>
      </c>
      <c r="V57" s="224">
        <v>0</v>
      </c>
      <c r="W57" s="224"/>
      <c r="X57" s="222"/>
      <c r="Y57" s="224">
        <v>0</v>
      </c>
      <c r="Z57" s="224">
        <v>0</v>
      </c>
      <c r="AA57" s="224">
        <v>0</v>
      </c>
      <c r="AB57" s="224"/>
      <c r="AC57" s="222"/>
      <c r="AD57" s="223">
        <f t="shared" si="68"/>
        <v>0</v>
      </c>
      <c r="AE57" s="223">
        <f t="shared" si="63"/>
        <v>0</v>
      </c>
      <c r="AF57" s="223">
        <f t="shared" si="64"/>
        <v>0</v>
      </c>
      <c r="AG57" s="223">
        <f t="shared" si="64"/>
        <v>0</v>
      </c>
      <c r="AH57" s="225"/>
      <c r="AI57" s="220">
        <f t="shared" si="65"/>
        <v>0</v>
      </c>
      <c r="AJ57" s="220">
        <f t="shared" si="66"/>
        <v>0</v>
      </c>
      <c r="AK57" s="220">
        <f t="shared" si="67"/>
        <v>0</v>
      </c>
      <c r="AL57" s="11"/>
    </row>
    <row r="58" spans="1:38" s="6" customFormat="1" ht="12" customHeight="1" x14ac:dyDescent="0.25">
      <c r="A58" s="9"/>
      <c r="B58" s="32"/>
      <c r="C58" s="33"/>
      <c r="D58" s="39" t="s">
        <v>38</v>
      </c>
      <c r="F58" s="27"/>
      <c r="G58" s="9"/>
      <c r="H58" s="35"/>
      <c r="I58" s="34"/>
      <c r="J58" s="36"/>
      <c r="K58" s="36"/>
      <c r="L58" s="36"/>
      <c r="M58" s="36"/>
      <c r="N58" s="54"/>
      <c r="O58" s="216">
        <f t="shared" si="62"/>
        <v>0</v>
      </c>
      <c r="P58" s="216">
        <f t="shared" si="62"/>
        <v>0</v>
      </c>
      <c r="Q58" s="216">
        <f t="shared" si="62"/>
        <v>0</v>
      </c>
      <c r="R58" s="216">
        <f t="shared" si="62"/>
        <v>0</v>
      </c>
      <c r="S58" s="54"/>
      <c r="T58" s="226">
        <v>0</v>
      </c>
      <c r="U58" s="226">
        <v>0</v>
      </c>
      <c r="V58" s="226">
        <v>0</v>
      </c>
      <c r="W58" s="226"/>
      <c r="X58" s="54"/>
      <c r="Y58" s="226">
        <v>0</v>
      </c>
      <c r="Z58" s="226">
        <v>0</v>
      </c>
      <c r="AA58" s="226">
        <v>0</v>
      </c>
      <c r="AB58" s="226"/>
      <c r="AC58" s="54"/>
      <c r="AD58" s="223">
        <f t="shared" si="68"/>
        <v>0</v>
      </c>
      <c r="AE58" s="223">
        <f t="shared" si="63"/>
        <v>0</v>
      </c>
      <c r="AF58" s="223">
        <f t="shared" si="64"/>
        <v>0</v>
      </c>
      <c r="AG58" s="223">
        <f t="shared" si="64"/>
        <v>0</v>
      </c>
      <c r="AH58" s="218"/>
      <c r="AI58" s="220">
        <f t="shared" si="65"/>
        <v>0</v>
      </c>
      <c r="AJ58" s="220">
        <f t="shared" si="66"/>
        <v>0</v>
      </c>
      <c r="AK58" s="220">
        <f t="shared" si="67"/>
        <v>0</v>
      </c>
      <c r="AL58" s="9"/>
    </row>
    <row r="59" spans="1:38" s="6" customFormat="1" ht="12" customHeight="1" x14ac:dyDescent="0.25">
      <c r="A59" s="9"/>
      <c r="B59" s="32"/>
      <c r="C59" s="39"/>
      <c r="D59" s="39" t="s">
        <v>237</v>
      </c>
      <c r="E59" s="9"/>
      <c r="F59" s="27"/>
      <c r="G59" s="9"/>
      <c r="H59" s="35"/>
      <c r="I59" s="34"/>
      <c r="J59" s="216">
        <f>SUM(J60:J67)</f>
        <v>10770.105700000002</v>
      </c>
      <c r="K59" s="216">
        <f>SUM(K60:K67)</f>
        <v>18366.433139999997</v>
      </c>
      <c r="L59" s="216">
        <f>SUM(L60:L67)</f>
        <v>14476.03033</v>
      </c>
      <c r="M59" s="216">
        <f>SUM(M60:M67)</f>
        <v>0</v>
      </c>
      <c r="N59" s="54"/>
      <c r="O59" s="216">
        <f t="shared" si="62"/>
        <v>2371.6953381339326</v>
      </c>
      <c r="P59" s="216">
        <f t="shared" si="62"/>
        <v>3941.5484129879601</v>
      </c>
      <c r="Q59" s="216">
        <f t="shared" si="62"/>
        <v>3103.8466369347543</v>
      </c>
      <c r="R59" s="216">
        <f t="shared" si="62"/>
        <v>0</v>
      </c>
      <c r="S59" s="54"/>
      <c r="T59" s="226">
        <v>0</v>
      </c>
      <c r="U59" s="226">
        <v>0</v>
      </c>
      <c r="V59" s="226">
        <v>0</v>
      </c>
      <c r="W59" s="226"/>
      <c r="X59" s="54"/>
      <c r="Y59" s="226">
        <v>0</v>
      </c>
      <c r="Z59" s="226">
        <v>0</v>
      </c>
      <c r="AA59" s="226">
        <v>0</v>
      </c>
      <c r="AB59" s="226"/>
      <c r="AC59" s="54"/>
      <c r="AD59" s="216">
        <f>O59-T59-Y59</f>
        <v>2371.6953381339326</v>
      </c>
      <c r="AE59" s="216">
        <f t="shared" ref="AE59:AE71" si="69">P59-U59-Z59</f>
        <v>3941.5484129879601</v>
      </c>
      <c r="AF59" s="216">
        <f t="shared" ref="AF59:AG71" si="70">Q59-V59-AA59</f>
        <v>3103.8466369347543</v>
      </c>
      <c r="AG59" s="216">
        <f t="shared" si="70"/>
        <v>0</v>
      </c>
      <c r="AH59" s="218"/>
      <c r="AI59" s="220">
        <f t="shared" si="65"/>
        <v>0.15935051532801392</v>
      </c>
      <c r="AJ59" s="220">
        <f t="shared" si="66"/>
        <v>0.14398591459615195</v>
      </c>
      <c r="AK59" s="220">
        <f t="shared" si="67"/>
        <v>0.14398591459615195</v>
      </c>
      <c r="AL59" s="9"/>
    </row>
    <row r="60" spans="1:38" s="13" customFormat="1" ht="12" customHeight="1" outlineLevel="2" x14ac:dyDescent="0.25">
      <c r="A60" s="43"/>
      <c r="B60" s="44"/>
      <c r="C60" s="47"/>
      <c r="D60" s="48"/>
      <c r="E60" s="40" t="s">
        <v>110</v>
      </c>
      <c r="F60" s="40"/>
      <c r="G60" s="11" t="s">
        <v>860</v>
      </c>
      <c r="H60" s="30"/>
      <c r="I60" s="30"/>
      <c r="J60" s="221">
        <f>-SUMIF('HRC1216'!$L$9:$L$191,G60,'HRC1216'!$K$9:$K$191)/1000</f>
        <v>4413.5800799999997</v>
      </c>
      <c r="K60" s="221">
        <f>-SUMIF('HRC1217'!$L$9:$L$191,G60,'HRC1217'!$K$9:$K$191)/1000</f>
        <v>10038.94989</v>
      </c>
      <c r="L60" s="221">
        <f>-SUMIF('HRC1218'!$L$9:$L$191,G60,'HRC1218'!$K$9:$K$191)/1000</f>
        <v>9031.8015500000001</v>
      </c>
      <c r="M60" s="221"/>
      <c r="N60" s="222"/>
      <c r="O60" s="223">
        <f>J60/O$7</f>
        <v>971.91871572966897</v>
      </c>
      <c r="P60" s="223">
        <f t="shared" si="62"/>
        <v>2154.4197888276071</v>
      </c>
      <c r="Q60" s="223">
        <f t="shared" si="62"/>
        <v>1936.53413452261</v>
      </c>
      <c r="R60" s="223">
        <f t="shared" si="62"/>
        <v>0</v>
      </c>
      <c r="S60" s="222"/>
      <c r="T60" s="224">
        <v>0</v>
      </c>
      <c r="U60" s="224">
        <v>0</v>
      </c>
      <c r="V60" s="224">
        <v>0</v>
      </c>
      <c r="W60" s="224"/>
      <c r="X60" s="222"/>
      <c r="Y60" s="224">
        <v>0</v>
      </c>
      <c r="Z60" s="224">
        <v>0</v>
      </c>
      <c r="AA60" s="224">
        <v>0</v>
      </c>
      <c r="AB60" s="224"/>
      <c r="AC60" s="222"/>
      <c r="AD60" s="223">
        <f t="shared" ref="AD60:AD71" si="71">O60-T60-Y60</f>
        <v>971.91871572966897</v>
      </c>
      <c r="AE60" s="223">
        <f t="shared" si="69"/>
        <v>2154.4197888276071</v>
      </c>
      <c r="AF60" s="223">
        <f t="shared" si="70"/>
        <v>1936.53413452261</v>
      </c>
      <c r="AG60" s="223">
        <f t="shared" si="70"/>
        <v>0</v>
      </c>
      <c r="AH60" s="225"/>
      <c r="AI60" s="220">
        <f t="shared" si="65"/>
        <v>0.43051260137914826</v>
      </c>
      <c r="AJ60" s="220">
        <f t="shared" si="66"/>
        <v>0.41155435305692345</v>
      </c>
      <c r="AK60" s="220">
        <f t="shared" si="67"/>
        <v>0.41155435305692345</v>
      </c>
      <c r="AL60" s="11"/>
    </row>
    <row r="61" spans="1:38" s="13" customFormat="1" ht="12" customHeight="1" outlineLevel="2" x14ac:dyDescent="0.25">
      <c r="A61" s="43"/>
      <c r="B61" s="44"/>
      <c r="C61" s="47"/>
      <c r="D61" s="48"/>
      <c r="E61" s="40" t="s">
        <v>43</v>
      </c>
      <c r="F61" s="40"/>
      <c r="G61" s="11" t="s">
        <v>843</v>
      </c>
      <c r="H61" s="30"/>
      <c r="I61" s="30"/>
      <c r="J61" s="221">
        <f>-SUMIF('HRC1216'!$L$9:$L$191,G61,'HRC1216'!$K$9:$K$191)/1000</f>
        <v>6095.0605600000008</v>
      </c>
      <c r="K61" s="221">
        <f>-SUMIF('HRC1217'!$L$9:$L$191,G61,'HRC1217'!$K$9:$K$191)/1000</f>
        <v>7856.7671899999996</v>
      </c>
      <c r="L61" s="221">
        <f>-SUMIF('HRC1218'!$L$9:$L$191,G61,'HRC1218'!$K$9:$K$191)/1000</f>
        <v>5141.08439</v>
      </c>
      <c r="M61" s="221"/>
      <c r="N61" s="222"/>
      <c r="O61" s="223">
        <f t="shared" si="62"/>
        <v>1342.1991499856865</v>
      </c>
      <c r="P61" s="223">
        <f t="shared" si="62"/>
        <v>1686.1100907783762</v>
      </c>
      <c r="Q61" s="223">
        <f t="shared" si="62"/>
        <v>1102.3144557130299</v>
      </c>
      <c r="R61" s="223">
        <f t="shared" si="62"/>
        <v>0</v>
      </c>
      <c r="S61" s="222"/>
      <c r="T61" s="224">
        <v>0</v>
      </c>
      <c r="U61" s="224">
        <v>0</v>
      </c>
      <c r="V61" s="224">
        <v>0</v>
      </c>
      <c r="W61" s="224"/>
      <c r="X61" s="222"/>
      <c r="Y61" s="224">
        <v>0</v>
      </c>
      <c r="Z61" s="224">
        <v>0</v>
      </c>
      <c r="AA61" s="224">
        <v>0</v>
      </c>
      <c r="AB61" s="224"/>
      <c r="AC61" s="222"/>
      <c r="AD61" s="223">
        <f t="shared" si="71"/>
        <v>1342.1991499856865</v>
      </c>
      <c r="AE61" s="223">
        <f t="shared" si="69"/>
        <v>1686.1100907783762</v>
      </c>
      <c r="AF61" s="223">
        <f t="shared" si="70"/>
        <v>1102.3144557130299</v>
      </c>
      <c r="AG61" s="223">
        <f t="shared" si="70"/>
        <v>0</v>
      </c>
      <c r="AH61" s="225"/>
      <c r="AI61" s="220">
        <f t="shared" si="65"/>
        <v>-8.1586299220541836E-2</v>
      </c>
      <c r="AJ61" s="220">
        <f t="shared" si="66"/>
        <v>-9.3757820803171743E-2</v>
      </c>
      <c r="AK61" s="220">
        <f t="shared" si="67"/>
        <v>-9.3757820803171743E-2</v>
      </c>
      <c r="AL61" s="11"/>
    </row>
    <row r="62" spans="1:38" s="13" customFormat="1" ht="12" customHeight="1" outlineLevel="3" x14ac:dyDescent="0.25">
      <c r="A62" s="43"/>
      <c r="B62" s="44"/>
      <c r="C62" s="47"/>
      <c r="D62" s="48"/>
      <c r="E62" s="40" t="s">
        <v>219</v>
      </c>
      <c r="F62" s="40"/>
      <c r="G62" s="11"/>
      <c r="H62" s="30"/>
      <c r="I62" s="30"/>
      <c r="J62" s="221"/>
      <c r="K62" s="221"/>
      <c r="L62" s="221"/>
      <c r="M62" s="221"/>
      <c r="N62" s="222"/>
      <c r="O62" s="223">
        <f t="shared" ref="O62:O66" si="72">J62/O$7</f>
        <v>0</v>
      </c>
      <c r="P62" s="223">
        <f t="shared" ref="P62:P66" si="73">K62/P$7</f>
        <v>0</v>
      </c>
      <c r="Q62" s="223">
        <f t="shared" ref="Q62:R66" si="74">L62/Q$7</f>
        <v>0</v>
      </c>
      <c r="R62" s="223">
        <f t="shared" si="74"/>
        <v>0</v>
      </c>
      <c r="S62" s="222"/>
      <c r="T62" s="224">
        <v>0</v>
      </c>
      <c r="U62" s="224">
        <v>0</v>
      </c>
      <c r="V62" s="224">
        <v>0</v>
      </c>
      <c r="W62" s="224"/>
      <c r="X62" s="222"/>
      <c r="Y62" s="224">
        <v>0</v>
      </c>
      <c r="Z62" s="224">
        <v>0</v>
      </c>
      <c r="AA62" s="224">
        <v>0</v>
      </c>
      <c r="AB62" s="224"/>
      <c r="AC62" s="222"/>
      <c r="AD62" s="223">
        <f t="shared" ref="AD62:AD66" si="75">O62-T62-Y62</f>
        <v>0</v>
      </c>
      <c r="AE62" s="223">
        <f t="shared" ref="AE62:AE66" si="76">P62-U62-Z62</f>
        <v>0</v>
      </c>
      <c r="AF62" s="223">
        <f t="shared" ref="AF62:AG66" si="77">Q62-V62-AA62</f>
        <v>0</v>
      </c>
      <c r="AG62" s="223">
        <f t="shared" si="77"/>
        <v>0</v>
      </c>
      <c r="AH62" s="225"/>
      <c r="AI62" s="220">
        <f t="shared" si="65"/>
        <v>0</v>
      </c>
      <c r="AJ62" s="220">
        <f t="shared" si="66"/>
        <v>0</v>
      </c>
      <c r="AK62" s="220">
        <f t="shared" si="67"/>
        <v>0</v>
      </c>
      <c r="AL62" s="11"/>
    </row>
    <row r="63" spans="1:38" s="13" customFormat="1" ht="12" customHeight="1" outlineLevel="3" x14ac:dyDescent="0.25">
      <c r="A63" s="43"/>
      <c r="B63" s="44"/>
      <c r="C63" s="47"/>
      <c r="D63" s="48"/>
      <c r="E63" s="40" t="s">
        <v>248</v>
      </c>
      <c r="F63" s="40"/>
      <c r="G63" s="11"/>
      <c r="H63" s="30"/>
      <c r="I63" s="30"/>
      <c r="J63" s="221"/>
      <c r="K63" s="221"/>
      <c r="L63" s="221"/>
      <c r="M63" s="221"/>
      <c r="N63" s="222"/>
      <c r="O63" s="223">
        <f t="shared" si="72"/>
        <v>0</v>
      </c>
      <c r="P63" s="223">
        <f t="shared" si="73"/>
        <v>0</v>
      </c>
      <c r="Q63" s="223">
        <f t="shared" si="74"/>
        <v>0</v>
      </c>
      <c r="R63" s="223">
        <f t="shared" si="74"/>
        <v>0</v>
      </c>
      <c r="S63" s="222"/>
      <c r="T63" s="224">
        <v>0</v>
      </c>
      <c r="U63" s="224">
        <v>0</v>
      </c>
      <c r="V63" s="224">
        <v>0</v>
      </c>
      <c r="W63" s="224"/>
      <c r="X63" s="222"/>
      <c r="Y63" s="224">
        <v>0</v>
      </c>
      <c r="Z63" s="224">
        <v>0</v>
      </c>
      <c r="AA63" s="224">
        <v>0</v>
      </c>
      <c r="AB63" s="224"/>
      <c r="AC63" s="222"/>
      <c r="AD63" s="223">
        <f t="shared" si="75"/>
        <v>0</v>
      </c>
      <c r="AE63" s="223">
        <f t="shared" si="76"/>
        <v>0</v>
      </c>
      <c r="AF63" s="223">
        <f t="shared" si="77"/>
        <v>0</v>
      </c>
      <c r="AG63" s="223">
        <f t="shared" si="77"/>
        <v>0</v>
      </c>
      <c r="AH63" s="225"/>
      <c r="AI63" s="220">
        <f t="shared" si="65"/>
        <v>0</v>
      </c>
      <c r="AJ63" s="220">
        <f t="shared" si="66"/>
        <v>0</v>
      </c>
      <c r="AK63" s="220">
        <f t="shared" si="67"/>
        <v>0</v>
      </c>
      <c r="AL63" s="11"/>
    </row>
    <row r="64" spans="1:38" s="13" customFormat="1" ht="12" customHeight="1" outlineLevel="3" x14ac:dyDescent="0.25">
      <c r="A64" s="43"/>
      <c r="B64" s="44"/>
      <c r="C64" s="47"/>
      <c r="D64" s="48"/>
      <c r="E64" s="40" t="s">
        <v>220</v>
      </c>
      <c r="F64" s="40"/>
      <c r="G64" s="11"/>
      <c r="H64" s="30"/>
      <c r="I64" s="30"/>
      <c r="J64" s="221"/>
      <c r="K64" s="221"/>
      <c r="L64" s="221"/>
      <c r="M64" s="221"/>
      <c r="N64" s="222"/>
      <c r="O64" s="223">
        <f t="shared" si="72"/>
        <v>0</v>
      </c>
      <c r="P64" s="223">
        <f t="shared" si="73"/>
        <v>0</v>
      </c>
      <c r="Q64" s="223">
        <f t="shared" si="74"/>
        <v>0</v>
      </c>
      <c r="R64" s="223">
        <f t="shared" si="74"/>
        <v>0</v>
      </c>
      <c r="S64" s="222"/>
      <c r="T64" s="224">
        <v>0</v>
      </c>
      <c r="U64" s="224">
        <v>0</v>
      </c>
      <c r="V64" s="224">
        <v>0</v>
      </c>
      <c r="W64" s="224"/>
      <c r="X64" s="222"/>
      <c r="Y64" s="224">
        <v>0</v>
      </c>
      <c r="Z64" s="224">
        <v>0</v>
      </c>
      <c r="AA64" s="224">
        <v>0</v>
      </c>
      <c r="AB64" s="224"/>
      <c r="AC64" s="222"/>
      <c r="AD64" s="223">
        <f t="shared" si="75"/>
        <v>0</v>
      </c>
      <c r="AE64" s="223">
        <f t="shared" si="76"/>
        <v>0</v>
      </c>
      <c r="AF64" s="223">
        <f t="shared" si="77"/>
        <v>0</v>
      </c>
      <c r="AG64" s="223">
        <f t="shared" si="77"/>
        <v>0</v>
      </c>
      <c r="AH64" s="225"/>
      <c r="AI64" s="220">
        <f t="shared" si="65"/>
        <v>0</v>
      </c>
      <c r="AJ64" s="220">
        <f t="shared" si="66"/>
        <v>0</v>
      </c>
      <c r="AK64" s="220">
        <f t="shared" si="67"/>
        <v>0</v>
      </c>
      <c r="AL64" s="11"/>
    </row>
    <row r="65" spans="1:38" s="13" customFormat="1" ht="12" customHeight="1" outlineLevel="3" x14ac:dyDescent="0.25">
      <c r="A65" s="43"/>
      <c r="B65" s="44"/>
      <c r="C65" s="47"/>
      <c r="D65" s="48"/>
      <c r="E65" s="40" t="s">
        <v>221</v>
      </c>
      <c r="F65" s="40"/>
      <c r="G65" s="11"/>
      <c r="H65" s="30"/>
      <c r="I65" s="30"/>
      <c r="J65" s="221"/>
      <c r="K65" s="221"/>
      <c r="L65" s="221"/>
      <c r="M65" s="221"/>
      <c r="N65" s="222"/>
      <c r="O65" s="223">
        <f t="shared" si="72"/>
        <v>0</v>
      </c>
      <c r="P65" s="223">
        <f t="shared" si="73"/>
        <v>0</v>
      </c>
      <c r="Q65" s="223">
        <f t="shared" si="74"/>
        <v>0</v>
      </c>
      <c r="R65" s="223">
        <f t="shared" si="74"/>
        <v>0</v>
      </c>
      <c r="S65" s="222"/>
      <c r="T65" s="224">
        <v>0</v>
      </c>
      <c r="U65" s="224">
        <v>0</v>
      </c>
      <c r="V65" s="224">
        <v>0</v>
      </c>
      <c r="W65" s="224"/>
      <c r="X65" s="222"/>
      <c r="Y65" s="224">
        <v>0</v>
      </c>
      <c r="Z65" s="224">
        <v>0</v>
      </c>
      <c r="AA65" s="224">
        <v>0</v>
      </c>
      <c r="AB65" s="224"/>
      <c r="AC65" s="222"/>
      <c r="AD65" s="223">
        <f t="shared" si="75"/>
        <v>0</v>
      </c>
      <c r="AE65" s="223">
        <f t="shared" si="76"/>
        <v>0</v>
      </c>
      <c r="AF65" s="223">
        <f t="shared" si="77"/>
        <v>0</v>
      </c>
      <c r="AG65" s="223">
        <f t="shared" si="77"/>
        <v>0</v>
      </c>
      <c r="AH65" s="225"/>
      <c r="AI65" s="220">
        <f t="shared" si="65"/>
        <v>0</v>
      </c>
      <c r="AJ65" s="220">
        <f t="shared" si="66"/>
        <v>0</v>
      </c>
      <c r="AK65" s="220">
        <f t="shared" si="67"/>
        <v>0</v>
      </c>
      <c r="AL65" s="11"/>
    </row>
    <row r="66" spans="1:38" s="13" customFormat="1" ht="12" customHeight="1" outlineLevel="2" x14ac:dyDescent="0.25">
      <c r="A66" s="43"/>
      <c r="B66" s="44"/>
      <c r="C66" s="47"/>
      <c r="D66" s="48"/>
      <c r="E66" s="40" t="s">
        <v>222</v>
      </c>
      <c r="F66" s="40"/>
      <c r="G66" s="11" t="s">
        <v>927</v>
      </c>
      <c r="H66" s="30"/>
      <c r="I66" s="30"/>
      <c r="J66" s="221">
        <f>-SUMIF('HRC1216'!$L$9:$L$191,G66,'HRC1216'!$K$9:$K$191)/1000</f>
        <v>140</v>
      </c>
      <c r="K66" s="221">
        <f>-SUMIF('HRC1217'!$L$9:$L$191,G66,'HRC1217'!$K$9:$K$191)/1000</f>
        <v>263.15199999999999</v>
      </c>
      <c r="L66" s="221">
        <f>-SUMIF('HRC1218'!$L$9:$L$191,G66,'HRC1218'!$K$9:$K$191)/1000</f>
        <v>155.67817000000002</v>
      </c>
      <c r="M66" s="221"/>
      <c r="N66" s="222"/>
      <c r="O66" s="223">
        <f t="shared" si="72"/>
        <v>30.829534694237079</v>
      </c>
      <c r="P66" s="223">
        <f t="shared" si="73"/>
        <v>56.474021932742446</v>
      </c>
      <c r="Q66" s="223">
        <f t="shared" si="74"/>
        <v>33.379397071120742</v>
      </c>
      <c r="R66" s="223">
        <f t="shared" si="74"/>
        <v>0</v>
      </c>
      <c r="S66" s="222"/>
      <c r="T66" s="224">
        <v>0</v>
      </c>
      <c r="U66" s="224">
        <v>0</v>
      </c>
      <c r="V66" s="224">
        <v>0</v>
      </c>
      <c r="W66" s="224"/>
      <c r="X66" s="222"/>
      <c r="Y66" s="224">
        <v>0</v>
      </c>
      <c r="Z66" s="224">
        <v>0</v>
      </c>
      <c r="AA66" s="224">
        <v>0</v>
      </c>
      <c r="AB66" s="224"/>
      <c r="AC66" s="222"/>
      <c r="AD66" s="223">
        <f t="shared" si="75"/>
        <v>30.829534694237079</v>
      </c>
      <c r="AE66" s="223">
        <f t="shared" si="76"/>
        <v>56.474021932742446</v>
      </c>
      <c r="AF66" s="223">
        <f t="shared" si="77"/>
        <v>33.379397071120742</v>
      </c>
      <c r="AG66" s="223">
        <f t="shared" si="77"/>
        <v>0</v>
      </c>
      <c r="AH66" s="225"/>
      <c r="AI66" s="220">
        <f t="shared" si="65"/>
        <v>5.4507908254570081E-2</v>
      </c>
      <c r="AJ66" s="220">
        <f t="shared" si="66"/>
        <v>4.0532762028548497E-2</v>
      </c>
      <c r="AK66" s="220">
        <f t="shared" si="67"/>
        <v>4.0532762028548497E-2</v>
      </c>
      <c r="AL66" s="11"/>
    </row>
    <row r="67" spans="1:38" s="13" customFormat="1" ht="12" customHeight="1" outlineLevel="2" x14ac:dyDescent="0.25">
      <c r="A67" s="43"/>
      <c r="B67" s="44"/>
      <c r="C67" s="47"/>
      <c r="D67" s="48"/>
      <c r="E67" s="40" t="s">
        <v>42</v>
      </c>
      <c r="F67" s="40"/>
      <c r="G67" s="11" t="s">
        <v>863</v>
      </c>
      <c r="H67" s="30"/>
      <c r="I67" s="30"/>
      <c r="J67" s="221">
        <f>-SUMIF('HRC1216'!$L$9:$L$191,G67,'HRC1216'!$K$9:$K$191)/1000</f>
        <v>121.46505999999999</v>
      </c>
      <c r="K67" s="221">
        <f>-SUMIF('HRC1217'!$L$9:$L$191,G67,'HRC1217'!$K$9:$K$191)/1000</f>
        <v>207.56405999999998</v>
      </c>
      <c r="L67" s="221">
        <f>-SUMIF('HRC1218'!$L$9:$L$191,G67,'HRC1218'!$K$9:$K$191)/1000</f>
        <v>147.46621999999996</v>
      </c>
      <c r="M67" s="221"/>
      <c r="N67" s="222"/>
      <c r="O67" s="223">
        <f t="shared" ref="O67:R71" si="78">J67/O$7</f>
        <v>26.747937724339916</v>
      </c>
      <c r="P67" s="223">
        <f t="shared" si="78"/>
        <v>44.544511449234925</v>
      </c>
      <c r="Q67" s="223">
        <f t="shared" si="78"/>
        <v>31.618649627993733</v>
      </c>
      <c r="R67" s="223">
        <f t="shared" si="78"/>
        <v>0</v>
      </c>
      <c r="S67" s="222"/>
      <c r="T67" s="224">
        <v>0</v>
      </c>
      <c r="U67" s="224">
        <v>0</v>
      </c>
      <c r="V67" s="224">
        <v>0</v>
      </c>
      <c r="W67" s="224"/>
      <c r="X67" s="222"/>
      <c r="Y67" s="224">
        <v>0</v>
      </c>
      <c r="Z67" s="224">
        <v>0</v>
      </c>
      <c r="AA67" s="224">
        <v>0</v>
      </c>
      <c r="AB67" s="224"/>
      <c r="AC67" s="222"/>
      <c r="AD67" s="223">
        <f t="shared" si="71"/>
        <v>26.747937724339916</v>
      </c>
      <c r="AE67" s="223">
        <f t="shared" si="69"/>
        <v>44.544511449234925</v>
      </c>
      <c r="AF67" s="223">
        <f t="shared" si="70"/>
        <v>31.618649627993733</v>
      </c>
      <c r="AG67" s="223">
        <f t="shared" si="70"/>
        <v>0</v>
      </c>
      <c r="AH67" s="225"/>
      <c r="AI67" s="220">
        <f t="shared" si="65"/>
        <v>0.1018452138867536</v>
      </c>
      <c r="AJ67" s="220">
        <f t="shared" si="66"/>
        <v>8.7242717440807693E-2</v>
      </c>
      <c r="AK67" s="220">
        <f t="shared" si="67"/>
        <v>8.7242717440807693E-2</v>
      </c>
      <c r="AL67" s="11"/>
    </row>
    <row r="68" spans="1:38" s="13" customFormat="1" ht="12" customHeight="1" outlineLevel="2" x14ac:dyDescent="0.25">
      <c r="A68" s="43"/>
      <c r="B68" s="44"/>
      <c r="C68" s="47"/>
      <c r="D68" s="39" t="s">
        <v>1192</v>
      </c>
      <c r="E68" s="40"/>
      <c r="F68" s="40"/>
      <c r="G68" s="11" t="s">
        <v>932</v>
      </c>
      <c r="H68" s="30"/>
      <c r="I68" s="30"/>
      <c r="J68" s="216">
        <f>-SUMIF('HRC1216'!$L$9:$L$191,G68,'HRC1216'!$K$9:$K$191)/1000</f>
        <v>50.45626</v>
      </c>
      <c r="K68" s="216">
        <f>-SUMIF('HRC1217'!$L$9:$L$191,G68,'HRC1217'!$K$9:$K$191)/1000</f>
        <v>948.71100000000001</v>
      </c>
      <c r="L68" s="216">
        <f>-SUMIF('HRC1218'!$L$9:$L$191,G68,'HRC1218'!$K$9:$K$191)/1000</f>
        <v>0.01</v>
      </c>
      <c r="M68" s="216"/>
      <c r="N68" s="222"/>
      <c r="O68" s="216">
        <f t="shared" ref="O68" si="79">J68/O$7</f>
        <v>11.111021558653189</v>
      </c>
      <c r="P68" s="216">
        <f t="shared" ref="P68" si="80">K68/P$7</f>
        <v>203.59915874412516</v>
      </c>
      <c r="Q68" s="216">
        <f t="shared" ref="Q68" si="81">L68/Q$7</f>
        <v>2.1441283046377494E-3</v>
      </c>
      <c r="R68" s="216">
        <f t="shared" ref="R68" si="82">M68/R$7</f>
        <v>0</v>
      </c>
      <c r="S68" s="222"/>
      <c r="T68" s="224"/>
      <c r="U68" s="224"/>
      <c r="V68" s="224"/>
      <c r="W68" s="224"/>
      <c r="X68" s="222"/>
      <c r="Y68" s="224"/>
      <c r="Z68" s="224"/>
      <c r="AA68" s="224"/>
      <c r="AB68" s="224"/>
      <c r="AC68" s="222"/>
      <c r="AD68" s="223">
        <f t="shared" ref="AD68" si="83">O68-T68-Y68</f>
        <v>11.111021558653189</v>
      </c>
      <c r="AE68" s="223">
        <f t="shared" ref="AE68" si="84">P68-U68-Z68</f>
        <v>203.59915874412516</v>
      </c>
      <c r="AF68" s="223">
        <f t="shared" ref="AF68" si="85">Q68-V68-AA68</f>
        <v>2.1441283046377494E-3</v>
      </c>
      <c r="AG68" s="223">
        <f t="shared" ref="AG68" si="86">R68-W68-AB68</f>
        <v>0</v>
      </c>
      <c r="AH68" s="225"/>
      <c r="AI68" s="220"/>
      <c r="AJ68" s="220"/>
      <c r="AK68" s="220"/>
      <c r="AL68" s="11"/>
    </row>
    <row r="69" spans="1:38" s="6" customFormat="1" ht="12" customHeight="1" x14ac:dyDescent="0.25">
      <c r="A69" s="9"/>
      <c r="B69" s="25"/>
      <c r="C69" s="39"/>
      <c r="D69" s="9" t="s">
        <v>111</v>
      </c>
      <c r="E69" s="9"/>
      <c r="F69" s="27"/>
      <c r="G69" s="9"/>
      <c r="H69" s="35"/>
      <c r="I69" s="34"/>
      <c r="J69" s="216">
        <f>SUM(J70:J71)</f>
        <v>43.495890000000003</v>
      </c>
      <c r="K69" s="216">
        <f>SUM(K70:K71)</f>
        <v>24.388060000000003</v>
      </c>
      <c r="L69" s="216">
        <f>SUM(L70:L71)</f>
        <v>14.93577</v>
      </c>
      <c r="M69" s="216">
        <f>SUM(M70:M71)</f>
        <v>0</v>
      </c>
      <c r="N69" s="54"/>
      <c r="O69" s="216">
        <f t="shared" si="78"/>
        <v>9.5782717843694254</v>
      </c>
      <c r="P69" s="216">
        <f t="shared" si="78"/>
        <v>5.2338262119878971</v>
      </c>
      <c r="Q69" s="216">
        <f t="shared" si="78"/>
        <v>3.2024207208559359</v>
      </c>
      <c r="R69" s="216">
        <f t="shared" si="78"/>
        <v>0</v>
      </c>
      <c r="S69" s="54"/>
      <c r="T69" s="226">
        <v>0</v>
      </c>
      <c r="U69" s="226">
        <v>0</v>
      </c>
      <c r="V69" s="226">
        <v>0</v>
      </c>
      <c r="W69" s="226"/>
      <c r="X69" s="54"/>
      <c r="Y69" s="226">
        <v>0</v>
      </c>
      <c r="Z69" s="226">
        <v>0</v>
      </c>
      <c r="AA69" s="226">
        <v>0</v>
      </c>
      <c r="AB69" s="226"/>
      <c r="AC69" s="54"/>
      <c r="AD69" s="223">
        <f t="shared" si="71"/>
        <v>9.5782717843694254</v>
      </c>
      <c r="AE69" s="223">
        <f t="shared" si="69"/>
        <v>5.2338262119878971</v>
      </c>
      <c r="AF69" s="223">
        <f t="shared" si="70"/>
        <v>3.2024207208559359</v>
      </c>
      <c r="AG69" s="223">
        <f t="shared" si="70"/>
        <v>0</v>
      </c>
      <c r="AH69" s="218"/>
      <c r="AI69" s="220">
        <f t="shared" si="65"/>
        <v>-0.41401068414086828</v>
      </c>
      <c r="AJ69" s="220">
        <f t="shared" si="66"/>
        <v>-0.42177666324061025</v>
      </c>
      <c r="AK69" s="220">
        <f t="shared" si="67"/>
        <v>-0.42177666324061025</v>
      </c>
      <c r="AL69" s="9"/>
    </row>
    <row r="70" spans="1:38" s="13" customFormat="1" ht="12" customHeight="1" outlineLevel="2" x14ac:dyDescent="0.25">
      <c r="A70" s="43"/>
      <c r="B70" s="56"/>
      <c r="C70" s="40"/>
      <c r="D70" s="43"/>
      <c r="E70" s="40" t="s">
        <v>282</v>
      </c>
      <c r="F70" s="40"/>
      <c r="G70" s="11" t="s">
        <v>941</v>
      </c>
      <c r="H70" s="30"/>
      <c r="I70" s="30"/>
      <c r="J70" s="221">
        <f>-SUMIF('HRC1216'!$L$9:$L$191,G70,'HRC1216'!$K$9:$K$191)/1000</f>
        <v>43.495890000000003</v>
      </c>
      <c r="K70" s="221">
        <f>-SUMIF('HRC1217'!$L$9:$L$191,G70,'HRC1217'!$K$9:$K$191)/1000</f>
        <v>24.388060000000003</v>
      </c>
      <c r="L70" s="221">
        <f>-SUMIF('HRC1218'!$L$9:$L$191,G70,'HRC1218'!$K$9:$K$191)/1000</f>
        <v>14.93577</v>
      </c>
      <c r="M70" s="221"/>
      <c r="N70" s="222"/>
      <c r="O70" s="223">
        <f t="shared" si="78"/>
        <v>9.5782717843694254</v>
      </c>
      <c r="P70" s="223">
        <f t="shared" si="78"/>
        <v>5.2338262119878971</v>
      </c>
      <c r="Q70" s="223">
        <f t="shared" si="78"/>
        <v>3.2024207208559359</v>
      </c>
      <c r="R70" s="223">
        <f t="shared" si="78"/>
        <v>0</v>
      </c>
      <c r="S70" s="222"/>
      <c r="T70" s="224">
        <v>0</v>
      </c>
      <c r="U70" s="224">
        <v>0</v>
      </c>
      <c r="V70" s="224">
        <v>0</v>
      </c>
      <c r="W70" s="224"/>
      <c r="X70" s="222"/>
      <c r="Y70" s="224">
        <v>0</v>
      </c>
      <c r="Z70" s="224">
        <v>0</v>
      </c>
      <c r="AA70" s="224">
        <v>0</v>
      </c>
      <c r="AB70" s="224"/>
      <c r="AC70" s="222"/>
      <c r="AD70" s="223">
        <f t="shared" si="71"/>
        <v>9.5782717843694254</v>
      </c>
      <c r="AE70" s="223">
        <f t="shared" si="69"/>
        <v>5.2338262119878971</v>
      </c>
      <c r="AF70" s="223">
        <f t="shared" si="70"/>
        <v>3.2024207208559359</v>
      </c>
      <c r="AG70" s="223">
        <f t="shared" si="70"/>
        <v>0</v>
      </c>
      <c r="AH70" s="225"/>
      <c r="AI70" s="220">
        <f t="shared" si="65"/>
        <v>-0.41401068414086828</v>
      </c>
      <c r="AJ70" s="220">
        <f t="shared" si="66"/>
        <v>-0.42177666324061025</v>
      </c>
      <c r="AK70" s="220">
        <f t="shared" si="67"/>
        <v>-0.42177666324061025</v>
      </c>
      <c r="AL70" s="11"/>
    </row>
    <row r="71" spans="1:38" s="13" customFormat="1" ht="12" customHeight="1" outlineLevel="2" x14ac:dyDescent="0.25">
      <c r="A71" s="43"/>
      <c r="B71" s="56"/>
      <c r="C71" s="40"/>
      <c r="D71" s="43"/>
      <c r="E71" s="40" t="s">
        <v>114</v>
      </c>
      <c r="F71" s="40"/>
      <c r="G71" s="11"/>
      <c r="H71" s="30"/>
      <c r="I71" s="30"/>
      <c r="J71" s="221"/>
      <c r="K71" s="221"/>
      <c r="L71" s="221"/>
      <c r="M71" s="221"/>
      <c r="N71" s="222"/>
      <c r="O71" s="223">
        <f t="shared" si="78"/>
        <v>0</v>
      </c>
      <c r="P71" s="223">
        <f t="shared" si="78"/>
        <v>0</v>
      </c>
      <c r="Q71" s="223">
        <f t="shared" si="78"/>
        <v>0</v>
      </c>
      <c r="R71" s="223">
        <f t="shared" si="78"/>
        <v>0</v>
      </c>
      <c r="S71" s="222"/>
      <c r="T71" s="224">
        <v>0</v>
      </c>
      <c r="U71" s="224">
        <v>0</v>
      </c>
      <c r="V71" s="224">
        <v>0</v>
      </c>
      <c r="W71" s="224"/>
      <c r="X71" s="222"/>
      <c r="Y71" s="224">
        <v>0</v>
      </c>
      <c r="Z71" s="224">
        <v>0</v>
      </c>
      <c r="AA71" s="224">
        <v>0</v>
      </c>
      <c r="AB71" s="224"/>
      <c r="AC71" s="222"/>
      <c r="AD71" s="223">
        <f t="shared" si="71"/>
        <v>0</v>
      </c>
      <c r="AE71" s="223">
        <f t="shared" si="69"/>
        <v>0</v>
      </c>
      <c r="AF71" s="223">
        <f t="shared" si="70"/>
        <v>0</v>
      </c>
      <c r="AG71" s="223">
        <f t="shared" si="70"/>
        <v>0</v>
      </c>
      <c r="AH71" s="225"/>
      <c r="AI71" s="220">
        <f t="shared" si="65"/>
        <v>0</v>
      </c>
      <c r="AJ71" s="220">
        <f t="shared" si="66"/>
        <v>0</v>
      </c>
      <c r="AK71" s="220">
        <f t="shared" si="67"/>
        <v>0</v>
      </c>
      <c r="AL71" s="11"/>
    </row>
    <row r="72" spans="1:38" ht="12" customHeight="1" x14ac:dyDescent="0.25">
      <c r="B72" s="32"/>
      <c r="C72" s="49" t="str">
        <f>"Total "&amp;LOWER(C53)</f>
        <v>Total short term liabilities</v>
      </c>
      <c r="D72" s="50"/>
      <c r="E72" s="50"/>
      <c r="F72" s="50"/>
      <c r="G72" s="50"/>
      <c r="H72" s="51"/>
      <c r="I72" s="52"/>
      <c r="J72" s="227">
        <f>J54+J58+J59+J69+J68</f>
        <v>10864.057850000003</v>
      </c>
      <c r="K72" s="227">
        <f t="shared" ref="K72:L72" si="87">K54+K58+K59+K69+K68</f>
        <v>22476.519179999999</v>
      </c>
      <c r="L72" s="227">
        <f t="shared" si="87"/>
        <v>17076.360929999999</v>
      </c>
      <c r="M72" s="227">
        <f>M54+M58+M59+M69+M68</f>
        <v>0</v>
      </c>
      <c r="N72" s="108"/>
      <c r="O72" s="227">
        <f t="shared" ref="O72:R72" si="88">O54+O58+O59+O69+O68</f>
        <v>2392.3846314769553</v>
      </c>
      <c r="P72" s="227">
        <f t="shared" si="88"/>
        <v>4823.597909736678</v>
      </c>
      <c r="Q72" s="227">
        <f t="shared" si="88"/>
        <v>3661.3908810223206</v>
      </c>
      <c r="R72" s="227">
        <f t="shared" si="88"/>
        <v>0</v>
      </c>
      <c r="S72" s="108"/>
      <c r="T72" s="229">
        <f>T54+T58+T59+T69</f>
        <v>0</v>
      </c>
      <c r="U72" s="227">
        <f>U54+U58+U59+U69</f>
        <v>0</v>
      </c>
      <c r="V72" s="227">
        <f>V54+V58+V59+V69</f>
        <v>0</v>
      </c>
      <c r="W72" s="433"/>
      <c r="X72" s="108"/>
      <c r="Y72" s="229">
        <f>Y54+Y58+Y59+Y69</f>
        <v>0</v>
      </c>
      <c r="Z72" s="227">
        <f>Z54+Z58+Z59+Z69</f>
        <v>0</v>
      </c>
      <c r="AA72" s="227">
        <f>AA54+AA58+AA59+AA69</f>
        <v>0</v>
      </c>
      <c r="AB72" s="433"/>
      <c r="AC72" s="108"/>
      <c r="AD72" s="227">
        <f t="shared" ref="AD72:AG72" si="89">AD54+AD58+AD59+AD69+AD68</f>
        <v>2392.3846314769553</v>
      </c>
      <c r="AE72" s="227">
        <f t="shared" si="89"/>
        <v>4823.597909736678</v>
      </c>
      <c r="AF72" s="227">
        <f t="shared" si="89"/>
        <v>3661.3908810223206</v>
      </c>
      <c r="AG72" s="227">
        <f t="shared" si="89"/>
        <v>0</v>
      </c>
      <c r="AH72" s="118"/>
      <c r="AI72" s="220">
        <f t="shared" si="65"/>
        <v>0.25372310047980817</v>
      </c>
      <c r="AJ72" s="220">
        <f t="shared" si="66"/>
        <v>0.23710780198939929</v>
      </c>
      <c r="AK72" s="220">
        <f t="shared" si="67"/>
        <v>0.23710780198939929</v>
      </c>
    </row>
    <row r="73" spans="1:38" ht="12" customHeight="1" x14ac:dyDescent="0.25">
      <c r="B73" s="25">
        <f ca="1">MAX($A$1:B72)+0.1</f>
        <v>1.5000000000000004</v>
      </c>
      <c r="C73" s="26" t="s">
        <v>67</v>
      </c>
      <c r="E73" s="27"/>
      <c r="F73" s="28"/>
      <c r="G73" s="29"/>
      <c r="H73" s="35"/>
      <c r="I73" s="34"/>
      <c r="J73" s="108"/>
      <c r="K73" s="108"/>
      <c r="L73" s="108"/>
      <c r="M73" s="108"/>
      <c r="N73" s="54"/>
      <c r="O73" s="108"/>
      <c r="P73" s="108"/>
      <c r="Q73" s="108"/>
      <c r="R73" s="108"/>
      <c r="S73" s="108"/>
      <c r="T73" s="108"/>
      <c r="U73" s="108"/>
      <c r="V73" s="108"/>
      <c r="W73" s="108"/>
      <c r="X73" s="108"/>
      <c r="Y73" s="108"/>
      <c r="Z73" s="108"/>
      <c r="AA73" s="108"/>
      <c r="AB73" s="108"/>
      <c r="AC73" s="108"/>
      <c r="AD73" s="108"/>
      <c r="AE73" s="108"/>
      <c r="AF73" s="108"/>
      <c r="AG73" s="108"/>
      <c r="AH73" s="118"/>
      <c r="AI73" s="219"/>
      <c r="AJ73" s="219"/>
      <c r="AK73" s="219"/>
    </row>
    <row r="74" spans="1:38" ht="12" customHeight="1" x14ac:dyDescent="0.25">
      <c r="B74" s="25"/>
      <c r="C74" s="26"/>
      <c r="D74" s="9" t="s">
        <v>231</v>
      </c>
      <c r="E74" s="27"/>
      <c r="F74" s="28"/>
      <c r="H74" s="34"/>
      <c r="I74" s="34"/>
      <c r="J74" s="36">
        <f>-SUMIF('HRC1216'!$L$9:$L$191,G74,'HRC1216'!$K$9:$K$191)/1000</f>
        <v>0</v>
      </c>
      <c r="K74" s="36">
        <f>-SUMIF('HRC1217'!$L$9:$L$191,G74,'HRC1217'!$K$9:$K$191)/1000</f>
        <v>0</v>
      </c>
      <c r="L74" s="36">
        <f>-SUMIF('HRC1218'!$L$9:$L$191,G74,'HRC1218'!$K$9:$K$191)/1000</f>
        <v>0</v>
      </c>
      <c r="M74" s="36"/>
      <c r="N74" s="108"/>
      <c r="O74" s="117">
        <f t="shared" ref="O74:R78" si="90">J74/O$7</f>
        <v>0</v>
      </c>
      <c r="P74" s="117">
        <f t="shared" si="90"/>
        <v>0</v>
      </c>
      <c r="Q74" s="117">
        <f t="shared" si="90"/>
        <v>0</v>
      </c>
      <c r="R74" s="117">
        <f t="shared" si="90"/>
        <v>0</v>
      </c>
      <c r="S74" s="108"/>
      <c r="T74" s="233">
        <v>0</v>
      </c>
      <c r="U74" s="233">
        <v>0</v>
      </c>
      <c r="V74" s="233">
        <v>0</v>
      </c>
      <c r="W74" s="233"/>
      <c r="X74" s="108"/>
      <c r="Y74" s="233">
        <v>0</v>
      </c>
      <c r="Z74" s="233">
        <v>0</v>
      </c>
      <c r="AA74" s="233">
        <v>0</v>
      </c>
      <c r="AB74" s="233"/>
      <c r="AC74" s="108"/>
      <c r="AD74" s="223">
        <f t="shared" ref="AD74:AD78" si="91">O74-T74-Y74</f>
        <v>0</v>
      </c>
      <c r="AE74" s="223">
        <f t="shared" ref="AE74:AE78" si="92">P74-U74-Z74</f>
        <v>0</v>
      </c>
      <c r="AF74" s="223">
        <f t="shared" ref="AF74:AG78" si="93">Q74-V74-AA74</f>
        <v>0</v>
      </c>
      <c r="AG74" s="223">
        <f t="shared" si="93"/>
        <v>0</v>
      </c>
      <c r="AH74" s="118"/>
      <c r="AI74" s="290">
        <f t="shared" ref="AI74:AI81" si="94">IF(ISERROR((($L74/$J74)^(1/($L$3-$J$3))-1)),0,(($L74/$J74)^(1/($L$3-$J$3))-1))</f>
        <v>0</v>
      </c>
      <c r="AJ74" s="290">
        <f t="shared" ref="AJ74:AJ81" si="95">IF(ISERROR((($Q74/$O74)^(1/($Q$3-$O$3))-1)),0,(($Q74/$O74)^(1/($Q$3-$O$3))-1))</f>
        <v>0</v>
      </c>
      <c r="AK74" s="290">
        <f t="shared" ref="AK74:AK81" si="96">IF(ISERROR((($AF74/$AD74)^(1/($AF$3-$AD$3))-1)),0,(($AF74/$AD74)^(1/($AF$3-$AD$3))-1))</f>
        <v>0</v>
      </c>
    </row>
    <row r="75" spans="1:38" ht="12" customHeight="1" x14ac:dyDescent="0.25">
      <c r="B75" s="25"/>
      <c r="C75" s="26"/>
      <c r="D75" s="9" t="s">
        <v>156</v>
      </c>
      <c r="E75" s="27"/>
      <c r="F75" s="28"/>
      <c r="G75" s="434" t="s">
        <v>775</v>
      </c>
      <c r="H75" s="29"/>
      <c r="I75" s="29"/>
      <c r="J75" s="36">
        <f>-SUMIF('HRC1216'!$L$9:$L$191,G75,'HRC1216'!$K$9:$K$191)/1000</f>
        <v>266.05907999999999</v>
      </c>
      <c r="K75" s="36">
        <f>-SUMIF('HRC1217'!$L$9:$L$191,G75,'HRC1217'!$K$9:$K$191)/1000</f>
        <v>97.498790000000014</v>
      </c>
      <c r="L75" s="36">
        <f>-SUMIF('HRC1218'!$L$9:$L$191,G75,'HRC1218'!$K$9:$K$191)/1000</f>
        <v>84.957669999999993</v>
      </c>
      <c r="M75" s="36"/>
      <c r="N75" s="108"/>
      <c r="O75" s="117">
        <f t="shared" si="90"/>
        <v>58.589125982691414</v>
      </c>
      <c r="P75" s="117">
        <f t="shared" si="90"/>
        <v>20.923834152413249</v>
      </c>
      <c r="Q75" s="117">
        <f t="shared" si="90"/>
        <v>18.216014494307338</v>
      </c>
      <c r="R75" s="117">
        <f t="shared" si="90"/>
        <v>0</v>
      </c>
      <c r="S75" s="108"/>
      <c r="T75" s="233">
        <v>0</v>
      </c>
      <c r="U75" s="233">
        <v>0</v>
      </c>
      <c r="V75" s="233">
        <v>0</v>
      </c>
      <c r="W75" s="233"/>
      <c r="X75" s="108"/>
      <c r="Y75" s="233">
        <v>0</v>
      </c>
      <c r="Z75" s="233">
        <v>0</v>
      </c>
      <c r="AA75" s="233">
        <v>0</v>
      </c>
      <c r="AB75" s="233"/>
      <c r="AC75" s="108"/>
      <c r="AD75" s="223">
        <f t="shared" si="91"/>
        <v>58.589125982691414</v>
      </c>
      <c r="AE75" s="223">
        <f t="shared" si="92"/>
        <v>20.923834152413249</v>
      </c>
      <c r="AF75" s="223">
        <f t="shared" si="93"/>
        <v>18.216014494307338</v>
      </c>
      <c r="AG75" s="223">
        <f t="shared" si="93"/>
        <v>0</v>
      </c>
      <c r="AH75" s="118"/>
      <c r="AI75" s="290">
        <f t="shared" si="94"/>
        <v>-0.43491698445910631</v>
      </c>
      <c r="AJ75" s="290">
        <f t="shared" si="95"/>
        <v>-0.44240589725929247</v>
      </c>
      <c r="AK75" s="290">
        <f t="shared" si="96"/>
        <v>-0.44240589725929247</v>
      </c>
    </row>
    <row r="76" spans="1:38" ht="12" customHeight="1" x14ac:dyDescent="0.25">
      <c r="B76" s="25"/>
      <c r="C76" s="27"/>
      <c r="D76" s="9" t="s">
        <v>119</v>
      </c>
      <c r="E76" s="27"/>
      <c r="F76" s="58"/>
      <c r="H76" s="29"/>
      <c r="I76" s="29"/>
      <c r="J76" s="36">
        <f>-SUMIF('HRC1216'!$L$9:$L$191,G76,'HRC1216'!$K$9:$K$191)/1000</f>
        <v>0</v>
      </c>
      <c r="K76" s="36">
        <f>-SUMIF('HRC1217'!$L$9:$L$191,G76,'HRC1217'!$K$9:$K$191)/1000</f>
        <v>0</v>
      </c>
      <c r="L76" s="36">
        <f>-SUMIF('HRC1218'!$L$9:$L$191,G76,'HRC1218'!$K$9:$K$191)/1000</f>
        <v>0</v>
      </c>
      <c r="M76" s="36"/>
      <c r="N76" s="108"/>
      <c r="O76" s="117">
        <f t="shared" si="90"/>
        <v>0</v>
      </c>
      <c r="P76" s="117">
        <f t="shared" si="90"/>
        <v>0</v>
      </c>
      <c r="Q76" s="117">
        <f t="shared" si="90"/>
        <v>0</v>
      </c>
      <c r="R76" s="117">
        <f t="shared" si="90"/>
        <v>0</v>
      </c>
      <c r="S76" s="108"/>
      <c r="T76" s="233">
        <v>0</v>
      </c>
      <c r="U76" s="233">
        <v>0</v>
      </c>
      <c r="V76" s="233">
        <v>0</v>
      </c>
      <c r="W76" s="233"/>
      <c r="X76" s="108"/>
      <c r="Y76" s="233">
        <v>0</v>
      </c>
      <c r="Z76" s="233">
        <v>0</v>
      </c>
      <c r="AA76" s="233">
        <v>0</v>
      </c>
      <c r="AB76" s="233"/>
      <c r="AC76" s="108"/>
      <c r="AD76" s="223">
        <f t="shared" si="91"/>
        <v>0</v>
      </c>
      <c r="AE76" s="223">
        <f t="shared" si="92"/>
        <v>0</v>
      </c>
      <c r="AF76" s="223">
        <f t="shared" si="93"/>
        <v>0</v>
      </c>
      <c r="AG76" s="223">
        <f t="shared" si="93"/>
        <v>0</v>
      </c>
      <c r="AH76" s="118"/>
      <c r="AI76" s="290">
        <f t="shared" si="94"/>
        <v>0</v>
      </c>
      <c r="AJ76" s="290">
        <f t="shared" si="95"/>
        <v>0</v>
      </c>
      <c r="AK76" s="290">
        <f t="shared" si="96"/>
        <v>0</v>
      </c>
    </row>
    <row r="77" spans="1:38" ht="12" customHeight="1" x14ac:dyDescent="0.25">
      <c r="B77" s="25"/>
      <c r="C77" s="28"/>
      <c r="D77" s="9" t="s">
        <v>111</v>
      </c>
      <c r="E77" s="28"/>
      <c r="F77" s="28"/>
      <c r="H77" s="29"/>
      <c r="I77" s="29"/>
      <c r="J77" s="36">
        <f>-SUMIF('HRC1216'!$L$9:$L$191,G77,'HRC1216'!$K$9:$K$191)/1000</f>
        <v>0</v>
      </c>
      <c r="K77" s="36">
        <f>-SUMIF('HRC1217'!$L$9:$L$191,G77,'HRC1217'!$K$9:$K$191)/1000</f>
        <v>0</v>
      </c>
      <c r="L77" s="36">
        <f>-SUMIF('HRC1218'!$L$9:$L$191,G77,'HRC1218'!$K$9:$K$191)/1000</f>
        <v>0</v>
      </c>
      <c r="M77" s="36"/>
      <c r="N77" s="108"/>
      <c r="O77" s="117">
        <f t="shared" si="90"/>
        <v>0</v>
      </c>
      <c r="P77" s="117">
        <f t="shared" si="90"/>
        <v>0</v>
      </c>
      <c r="Q77" s="117">
        <f t="shared" si="90"/>
        <v>0</v>
      </c>
      <c r="R77" s="117">
        <f t="shared" si="90"/>
        <v>0</v>
      </c>
      <c r="S77" s="108"/>
      <c r="T77" s="233">
        <v>0</v>
      </c>
      <c r="U77" s="233">
        <v>0</v>
      </c>
      <c r="V77" s="233">
        <v>0</v>
      </c>
      <c r="W77" s="233"/>
      <c r="X77" s="108"/>
      <c r="Y77" s="233">
        <v>0</v>
      </c>
      <c r="Z77" s="233">
        <v>0</v>
      </c>
      <c r="AA77" s="233">
        <v>0</v>
      </c>
      <c r="AB77" s="233"/>
      <c r="AC77" s="108"/>
      <c r="AD77" s="223">
        <f t="shared" si="91"/>
        <v>0</v>
      </c>
      <c r="AE77" s="223">
        <f t="shared" si="92"/>
        <v>0</v>
      </c>
      <c r="AF77" s="223">
        <f t="shared" si="93"/>
        <v>0</v>
      </c>
      <c r="AG77" s="223">
        <f t="shared" si="93"/>
        <v>0</v>
      </c>
      <c r="AH77" s="118"/>
      <c r="AI77" s="290">
        <f t="shared" si="94"/>
        <v>0</v>
      </c>
      <c r="AJ77" s="290">
        <f t="shared" si="95"/>
        <v>0</v>
      </c>
      <c r="AK77" s="290">
        <f t="shared" si="96"/>
        <v>0</v>
      </c>
    </row>
    <row r="78" spans="1:38" ht="12" customHeight="1" x14ac:dyDescent="0.25">
      <c r="B78" s="25"/>
      <c r="C78" s="27"/>
      <c r="D78" s="9" t="s">
        <v>66</v>
      </c>
      <c r="E78" s="27"/>
      <c r="F78" s="58"/>
      <c r="H78" s="29"/>
      <c r="I78" s="29"/>
      <c r="J78" s="36">
        <f>-SUMIF('HRC1216'!$L$9:$L$191,G78,'HRC1216'!$K$9:$K$191)/1000</f>
        <v>0</v>
      </c>
      <c r="K78" s="36">
        <f>-SUMIF('HRC1217'!$L$9:$L$191,G78,'HRC1217'!$K$9:$K$191)/1000</f>
        <v>0</v>
      </c>
      <c r="L78" s="36">
        <f>-SUMIF('HRC1218'!$L$9:$L$191,G78,'HRC1218'!$K$9:$K$191)/1000</f>
        <v>0</v>
      </c>
      <c r="M78" s="36"/>
      <c r="N78" s="108"/>
      <c r="O78" s="117">
        <f t="shared" si="90"/>
        <v>0</v>
      </c>
      <c r="P78" s="117">
        <f t="shared" si="90"/>
        <v>0</v>
      </c>
      <c r="Q78" s="117">
        <f t="shared" si="90"/>
        <v>0</v>
      </c>
      <c r="R78" s="117">
        <f t="shared" si="90"/>
        <v>0</v>
      </c>
      <c r="S78" s="108"/>
      <c r="T78" s="233">
        <v>0</v>
      </c>
      <c r="U78" s="233">
        <v>0</v>
      </c>
      <c r="V78" s="233">
        <v>0</v>
      </c>
      <c r="W78" s="233"/>
      <c r="X78" s="108"/>
      <c r="Y78" s="233">
        <v>0</v>
      </c>
      <c r="Z78" s="233">
        <v>0</v>
      </c>
      <c r="AA78" s="233">
        <v>0</v>
      </c>
      <c r="AB78" s="233"/>
      <c r="AC78" s="108"/>
      <c r="AD78" s="223">
        <f t="shared" si="91"/>
        <v>0</v>
      </c>
      <c r="AE78" s="223">
        <f t="shared" si="92"/>
        <v>0</v>
      </c>
      <c r="AF78" s="223">
        <f t="shared" si="93"/>
        <v>0</v>
      </c>
      <c r="AG78" s="223">
        <f t="shared" si="93"/>
        <v>0</v>
      </c>
      <c r="AH78" s="118"/>
      <c r="AI78" s="290">
        <f t="shared" si="94"/>
        <v>0</v>
      </c>
      <c r="AJ78" s="290">
        <f t="shared" si="95"/>
        <v>0</v>
      </c>
      <c r="AK78" s="290">
        <f t="shared" si="96"/>
        <v>0</v>
      </c>
    </row>
    <row r="79" spans="1:38" ht="12" customHeight="1" x14ac:dyDescent="0.25">
      <c r="B79" s="25"/>
      <c r="C79" s="49" t="str">
        <f>"Total "&amp;LOWER(C73)</f>
        <v>Total long term liabilities</v>
      </c>
      <c r="D79" s="50"/>
      <c r="E79" s="50"/>
      <c r="F79" s="50"/>
      <c r="G79" s="50"/>
      <c r="H79" s="51"/>
      <c r="I79" s="52"/>
      <c r="J79" s="227">
        <f>SUM(J74:J78)</f>
        <v>266.05907999999999</v>
      </c>
      <c r="K79" s="227">
        <f>SUM(K74:K78)</f>
        <v>97.498790000000014</v>
      </c>
      <c r="L79" s="227">
        <f>SUM(L74:L78)</f>
        <v>84.957669999999993</v>
      </c>
      <c r="M79" s="227">
        <f>SUM(M74:M78)</f>
        <v>0</v>
      </c>
      <c r="N79" s="108"/>
      <c r="O79" s="229">
        <f>SUM(O74:O78)</f>
        <v>58.589125982691414</v>
      </c>
      <c r="P79" s="227">
        <f>SUM(P74:P78)</f>
        <v>20.923834152413249</v>
      </c>
      <c r="Q79" s="227">
        <f>SUM(Q74:Q78)</f>
        <v>18.216014494307338</v>
      </c>
      <c r="R79" s="227">
        <f>SUM(R74:R78)</f>
        <v>0</v>
      </c>
      <c r="S79" s="108"/>
      <c r="T79" s="229">
        <f>SUM(T74:T78)</f>
        <v>0</v>
      </c>
      <c r="U79" s="227">
        <f>SUM(U74:U78)</f>
        <v>0</v>
      </c>
      <c r="V79" s="227">
        <f>SUM(V74:V78)</f>
        <v>0</v>
      </c>
      <c r="W79" s="433"/>
      <c r="X79" s="108"/>
      <c r="Y79" s="229">
        <f>SUM(Y74:Y78)</f>
        <v>0</v>
      </c>
      <c r="Z79" s="227">
        <f>SUM(Z74:Z78)</f>
        <v>0</v>
      </c>
      <c r="AA79" s="227">
        <f>SUM(AA74:AA78)</f>
        <v>0</v>
      </c>
      <c r="AB79" s="433"/>
      <c r="AC79" s="108"/>
      <c r="AD79" s="229">
        <f>SUM(AD74:AD78)</f>
        <v>58.589125982691414</v>
      </c>
      <c r="AE79" s="227">
        <f>SUM(AE74:AE78)</f>
        <v>20.923834152413249</v>
      </c>
      <c r="AF79" s="227">
        <f>SUM(AF74:AF78)</f>
        <v>18.216014494307338</v>
      </c>
      <c r="AG79" s="227">
        <f>SUM(AG74:AG78)</f>
        <v>0</v>
      </c>
      <c r="AH79" s="118"/>
      <c r="AI79" s="220">
        <f t="shared" si="94"/>
        <v>-0.43491698445910631</v>
      </c>
      <c r="AJ79" s="220">
        <f t="shared" si="95"/>
        <v>-0.44240589725929247</v>
      </c>
      <c r="AK79" s="220">
        <f t="shared" si="96"/>
        <v>-0.44240589725929247</v>
      </c>
    </row>
    <row r="80" spans="1:38" ht="12" customHeight="1" x14ac:dyDescent="0.25">
      <c r="B80" s="25"/>
      <c r="C80" s="49" t="s">
        <v>65</v>
      </c>
      <c r="D80" s="50"/>
      <c r="E80" s="50"/>
      <c r="F80" s="50"/>
      <c r="G80" s="50"/>
      <c r="H80" s="51"/>
      <c r="I80" s="52"/>
      <c r="J80" s="227">
        <f>J72+J79</f>
        <v>11130.116930000004</v>
      </c>
      <c r="K80" s="227">
        <f>K72+K79</f>
        <v>22574.017970000001</v>
      </c>
      <c r="L80" s="227">
        <f>L72+L79</f>
        <v>17161.318599999999</v>
      </c>
      <c r="M80" s="227">
        <f>M72+M79</f>
        <v>0</v>
      </c>
      <c r="N80" s="108"/>
      <c r="O80" s="229">
        <f>O72+O79</f>
        <v>2450.9737574596465</v>
      </c>
      <c r="P80" s="227">
        <f>P72+P79</f>
        <v>4844.5217438890913</v>
      </c>
      <c r="Q80" s="227">
        <f>Q72+Q79</f>
        <v>3679.6068955166279</v>
      </c>
      <c r="R80" s="227">
        <f>R72+R79</f>
        <v>0</v>
      </c>
      <c r="S80" s="108"/>
      <c r="T80" s="229">
        <f>T72+T79</f>
        <v>0</v>
      </c>
      <c r="U80" s="227">
        <f>U72+U79</f>
        <v>0</v>
      </c>
      <c r="V80" s="227">
        <f>V72+V79</f>
        <v>0</v>
      </c>
      <c r="W80" s="433"/>
      <c r="X80" s="108"/>
      <c r="Y80" s="229">
        <f>Y72+Y79</f>
        <v>0</v>
      </c>
      <c r="Z80" s="227">
        <f>Z72+Z79</f>
        <v>0</v>
      </c>
      <c r="AA80" s="227">
        <f>AA72+AA79</f>
        <v>0</v>
      </c>
      <c r="AB80" s="433"/>
      <c r="AC80" s="108"/>
      <c r="AD80" s="229">
        <f>AD72+AD79</f>
        <v>2450.9737574596465</v>
      </c>
      <c r="AE80" s="227">
        <f>AE72+AE79</f>
        <v>4844.5217438890913</v>
      </c>
      <c r="AF80" s="227">
        <f>AF72+AF79</f>
        <v>3679.6068955166279</v>
      </c>
      <c r="AG80" s="227">
        <f>AG72+AG79</f>
        <v>0</v>
      </c>
      <c r="AH80" s="118"/>
      <c r="AI80" s="220">
        <f t="shared" si="94"/>
        <v>0.24172511031226529</v>
      </c>
      <c r="AJ80" s="220">
        <f t="shared" si="95"/>
        <v>0.22526881837429413</v>
      </c>
      <c r="AK80" s="220">
        <f t="shared" si="96"/>
        <v>0.22526881837429413</v>
      </c>
    </row>
    <row r="81" spans="1:38" ht="12" customHeight="1" x14ac:dyDescent="0.25">
      <c r="B81" s="25"/>
      <c r="C81" s="49" t="s">
        <v>64</v>
      </c>
      <c r="D81" s="50"/>
      <c r="E81" s="50"/>
      <c r="F81" s="50"/>
      <c r="G81" s="50"/>
      <c r="H81" s="51"/>
      <c r="I81" s="52"/>
      <c r="J81" s="227">
        <f>J52+J80</f>
        <v>16377.692680000004</v>
      </c>
      <c r="K81" s="227">
        <f>K52+K80</f>
        <v>26487.418130000002</v>
      </c>
      <c r="L81" s="227">
        <f>L52+L80</f>
        <v>22602.248639999998</v>
      </c>
      <c r="M81" s="227">
        <f>M52+M80</f>
        <v>0</v>
      </c>
      <c r="N81" s="108"/>
      <c r="O81" s="229">
        <f>O52+O80</f>
        <v>3606.5474620686618</v>
      </c>
      <c r="P81" s="227">
        <f>P52+P80</f>
        <v>5684.3612528703561</v>
      </c>
      <c r="Q81" s="227">
        <f>Q52+Q80</f>
        <v>4846.2121057484082</v>
      </c>
      <c r="R81" s="227">
        <f>R52+R80</f>
        <v>0</v>
      </c>
      <c r="S81" s="108"/>
      <c r="T81" s="229">
        <f>T52+T80</f>
        <v>0</v>
      </c>
      <c r="U81" s="227">
        <f>U52+U80</f>
        <v>0</v>
      </c>
      <c r="V81" s="227">
        <f>V52+V80</f>
        <v>0</v>
      </c>
      <c r="W81" s="433"/>
      <c r="X81" s="108"/>
      <c r="Y81" s="229">
        <f>Y52+Y80</f>
        <v>0</v>
      </c>
      <c r="Z81" s="227">
        <f>Z52+Z80</f>
        <v>0</v>
      </c>
      <c r="AA81" s="227">
        <f>AA52+AA80</f>
        <v>0</v>
      </c>
      <c r="AB81" s="433"/>
      <c r="AC81" s="108"/>
      <c r="AD81" s="229">
        <f>AD52+AD80</f>
        <v>3606.5474620686618</v>
      </c>
      <c r="AE81" s="227">
        <f>AE52+AE80</f>
        <v>5684.3612528703561</v>
      </c>
      <c r="AF81" s="227">
        <f>AF52+AF80</f>
        <v>4846.2121057484082</v>
      </c>
      <c r="AG81" s="227">
        <f>AG52+AG80</f>
        <v>0</v>
      </c>
      <c r="AH81" s="118"/>
      <c r="AI81" s="220">
        <f t="shared" si="94"/>
        <v>0.17476085133110431</v>
      </c>
      <c r="AJ81" s="220">
        <f t="shared" si="95"/>
        <v>0.15919202102699415</v>
      </c>
      <c r="AK81" s="220">
        <f t="shared" si="96"/>
        <v>0.15919202102699415</v>
      </c>
    </row>
    <row r="82" spans="1:38" ht="12" customHeight="1" x14ac:dyDescent="0.25">
      <c r="B82" s="25"/>
      <c r="H82" s="22"/>
      <c r="J82" s="108"/>
      <c r="K82" s="108"/>
      <c r="L82" s="108"/>
      <c r="M82" s="108"/>
      <c r="N82" s="108"/>
      <c r="O82" s="108"/>
      <c r="P82" s="108"/>
      <c r="Q82" s="108"/>
      <c r="R82" s="108"/>
      <c r="S82" s="108"/>
      <c r="T82" s="108"/>
      <c r="U82" s="108"/>
      <c r="V82" s="108"/>
      <c r="W82" s="108"/>
      <c r="X82" s="108"/>
      <c r="Y82" s="108"/>
      <c r="Z82" s="108"/>
      <c r="AA82" s="108"/>
      <c r="AB82" s="108"/>
      <c r="AC82" s="108"/>
      <c r="AD82" s="108"/>
      <c r="AE82" s="108"/>
      <c r="AF82" s="108"/>
      <c r="AG82" s="108"/>
      <c r="AH82" s="118"/>
      <c r="AI82" s="225"/>
      <c r="AJ82" s="225"/>
      <c r="AK82" s="225"/>
    </row>
    <row r="83" spans="1:38" ht="12" customHeight="1" x14ac:dyDescent="0.25">
      <c r="B83" s="25"/>
      <c r="C83" s="59" t="s">
        <v>52</v>
      </c>
      <c r="D83" s="60"/>
      <c r="E83" s="61"/>
      <c r="F83" s="61"/>
      <c r="G83" s="61"/>
      <c r="H83" s="61"/>
      <c r="I83" s="62"/>
      <c r="J83" s="234">
        <f>J41-J81</f>
        <v>-1.2000000242551323E-4</v>
      </c>
      <c r="K83" s="234">
        <f>K41-K81</f>
        <v>0</v>
      </c>
      <c r="L83" s="234">
        <f>L41-L81</f>
        <v>0</v>
      </c>
      <c r="M83" s="808">
        <f>M41-M81</f>
        <v>0</v>
      </c>
      <c r="N83" s="108"/>
      <c r="O83" s="235">
        <f>O41-O81</f>
        <v>-2.6425315809319727E-5</v>
      </c>
      <c r="P83" s="234">
        <f>P41-P81</f>
        <v>0</v>
      </c>
      <c r="Q83" s="234">
        <f>Q41-Q81</f>
        <v>0</v>
      </c>
      <c r="R83" s="234">
        <f>R41-R81</f>
        <v>0</v>
      </c>
      <c r="S83" s="108"/>
      <c r="T83" s="235">
        <f>T41-T81</f>
        <v>0</v>
      </c>
      <c r="U83" s="234">
        <f>U41-U81</f>
        <v>0</v>
      </c>
      <c r="V83" s="234">
        <f>V41-V81</f>
        <v>0</v>
      </c>
      <c r="W83" s="435"/>
      <c r="X83" s="108"/>
      <c r="Y83" s="235">
        <f>Y41-Y81</f>
        <v>0</v>
      </c>
      <c r="Z83" s="234">
        <f>Z41-Z81</f>
        <v>0</v>
      </c>
      <c r="AA83" s="234">
        <f>AA41-AA81</f>
        <v>0</v>
      </c>
      <c r="AB83" s="435"/>
      <c r="AC83" s="108"/>
      <c r="AD83" s="235">
        <f>AD41-AD81</f>
        <v>-2.6425315809319727E-5</v>
      </c>
      <c r="AE83" s="234">
        <f>AE41-AE81</f>
        <v>0</v>
      </c>
      <c r="AF83" s="234">
        <f>AF41-AF81</f>
        <v>0</v>
      </c>
      <c r="AG83" s="808">
        <f>AG41-AG81</f>
        <v>0</v>
      </c>
      <c r="AH83" s="118"/>
      <c r="AI83" s="225"/>
      <c r="AJ83" s="225"/>
      <c r="AK83" s="225"/>
    </row>
    <row r="84" spans="1:38" ht="12" customHeight="1" x14ac:dyDescent="0.25">
      <c r="B84" s="25"/>
      <c r="H84" s="22"/>
      <c r="J84" s="118"/>
      <c r="K84" s="118"/>
      <c r="L84" s="829">
        <f>L83-K83</f>
        <v>0</v>
      </c>
      <c r="M84" s="118"/>
      <c r="N84" s="118"/>
      <c r="O84" s="118"/>
      <c r="P84" s="118"/>
      <c r="Q84" s="118"/>
      <c r="R84" s="118"/>
      <c r="S84" s="118"/>
      <c r="T84" s="118"/>
      <c r="U84" s="118"/>
      <c r="V84" s="118"/>
      <c r="W84" s="118"/>
      <c r="X84" s="118"/>
      <c r="Y84" s="118"/>
      <c r="Z84" s="118"/>
      <c r="AA84" s="118"/>
      <c r="AB84" s="118"/>
      <c r="AC84" s="118"/>
      <c r="AD84" s="118"/>
      <c r="AE84" s="118"/>
      <c r="AF84" s="118"/>
      <c r="AG84" s="118"/>
      <c r="AH84" s="118"/>
      <c r="AI84" s="225"/>
      <c r="AJ84" s="225"/>
      <c r="AK84" s="225"/>
    </row>
    <row r="85" spans="1:38" ht="12" customHeight="1" x14ac:dyDescent="0.25">
      <c r="B85" s="25"/>
      <c r="H85" s="22"/>
      <c r="K85" s="24"/>
      <c r="L85" s="24"/>
      <c r="M85" s="24"/>
    </row>
    <row r="87" spans="1:38" ht="12" customHeight="1" x14ac:dyDescent="0.25">
      <c r="A87" s="63" t="s">
        <v>0</v>
      </c>
      <c r="B87" s="63"/>
      <c r="C87" s="63"/>
      <c r="D87" s="64"/>
      <c r="E87" s="64"/>
      <c r="F87" s="63"/>
      <c r="G87" s="65"/>
      <c r="H87" s="66"/>
      <c r="I87" s="65"/>
      <c r="J87" s="67"/>
      <c r="K87" s="67"/>
      <c r="L87" s="67"/>
      <c r="M87" s="98"/>
      <c r="N87" s="67"/>
      <c r="O87" s="67"/>
      <c r="P87" s="67"/>
      <c r="Q87" s="67"/>
      <c r="R87" s="98"/>
      <c r="S87" s="67"/>
      <c r="T87" s="67"/>
      <c r="U87" s="67"/>
      <c r="V87" s="67"/>
      <c r="W87" s="98"/>
      <c r="X87" s="67"/>
      <c r="Y87" s="67"/>
      <c r="Z87" s="67"/>
      <c r="AA87" s="67"/>
      <c r="AB87" s="98"/>
      <c r="AC87" s="67"/>
      <c r="AD87" s="67"/>
      <c r="AE87" s="67"/>
      <c r="AF87" s="67"/>
      <c r="AG87" s="98"/>
      <c r="AH87" s="68"/>
      <c r="AI87" s="69"/>
      <c r="AJ87" s="69"/>
      <c r="AK87" s="69"/>
      <c r="AL87" s="68"/>
    </row>
  </sheetData>
  <mergeCells count="4">
    <mergeCell ref="O5:Q5"/>
    <mergeCell ref="AD5:AF5"/>
    <mergeCell ref="Y5:AB5"/>
    <mergeCell ref="T5:W5"/>
  </mergeCells>
  <conditionalFormatting sqref="A3">
    <cfRule type="containsText" dxfId="20" priority="1" operator="containsText" text="OK">
      <formula>NOT(ISERROR(SEARCH("OK",A3)))</formula>
    </cfRule>
    <cfRule type="containsText" dxfId="19" priority="2" operator="containsText" text="Error">
      <formula>NOT(ISERROR(SEARCH("Error",A3)))</formula>
    </cfRule>
  </conditionalFormatting>
  <pageMargins left="0.7" right="0.7" top="0.75" bottom="0.75" header="0.3" footer="0.3"/>
  <pageSetup paperSize="9" orientation="portrait" r:id="rId1"/>
  <headerFooter>
    <oddFooter>&amp;C&amp;7&amp;B&amp;"Arial"Document Classification: KPMG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3313" r:id="rId4" name="Button 1">
              <controlPr defaultSize="0" autoFill="0" autoPict="0" macro="[0]!scenario1">
                <anchor moveWithCells="1" sizeWithCells="1">
                  <from>
                    <xdr:col>6</xdr:col>
                    <xdr:colOff>533400</xdr:colOff>
                    <xdr:row>1</xdr:row>
                    <xdr:rowOff>0</xdr:rowOff>
                  </from>
                  <to>
                    <xdr:col>7</xdr:col>
                    <xdr:colOff>106680</xdr:colOff>
                    <xdr:row>2</xdr:row>
                    <xdr:rowOff>91440</xdr:rowOff>
                  </to>
                </anchor>
              </controlPr>
            </control>
          </mc:Choice>
        </mc:AlternateContent>
        <mc:AlternateContent xmlns:mc="http://schemas.openxmlformats.org/markup-compatibility/2006">
          <mc:Choice Requires="x14">
            <control shapeId="653314" r:id="rId5" name="Button 2">
              <controlPr defaultSize="0" autoFill="0" autoPict="0" macro="[0]!scenario2">
                <anchor moveWithCells="1" sizeWithCells="1">
                  <from>
                    <xdr:col>7</xdr:col>
                    <xdr:colOff>114300</xdr:colOff>
                    <xdr:row>1</xdr:row>
                    <xdr:rowOff>0</xdr:rowOff>
                  </from>
                  <to>
                    <xdr:col>7</xdr:col>
                    <xdr:colOff>426720</xdr:colOff>
                    <xdr:row>2</xdr:row>
                    <xdr:rowOff>91440</xdr:rowOff>
                  </to>
                </anchor>
              </controlPr>
            </control>
          </mc:Choice>
        </mc:AlternateContent>
        <mc:AlternateContent xmlns:mc="http://schemas.openxmlformats.org/markup-compatibility/2006">
          <mc:Choice Requires="x14">
            <control shapeId="653315" r:id="rId6" name="Button 3">
              <controlPr defaultSize="0" autoFill="0" autoPict="0" macro="[0]!scenario3">
                <anchor moveWithCells="1" sizeWithCells="1">
                  <from>
                    <xdr:col>7</xdr:col>
                    <xdr:colOff>434340</xdr:colOff>
                    <xdr:row>1</xdr:row>
                    <xdr:rowOff>0</xdr:rowOff>
                  </from>
                  <to>
                    <xdr:col>8</xdr:col>
                    <xdr:colOff>7620</xdr:colOff>
                    <xdr:row>2</xdr:row>
                    <xdr:rowOff>91440</xdr:rowOff>
                  </to>
                </anchor>
              </controlPr>
            </control>
          </mc:Choice>
        </mc:AlternateContent>
        <mc:AlternateContent xmlns:mc="http://schemas.openxmlformats.org/markup-compatibility/2006">
          <mc:Choice Requires="x14">
            <control shapeId="653316" r:id="rId7" name="Button 4">
              <controlPr defaultSize="0" print="0" autoFill="0" autoPict="0" macro="[0]!Module3.ModelMap">
                <anchor moveWithCells="1" sizeWithCells="1">
                  <from>
                    <xdr:col>5</xdr:col>
                    <xdr:colOff>2339340</xdr:colOff>
                    <xdr:row>1</xdr:row>
                    <xdr:rowOff>0</xdr:rowOff>
                  </from>
                  <to>
                    <xdr:col>6</xdr:col>
                    <xdr:colOff>525780</xdr:colOff>
                    <xdr:row>2</xdr:row>
                    <xdr:rowOff>91440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9">
    <tabColor theme="0" tint="-0.499984740745262"/>
    <outlinePr summaryBelow="0" summaryRight="0"/>
  </sheetPr>
  <dimension ref="A1:Z18"/>
  <sheetViews>
    <sheetView showGridLines="0" zoomScale="85" zoomScaleNormal="85" workbookViewId="0">
      <pane xSplit="9" ySplit="4" topLeftCell="J5" activePane="bottomRight" state="frozen"/>
      <selection activeCell="N34" sqref="N34"/>
      <selection pane="topRight" activeCell="N34" sqref="N34"/>
      <selection pane="bottomLeft" activeCell="N34" sqref="N34"/>
      <selection pane="bottomRight" activeCell="M12" sqref="M12"/>
    </sheetView>
  </sheetViews>
  <sheetFormatPr defaultColWidth="0" defaultRowHeight="12" customHeight="1" outlineLevelRow="2" outlineLevelCol="1" x14ac:dyDescent="0.25"/>
  <cols>
    <col min="1" max="1" width="2.6640625" style="9" customWidth="1"/>
    <col min="2" max="4" width="5.6640625" style="9" customWidth="1"/>
    <col min="5" max="5" width="2.6640625" style="10" customWidth="1"/>
    <col min="6" max="6" width="55.6640625" style="10" customWidth="1"/>
    <col min="7" max="7" width="10.6640625" style="10" customWidth="1"/>
    <col min="8" max="8" width="10.6640625" style="11" customWidth="1"/>
    <col min="9" max="9" width="2.6640625" style="10" customWidth="1"/>
    <col min="10" max="17" width="10.6640625" style="12" customWidth="1"/>
    <col min="18" max="18" width="10.6640625" style="12" customWidth="1" collapsed="1"/>
    <col min="19" max="20" width="10.6640625" style="12" hidden="1" customWidth="1" outlineLevel="1"/>
    <col min="21" max="21" width="2.6640625" style="12" customWidth="1"/>
    <col min="22" max="23" width="9.109375" style="13" customWidth="1"/>
    <col min="24" max="24" width="10.109375" style="13" customWidth="1"/>
    <col min="25" max="25" width="25.6640625" style="10" customWidth="1"/>
    <col min="26" max="16384" width="0" style="12" hidden="1"/>
  </cols>
  <sheetData>
    <row r="1" spans="1:26" s="6" customFormat="1" ht="12" customHeight="1" x14ac:dyDescent="0.25">
      <c r="A1" s="1" t="str">
        <f ca="1">MID(CELL("filename"),SEARCH("[",CELL("filename"))+1, SEARCH("]",CELL("filename"))-SEARCH("[",CELL("filename"))-1)</f>
        <v>Project Horeco_190409_1810.xlsm</v>
      </c>
      <c r="B1" s="1"/>
      <c r="C1" s="1"/>
      <c r="D1" s="1"/>
      <c r="E1" s="83"/>
      <c r="F1" s="1"/>
      <c r="G1" s="1"/>
      <c r="H1" s="2"/>
      <c r="I1" s="1"/>
      <c r="J1" s="3">
        <f>'1.0.Model timing'!J9</f>
        <v>42370</v>
      </c>
      <c r="K1" s="3">
        <f>'1.0.Model timing'!K9</f>
        <v>42736</v>
      </c>
      <c r="L1" s="3">
        <f>'1.0.Model timing'!L9</f>
        <v>43101</v>
      </c>
      <c r="M1" s="3">
        <f>'1.0.Model timing'!M9</f>
        <v>43466</v>
      </c>
      <c r="N1" s="3">
        <f>'1.0.Model timing'!N9</f>
        <v>43831</v>
      </c>
      <c r="O1" s="3">
        <f>'1.0.Model timing'!O9</f>
        <v>44197</v>
      </c>
      <c r="P1" s="3">
        <f>'1.0.Model timing'!P9</f>
        <v>44562</v>
      </c>
      <c r="Q1" s="3">
        <f>'1.0.Model timing'!Q9</f>
        <v>44927</v>
      </c>
      <c r="R1" s="3">
        <f>'1.0.Model timing'!R9</f>
        <v>45292</v>
      </c>
      <c r="S1" s="3">
        <f>'1.0.Model timing'!S9</f>
        <v>45658</v>
      </c>
      <c r="T1" s="3">
        <f>'1.0.Model timing'!T9</f>
        <v>46023</v>
      </c>
      <c r="U1" s="4"/>
      <c r="V1" s="5"/>
      <c r="W1" s="5"/>
      <c r="X1" s="5"/>
      <c r="Y1" s="1" t="s">
        <v>11</v>
      </c>
    </row>
    <row r="2" spans="1:26" s="6" customFormat="1" ht="12" customHeight="1" x14ac:dyDescent="0.25">
      <c r="A2" s="1" t="str">
        <f ca="1">RIGHT(CELL("filename",A2),LEN(CELL("filename",A2))-FIND("]",CELL("filename",A2)))</f>
        <v>1.4. CAPEX</v>
      </c>
      <c r="B2" s="1"/>
      <c r="C2" s="1"/>
      <c r="D2" s="1"/>
      <c r="E2" s="83"/>
      <c r="F2" s="1"/>
      <c r="G2" s="1"/>
      <c r="H2" s="2"/>
      <c r="I2" s="1"/>
      <c r="J2" s="3">
        <f>'1.0.Model timing'!J10</f>
        <v>42735</v>
      </c>
      <c r="K2" s="3">
        <f>'1.0.Model timing'!K10</f>
        <v>43100</v>
      </c>
      <c r="L2" s="3">
        <f>'1.0.Model timing'!L10</f>
        <v>43465</v>
      </c>
      <c r="M2" s="3">
        <f>'1.0.Model timing'!M10</f>
        <v>43830</v>
      </c>
      <c r="N2" s="3">
        <f>'1.0.Model timing'!N10</f>
        <v>44196</v>
      </c>
      <c r="O2" s="3">
        <f>'1.0.Model timing'!O10</f>
        <v>44561</v>
      </c>
      <c r="P2" s="3">
        <f>'1.0.Model timing'!P10</f>
        <v>44926</v>
      </c>
      <c r="Q2" s="3">
        <f>'1.0.Model timing'!Q10</f>
        <v>45291</v>
      </c>
      <c r="R2" s="3">
        <f>'1.0.Model timing'!R10</f>
        <v>45657</v>
      </c>
      <c r="S2" s="3">
        <f>'1.0.Model timing'!S10</f>
        <v>46022</v>
      </c>
      <c r="T2" s="3">
        <f>'1.0.Model timing'!T10</f>
        <v>46387</v>
      </c>
      <c r="U2" s="4"/>
      <c r="V2" s="5"/>
      <c r="W2" s="5"/>
      <c r="X2" s="5"/>
      <c r="Y2" s="1"/>
    </row>
    <row r="3" spans="1:26" s="6" customFormat="1" ht="12" customHeight="1" x14ac:dyDescent="0.25">
      <c r="A3" s="1"/>
      <c r="B3" s="1"/>
      <c r="C3" s="1"/>
      <c r="D3" s="1"/>
      <c r="E3" s="83"/>
      <c r="F3" s="1"/>
      <c r="G3" s="1"/>
      <c r="H3" s="2"/>
      <c r="I3" s="1"/>
      <c r="J3" s="7">
        <f>'1.0.Model timing'!J11</f>
        <v>2016</v>
      </c>
      <c r="K3" s="7">
        <f>'1.0.Model timing'!K11</f>
        <v>2017</v>
      </c>
      <c r="L3" s="7">
        <f>'1.0.Model timing'!L11</f>
        <v>2018</v>
      </c>
      <c r="M3" s="7">
        <f>'1.0.Model timing'!M11</f>
        <v>2019</v>
      </c>
      <c r="N3" s="7">
        <f>'1.0.Model timing'!N11</f>
        <v>2020</v>
      </c>
      <c r="O3" s="7">
        <f>'1.0.Model timing'!O11</f>
        <v>2021</v>
      </c>
      <c r="P3" s="7">
        <f>'1.0.Model timing'!P11</f>
        <v>2022</v>
      </c>
      <c r="Q3" s="7">
        <f>'1.0.Model timing'!Q11</f>
        <v>2023</v>
      </c>
      <c r="R3" s="7">
        <f>'1.0.Model timing'!R11</f>
        <v>2024</v>
      </c>
      <c r="S3" s="7">
        <f>'1.0.Model timing'!S11</f>
        <v>2025</v>
      </c>
      <c r="T3" s="7">
        <f>'1.0.Model timing'!T11</f>
        <v>2026</v>
      </c>
      <c r="U3" s="4"/>
      <c r="V3" s="5" t="s">
        <v>9</v>
      </c>
      <c r="W3" s="5" t="s">
        <v>10</v>
      </c>
      <c r="X3" s="5" t="s">
        <v>9</v>
      </c>
      <c r="Y3" s="1"/>
    </row>
    <row r="4" spans="1:26" s="6" customFormat="1" ht="12" customHeight="1" x14ac:dyDescent="0.25">
      <c r="A4" s="1"/>
      <c r="B4" s="1"/>
      <c r="C4" s="1"/>
      <c r="D4" s="1"/>
      <c r="E4" s="83"/>
      <c r="F4" s="1"/>
      <c r="G4" s="1" t="s">
        <v>8</v>
      </c>
      <c r="H4" s="2" t="s">
        <v>7</v>
      </c>
      <c r="I4" s="1"/>
      <c r="J4" s="8" t="str">
        <f>'1.0.Model timing'!J15</f>
        <v>Actual</v>
      </c>
      <c r="K4" s="8" t="str">
        <f>'1.0.Model timing'!K15</f>
        <v>Actual</v>
      </c>
      <c r="L4" s="8" t="str">
        <f>'1.0.Model timing'!L15</f>
        <v>Actual</v>
      </c>
      <c r="M4" s="8" t="str">
        <f>'1.0.Model timing'!M15</f>
        <v>Forecast</v>
      </c>
      <c r="N4" s="8" t="str">
        <f>'1.0.Model timing'!N15</f>
        <v>Forecast</v>
      </c>
      <c r="O4" s="8" t="str">
        <f>'1.0.Model timing'!O15</f>
        <v>Forecast</v>
      </c>
      <c r="P4" s="8" t="str">
        <f>'1.0.Model timing'!P15</f>
        <v>Forecast</v>
      </c>
      <c r="Q4" s="8" t="str">
        <f>'1.0.Model timing'!Q15</f>
        <v>Forecast</v>
      </c>
      <c r="R4" s="8" t="str">
        <f>'1.0.Model timing'!R15</f>
        <v>Forecast</v>
      </c>
      <c r="S4" s="8" t="str">
        <f>'1.0.Model timing'!S15</f>
        <v>Forecast</v>
      </c>
      <c r="T4" s="8" t="str">
        <f>'1.0.Model timing'!T15</f>
        <v>Forecast</v>
      </c>
      <c r="U4" s="4"/>
      <c r="V4" s="5" t="s">
        <v>256</v>
      </c>
      <c r="W4" s="5" t="s">
        <v>257</v>
      </c>
      <c r="X4" s="5" t="s">
        <v>375</v>
      </c>
      <c r="Y4" s="1"/>
    </row>
    <row r="6" spans="1:26" ht="12" customHeight="1" x14ac:dyDescent="0.25">
      <c r="A6" s="14">
        <f ca="1">MAX($A$1:A5)+1</f>
        <v>1</v>
      </c>
      <c r="B6" s="15" t="s">
        <v>342</v>
      </c>
      <c r="C6" s="15"/>
      <c r="D6" s="15"/>
      <c r="E6" s="17"/>
      <c r="F6" s="16"/>
      <c r="G6" s="17"/>
      <c r="H6" s="18"/>
      <c r="I6" s="17"/>
      <c r="J6" s="19"/>
      <c r="K6" s="19"/>
      <c r="L6" s="19"/>
      <c r="M6" s="19"/>
      <c r="N6" s="19"/>
      <c r="O6" s="19"/>
      <c r="P6" s="19"/>
      <c r="Q6" s="19"/>
      <c r="R6" s="19"/>
      <c r="S6" s="19"/>
      <c r="T6" s="19"/>
      <c r="U6" s="19"/>
      <c r="V6" s="20"/>
      <c r="W6" s="20"/>
      <c r="X6" s="20"/>
      <c r="Y6" s="21"/>
    </row>
    <row r="7" spans="1:26" ht="12" customHeight="1" outlineLevel="1" x14ac:dyDescent="0.25">
      <c r="H7" s="22"/>
      <c r="Y7" s="122"/>
    </row>
    <row r="8" spans="1:26" ht="12" customHeight="1" outlineLevel="1" x14ac:dyDescent="0.25">
      <c r="B8" s="25"/>
      <c r="C8" s="104">
        <f ca="1">MAX($A$1:C7)+0.1</f>
        <v>1.1000000000000001</v>
      </c>
      <c r="D8" s="136" t="s">
        <v>344</v>
      </c>
      <c r="E8" s="137"/>
      <c r="G8" s="9" t="s">
        <v>255</v>
      </c>
      <c r="H8" s="84"/>
      <c r="I8" s="215"/>
      <c r="J8" s="402">
        <f t="shared" ref="J8:P8" si="0">SUM(J9:J10)</f>
        <v>0</v>
      </c>
      <c r="K8" s="402">
        <f t="shared" si="0"/>
        <v>0</v>
      </c>
      <c r="L8" s="402">
        <f t="shared" si="0"/>
        <v>0</v>
      </c>
      <c r="M8" s="402">
        <f t="shared" si="0"/>
        <v>0</v>
      </c>
      <c r="N8" s="402">
        <f t="shared" si="0"/>
        <v>0</v>
      </c>
      <c r="O8" s="402">
        <f t="shared" si="0"/>
        <v>0</v>
      </c>
      <c r="P8" s="402">
        <f t="shared" si="0"/>
        <v>0</v>
      </c>
      <c r="Q8" s="402"/>
      <c r="R8" s="402"/>
      <c r="S8" s="402"/>
      <c r="T8" s="236"/>
      <c r="V8" s="220">
        <f t="shared" ref="V8:V13" si="1">IF(ISERROR((($L8/$J8)^(1/($L$3-$J$3))-1)),0,(($L8/$J8)^(1/($L$3-$J$3))-1))</f>
        <v>0</v>
      </c>
      <c r="W8" s="220">
        <f t="shared" ref="W8:W13" si="2">IF(ISERROR($M8/$L8-1),0,$M8/$L8-1)</f>
        <v>0</v>
      </c>
      <c r="X8" s="220">
        <f>IF(ISERROR((($P8/$M8)^(1/($P$3-$M$3))-1)),0,(($P8/$M8)^(1/($P$3-$M$3))-1))</f>
        <v>0</v>
      </c>
      <c r="Y8" s="138"/>
    </row>
    <row r="9" spans="1:26" ht="12" customHeight="1" outlineLevel="2" x14ac:dyDescent="0.25">
      <c r="D9" s="136"/>
      <c r="E9" s="451" t="s">
        <v>343</v>
      </c>
      <c r="G9" s="10" t="s">
        <v>255</v>
      </c>
      <c r="H9" s="84"/>
      <c r="I9" s="215"/>
      <c r="J9" s="404"/>
      <c r="K9" s="404"/>
      <c r="L9" s="404"/>
      <c r="M9" s="405">
        <v>0</v>
      </c>
      <c r="N9" s="405">
        <v>0</v>
      </c>
      <c r="O9" s="405">
        <v>0</v>
      </c>
      <c r="P9" s="405"/>
      <c r="Q9" s="237"/>
      <c r="R9" s="237"/>
      <c r="S9" s="237"/>
      <c r="T9" s="237"/>
      <c r="V9" s="220">
        <f t="shared" si="1"/>
        <v>0</v>
      </c>
      <c r="W9" s="220">
        <f t="shared" si="2"/>
        <v>0</v>
      </c>
      <c r="X9" s="220">
        <f t="shared" ref="X9:X13" si="3">IF(ISERROR((($P9/$M9)^(1/($P$3-$M$3))-1)),0,(($P9/$M9)^(1/($P$3-$M$3))-1))</f>
        <v>0</v>
      </c>
      <c r="Y9" s="138"/>
    </row>
    <row r="10" spans="1:26" ht="12" customHeight="1" outlineLevel="2" x14ac:dyDescent="0.25">
      <c r="D10" s="136"/>
      <c r="E10" s="451" t="s">
        <v>345</v>
      </c>
      <c r="G10" s="10" t="s">
        <v>255</v>
      </c>
      <c r="H10" s="84"/>
      <c r="I10" s="215"/>
      <c r="J10" s="404"/>
      <c r="K10" s="404"/>
      <c r="L10" s="404"/>
      <c r="M10" s="403"/>
      <c r="N10" s="403"/>
      <c r="O10" s="403"/>
      <c r="P10" s="403"/>
      <c r="Q10" s="237"/>
      <c r="R10" s="237"/>
      <c r="S10" s="237"/>
      <c r="T10" s="237"/>
      <c r="V10" s="220">
        <f t="shared" si="1"/>
        <v>0</v>
      </c>
      <c r="W10" s="220">
        <f t="shared" si="2"/>
        <v>0</v>
      </c>
      <c r="X10" s="220">
        <f t="shared" si="3"/>
        <v>0</v>
      </c>
      <c r="Y10" s="138"/>
    </row>
    <row r="11" spans="1:26" ht="12" customHeight="1" outlineLevel="1" x14ac:dyDescent="0.25">
      <c r="B11" s="25"/>
      <c r="D11" s="136" t="s">
        <v>168</v>
      </c>
      <c r="E11" s="137"/>
      <c r="G11" s="9" t="s">
        <v>255</v>
      </c>
      <c r="H11" s="84"/>
      <c r="I11" s="215"/>
      <c r="J11" s="402">
        <f>J8</f>
        <v>0</v>
      </c>
      <c r="K11" s="402">
        <f t="shared" ref="K11:P11" si="4">K8</f>
        <v>0</v>
      </c>
      <c r="L11" s="402">
        <f t="shared" si="4"/>
        <v>0</v>
      </c>
      <c r="M11" s="402">
        <f t="shared" si="4"/>
        <v>0</v>
      </c>
      <c r="N11" s="402">
        <f t="shared" si="4"/>
        <v>0</v>
      </c>
      <c r="O11" s="402">
        <f t="shared" si="4"/>
        <v>0</v>
      </c>
      <c r="P11" s="402">
        <f t="shared" si="4"/>
        <v>0</v>
      </c>
      <c r="Q11" s="237"/>
      <c r="R11" s="237"/>
      <c r="S11" s="237"/>
      <c r="T11" s="237"/>
      <c r="V11" s="220">
        <f t="shared" si="1"/>
        <v>0</v>
      </c>
      <c r="W11" s="220">
        <f t="shared" si="2"/>
        <v>0</v>
      </c>
      <c r="X11" s="220">
        <f t="shared" si="3"/>
        <v>0</v>
      </c>
      <c r="Y11" s="138"/>
    </row>
    <row r="12" spans="1:26" ht="12" customHeight="1" x14ac:dyDescent="0.25">
      <c r="E12" s="9"/>
      <c r="H12" s="22"/>
      <c r="V12" s="12"/>
      <c r="W12" s="12"/>
      <c r="X12" s="12"/>
      <c r="Y12" s="12"/>
      <c r="Z12" s="10"/>
    </row>
    <row r="13" spans="1:26" ht="12" customHeight="1" x14ac:dyDescent="0.25">
      <c r="C13" s="104">
        <f ca="1">MAX($A$1:C12)+0.1</f>
        <v>1.2000000000000002</v>
      </c>
      <c r="D13" s="136" t="s">
        <v>427</v>
      </c>
      <c r="E13" s="137"/>
      <c r="G13" s="9" t="s">
        <v>255</v>
      </c>
      <c r="H13" s="429">
        <v>0.5</v>
      </c>
      <c r="J13" s="404"/>
      <c r="K13" s="404"/>
      <c r="L13" s="404"/>
      <c r="M13" s="612">
        <f t="shared" ref="M13:P13" si="5">$H$13*M11</f>
        <v>0</v>
      </c>
      <c r="N13" s="612">
        <f t="shared" si="5"/>
        <v>0</v>
      </c>
      <c r="O13" s="612">
        <f t="shared" si="5"/>
        <v>0</v>
      </c>
      <c r="P13" s="612">
        <f t="shared" si="5"/>
        <v>0</v>
      </c>
      <c r="V13" s="220">
        <f t="shared" si="1"/>
        <v>0</v>
      </c>
      <c r="W13" s="220">
        <f t="shared" si="2"/>
        <v>0</v>
      </c>
      <c r="X13" s="220">
        <f t="shared" si="3"/>
        <v>0</v>
      </c>
      <c r="Y13" s="12"/>
      <c r="Z13" s="10"/>
    </row>
    <row r="14" spans="1:26" ht="12" customHeight="1" x14ac:dyDescent="0.25">
      <c r="E14" s="9"/>
      <c r="H14" s="22"/>
      <c r="V14" s="12"/>
      <c r="W14" s="12"/>
      <c r="X14" s="12"/>
      <c r="Y14" s="12"/>
      <c r="Z14" s="10"/>
    </row>
    <row r="15" spans="1:26" ht="12" customHeight="1" x14ac:dyDescent="0.25">
      <c r="E15" s="9"/>
      <c r="H15" s="22"/>
      <c r="V15" s="12"/>
      <c r="W15" s="12"/>
      <c r="X15" s="12"/>
      <c r="Y15" s="12"/>
      <c r="Z15" s="10"/>
    </row>
    <row r="16" spans="1:26" s="98" customFormat="1" ht="12" customHeight="1" x14ac:dyDescent="0.25">
      <c r="A16" s="96" t="s">
        <v>0</v>
      </c>
      <c r="B16" s="64"/>
      <c r="C16" s="64"/>
      <c r="D16" s="64"/>
      <c r="E16" s="64"/>
      <c r="F16" s="64"/>
      <c r="G16" s="64"/>
      <c r="H16" s="81"/>
      <c r="I16" s="81"/>
      <c r="J16" s="120"/>
      <c r="K16" s="81"/>
      <c r="X16" s="100"/>
      <c r="Y16" s="100"/>
      <c r="Z16" s="100"/>
    </row>
    <row r="18" spans="11:14" ht="12" customHeight="1" x14ac:dyDescent="0.25">
      <c r="K18" s="42"/>
      <c r="L18" s="42"/>
      <c r="M18" s="643"/>
      <c r="N18" s="644"/>
    </row>
  </sheetData>
  <conditionalFormatting sqref="A3">
    <cfRule type="containsText" dxfId="18" priority="1" operator="containsText" text="OK">
      <formula>NOT(ISERROR(SEARCH("OK",A3)))</formula>
    </cfRule>
    <cfRule type="containsText" dxfId="17" priority="2" operator="containsText" text="Error">
      <formula>NOT(ISERROR(SEARCH("Error",A3)))</formula>
    </cfRule>
  </conditionalFormatting>
  <pageMargins left="0.7" right="0.7" top="0.75" bottom="0.75" header="0.3" footer="0.3"/>
  <pageSetup paperSize="9" orientation="portrait" r:id="rId1"/>
  <headerFooter>
    <oddFooter>&amp;C&amp;7&amp;B&amp;"Arial"Document Classification: KPMG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26433" r:id="rId4" name="Button 1">
              <controlPr defaultSize="0" autoFill="0" autoPict="0" macro="[0]!scenario1">
                <anchor moveWithCells="1" sizeWithCells="1">
                  <from>
                    <xdr:col>6</xdr:col>
                    <xdr:colOff>525780</xdr:colOff>
                    <xdr:row>1</xdr:row>
                    <xdr:rowOff>0</xdr:rowOff>
                  </from>
                  <to>
                    <xdr:col>7</xdr:col>
                    <xdr:colOff>99060</xdr:colOff>
                    <xdr:row>2</xdr:row>
                    <xdr:rowOff>91440</xdr:rowOff>
                  </to>
                </anchor>
              </controlPr>
            </control>
          </mc:Choice>
        </mc:AlternateContent>
        <mc:AlternateContent xmlns:mc="http://schemas.openxmlformats.org/markup-compatibility/2006">
          <mc:Choice Requires="x14">
            <control shapeId="1426434" r:id="rId5" name="Button 2">
              <controlPr defaultSize="0" autoFill="0" autoPict="0" macro="[0]!scenario2">
                <anchor moveWithCells="1" sizeWithCells="1">
                  <from>
                    <xdr:col>7</xdr:col>
                    <xdr:colOff>106680</xdr:colOff>
                    <xdr:row>1</xdr:row>
                    <xdr:rowOff>0</xdr:rowOff>
                  </from>
                  <to>
                    <xdr:col>7</xdr:col>
                    <xdr:colOff>426720</xdr:colOff>
                    <xdr:row>2</xdr:row>
                    <xdr:rowOff>91440</xdr:rowOff>
                  </to>
                </anchor>
              </controlPr>
            </control>
          </mc:Choice>
        </mc:AlternateContent>
        <mc:AlternateContent xmlns:mc="http://schemas.openxmlformats.org/markup-compatibility/2006">
          <mc:Choice Requires="x14">
            <control shapeId="1426435" r:id="rId6" name="Button 3">
              <controlPr defaultSize="0" autoFill="0" autoPict="0" macro="[0]!scenario3">
                <anchor moveWithCells="1" sizeWithCells="1">
                  <from>
                    <xdr:col>7</xdr:col>
                    <xdr:colOff>434340</xdr:colOff>
                    <xdr:row>1</xdr:row>
                    <xdr:rowOff>0</xdr:rowOff>
                  </from>
                  <to>
                    <xdr:col>8</xdr:col>
                    <xdr:colOff>7620</xdr:colOff>
                    <xdr:row>2</xdr:row>
                    <xdr:rowOff>91440</xdr:rowOff>
                  </to>
                </anchor>
              </controlPr>
            </control>
          </mc:Choice>
        </mc:AlternateContent>
        <mc:AlternateContent xmlns:mc="http://schemas.openxmlformats.org/markup-compatibility/2006">
          <mc:Choice Requires="x14">
            <control shapeId="1426436" r:id="rId7" name="Button 4">
              <controlPr defaultSize="0" print="0" autoFill="0" autoPict="0" macro="[0]!Module3.ModelMap">
                <anchor moveWithCells="1" sizeWithCells="1">
                  <from>
                    <xdr:col>5</xdr:col>
                    <xdr:colOff>3352800</xdr:colOff>
                    <xdr:row>1</xdr:row>
                    <xdr:rowOff>0</xdr:rowOff>
                  </from>
                  <to>
                    <xdr:col>6</xdr:col>
                    <xdr:colOff>510540</xdr:colOff>
                    <xdr:row>2</xdr:row>
                    <xdr:rowOff>91440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5">
    <tabColor theme="0" tint="-0.499984740745262"/>
    <outlinePr summaryBelow="0" summaryRight="0"/>
  </sheetPr>
  <dimension ref="A1:Y49"/>
  <sheetViews>
    <sheetView showGridLines="0" tabSelected="1" zoomScale="85" zoomScaleNormal="85" workbookViewId="0">
      <pane xSplit="9" ySplit="4" topLeftCell="N5" activePane="bottomRight" state="frozen"/>
      <selection activeCell="V24" sqref="V24:W24"/>
      <selection pane="topRight" activeCell="V24" sqref="V24:W24"/>
      <selection pane="bottomLeft" activeCell="V24" sqref="V24:W24"/>
      <selection pane="bottomRight" activeCell="V19" sqref="V19"/>
    </sheetView>
  </sheetViews>
  <sheetFormatPr defaultRowHeight="13.2" outlineLevelCol="1" x14ac:dyDescent="0.25"/>
  <cols>
    <col min="1" max="1" width="3.6640625" customWidth="1"/>
    <col min="2" max="2" width="5.6640625" customWidth="1"/>
    <col min="3" max="4" width="6.33203125" customWidth="1"/>
    <col min="5" max="5" width="2.6640625" customWidth="1"/>
    <col min="6" max="6" width="40.6640625" customWidth="1"/>
    <col min="7" max="7" width="10.6640625" customWidth="1"/>
    <col min="8" max="8" width="11.5546875" customWidth="1"/>
    <col min="9" max="9" width="2.6640625" customWidth="1"/>
    <col min="10" max="17" width="10.6640625" customWidth="1"/>
    <col min="18" max="18" width="10.6640625" customWidth="1" collapsed="1"/>
    <col min="19" max="19" width="10.6640625" hidden="1" customWidth="1" outlineLevel="1"/>
    <col min="20" max="20" width="2.6640625" customWidth="1"/>
    <col min="21" max="21" width="12.5546875" customWidth="1"/>
    <col min="22" max="22" width="12" bestFit="1" customWidth="1"/>
    <col min="23" max="23" width="10.109375" bestFit="1" customWidth="1"/>
    <col min="24" max="24" width="25.6640625" customWidth="1"/>
    <col min="29" max="29" width="10.44140625" customWidth="1"/>
  </cols>
  <sheetData>
    <row r="1" spans="1:25" x14ac:dyDescent="0.25">
      <c r="A1" s="1" t="str">
        <f ca="1">MID(CELL("filename"),SEARCH("[",CELL("filename"))+1, SEARCH("]",CELL("filename"))-SEARCH("[",CELL("filename"))-1)</f>
        <v>Project Horeco_190409_1810.xlsm</v>
      </c>
      <c r="B1" s="353"/>
      <c r="C1" s="353"/>
      <c r="D1" s="353"/>
      <c r="E1" s="353"/>
      <c r="F1" s="353"/>
      <c r="G1" s="353"/>
      <c r="H1" s="354"/>
      <c r="I1" s="353"/>
      <c r="J1" s="3">
        <f>'1.0.Model timing'!J9</f>
        <v>42370</v>
      </c>
      <c r="K1" s="3">
        <f>'1.0.Model timing'!K9</f>
        <v>42736</v>
      </c>
      <c r="L1" s="3">
        <f>'1.0.Model timing'!L9</f>
        <v>43101</v>
      </c>
      <c r="M1" s="3">
        <f>'1.0.Model timing'!M9</f>
        <v>43466</v>
      </c>
      <c r="N1" s="3">
        <f>'1.0.Model timing'!N9</f>
        <v>43831</v>
      </c>
      <c r="O1" s="3">
        <f>'1.0.Model timing'!O9</f>
        <v>44197</v>
      </c>
      <c r="P1" s="3">
        <f>'1.0.Model timing'!P9</f>
        <v>44562</v>
      </c>
      <c r="Q1" s="3">
        <f>'1.0.Model timing'!Q9</f>
        <v>44927</v>
      </c>
      <c r="R1" s="3">
        <f>'1.0.Model timing'!R9</f>
        <v>45292</v>
      </c>
      <c r="S1" s="3">
        <f>'1.0.Model timing'!S9</f>
        <v>45658</v>
      </c>
      <c r="T1" s="3"/>
      <c r="U1" s="355"/>
      <c r="V1" s="355"/>
      <c r="W1" s="355"/>
      <c r="X1" s="353" t="s">
        <v>11</v>
      </c>
      <c r="Y1" s="356"/>
    </row>
    <row r="2" spans="1:25" x14ac:dyDescent="0.25">
      <c r="A2" s="1" t="str">
        <f ca="1">RIGHT(CELL("filename",A2),LEN(CELL("filename",A2))-FIND("]",CELL("filename",A2)))</f>
        <v>1.5 Assumptions book</v>
      </c>
      <c r="B2" s="353"/>
      <c r="C2" s="353"/>
      <c r="D2" s="353"/>
      <c r="E2" s="353"/>
      <c r="F2" s="353"/>
      <c r="G2" s="353"/>
      <c r="H2" s="354"/>
      <c r="I2" s="353"/>
      <c r="J2" s="3">
        <f>'1.0.Model timing'!J10</f>
        <v>42735</v>
      </c>
      <c r="K2" s="3">
        <f>'1.0.Model timing'!K10</f>
        <v>43100</v>
      </c>
      <c r="L2" s="3">
        <f>'1.0.Model timing'!L10</f>
        <v>43465</v>
      </c>
      <c r="M2" s="3">
        <f>'1.0.Model timing'!M10</f>
        <v>43830</v>
      </c>
      <c r="N2" s="3">
        <f>'1.0.Model timing'!N10</f>
        <v>44196</v>
      </c>
      <c r="O2" s="3">
        <f>'1.0.Model timing'!O10</f>
        <v>44561</v>
      </c>
      <c r="P2" s="3">
        <f>'1.0.Model timing'!P10</f>
        <v>44926</v>
      </c>
      <c r="Q2" s="3">
        <f>'1.0.Model timing'!Q10</f>
        <v>45291</v>
      </c>
      <c r="R2" s="3">
        <f>'1.0.Model timing'!R10</f>
        <v>45657</v>
      </c>
      <c r="S2" s="3">
        <f>'1.0.Model timing'!S10</f>
        <v>46022</v>
      </c>
      <c r="T2" s="3"/>
      <c r="U2" s="355"/>
      <c r="V2" s="355"/>
      <c r="W2" s="355"/>
      <c r="X2" s="353"/>
      <c r="Y2" s="356"/>
    </row>
    <row r="3" spans="1:25" x14ac:dyDescent="0.25">
      <c r="A3" s="353"/>
      <c r="B3" s="353"/>
      <c r="C3" s="353"/>
      <c r="D3" s="353"/>
      <c r="E3" s="353"/>
      <c r="F3" s="353"/>
      <c r="G3" s="353"/>
      <c r="H3" s="354"/>
      <c r="I3" s="353"/>
      <c r="J3" s="7">
        <f>'1.0.Model timing'!J11</f>
        <v>2016</v>
      </c>
      <c r="K3" s="7">
        <f>'1.0.Model timing'!K11</f>
        <v>2017</v>
      </c>
      <c r="L3" s="7">
        <f>'1.0.Model timing'!L11</f>
        <v>2018</v>
      </c>
      <c r="M3" s="7">
        <f>'1.0.Model timing'!M11</f>
        <v>2019</v>
      </c>
      <c r="N3" s="7">
        <f>'1.0.Model timing'!N11</f>
        <v>2020</v>
      </c>
      <c r="O3" s="7">
        <f>'1.0.Model timing'!O11</f>
        <v>2021</v>
      </c>
      <c r="P3" s="7">
        <f>'1.0.Model timing'!P11</f>
        <v>2022</v>
      </c>
      <c r="Q3" s="7">
        <f>'1.0.Model timing'!Q11</f>
        <v>2023</v>
      </c>
      <c r="R3" s="7">
        <f>'1.0.Model timing'!R11</f>
        <v>2024</v>
      </c>
      <c r="S3" s="7">
        <f>'1.0.Model timing'!S11</f>
        <v>2025</v>
      </c>
      <c r="T3" s="7"/>
      <c r="U3" s="355"/>
      <c r="V3" s="355"/>
      <c r="W3" s="355"/>
      <c r="X3" s="353"/>
      <c r="Y3" s="356"/>
    </row>
    <row r="4" spans="1:25" x14ac:dyDescent="0.25">
      <c r="A4" s="353"/>
      <c r="B4" s="353"/>
      <c r="C4" s="353"/>
      <c r="D4" s="353"/>
      <c r="E4" s="353"/>
      <c r="F4" s="353"/>
      <c r="G4" s="353" t="s">
        <v>8</v>
      </c>
      <c r="H4" s="354" t="s">
        <v>7</v>
      </c>
      <c r="I4" s="353"/>
      <c r="J4" s="8" t="str">
        <f>'1.0.Model timing'!J15</f>
        <v>Actual</v>
      </c>
      <c r="K4" s="8" t="str">
        <f>'1.0.Model timing'!K15</f>
        <v>Actual</v>
      </c>
      <c r="L4" s="8" t="str">
        <f>'1.0.Model timing'!L15</f>
        <v>Actual</v>
      </c>
      <c r="M4" s="8" t="str">
        <f>'1.0.Model timing'!N15</f>
        <v>Forecast</v>
      </c>
      <c r="N4" s="8" t="str">
        <f>'1.0.Model timing'!O15</f>
        <v>Forecast</v>
      </c>
      <c r="O4" s="8" t="str">
        <f>'1.0.Model timing'!O15</f>
        <v>Forecast</v>
      </c>
      <c r="P4" s="8" t="str">
        <f>'1.0.Model timing'!P15</f>
        <v>Forecast</v>
      </c>
      <c r="Q4" s="8" t="str">
        <f>'1.0.Model timing'!Q15</f>
        <v>Forecast</v>
      </c>
      <c r="R4" s="8" t="str">
        <f>'1.0.Model timing'!R15</f>
        <v>Forecast</v>
      </c>
      <c r="S4" s="8" t="str">
        <f>'1.0.Model timing'!S15</f>
        <v>Forecast</v>
      </c>
      <c r="T4" s="8"/>
      <c r="U4" s="355"/>
      <c r="V4" s="355"/>
      <c r="W4" s="355"/>
      <c r="X4" s="353"/>
      <c r="Y4" s="356"/>
    </row>
    <row r="5" spans="1:25" x14ac:dyDescent="0.25">
      <c r="A5" s="379"/>
      <c r="B5" s="379"/>
      <c r="C5" s="379"/>
      <c r="D5" s="379"/>
      <c r="E5" s="379"/>
      <c r="F5" s="380"/>
      <c r="G5" s="380"/>
      <c r="H5" s="381"/>
      <c r="I5" s="380"/>
      <c r="J5" s="365"/>
      <c r="K5" s="812">
        <f>K7/J7-1</f>
        <v>1.721296873608269E-2</v>
      </c>
      <c r="L5" s="812">
        <f>L7/K7-1</f>
        <v>1.8694862196536821E-2</v>
      </c>
      <c r="M5" s="812">
        <f>M7/L7-1</f>
        <v>0</v>
      </c>
      <c r="N5" s="812"/>
      <c r="O5" s="642"/>
      <c r="P5" s="642"/>
      <c r="Q5" s="365"/>
      <c r="R5" s="365"/>
      <c r="S5" s="365"/>
      <c r="T5" s="365"/>
      <c r="U5" s="389"/>
      <c r="V5" s="389"/>
      <c r="W5" s="389"/>
      <c r="X5" s="380"/>
      <c r="Y5" s="365"/>
    </row>
    <row r="6" spans="1:25" x14ac:dyDescent="0.25">
      <c r="A6" s="357"/>
      <c r="B6" s="358"/>
      <c r="C6" s="358"/>
      <c r="D6" s="358"/>
      <c r="E6" s="358"/>
      <c r="F6" s="359"/>
      <c r="G6" s="360"/>
      <c r="H6" s="361"/>
      <c r="I6" s="360"/>
      <c r="J6" s="362"/>
      <c r="K6" s="362"/>
      <c r="L6" s="362"/>
      <c r="M6" s="362"/>
      <c r="N6" s="362"/>
      <c r="O6" s="362"/>
      <c r="P6" s="362"/>
      <c r="Q6" s="362"/>
      <c r="R6" s="362"/>
      <c r="S6" s="362"/>
      <c r="T6" s="362"/>
      <c r="U6" s="363"/>
      <c r="V6" s="363"/>
      <c r="W6" s="363"/>
      <c r="X6" s="364"/>
      <c r="Y6" s="365"/>
    </row>
    <row r="7" spans="1:25" x14ac:dyDescent="0.25">
      <c r="A7" s="379"/>
      <c r="B7" s="379"/>
      <c r="C7" s="379"/>
      <c r="D7" s="379"/>
      <c r="E7" s="379"/>
      <c r="F7" s="380"/>
      <c r="G7" s="380" t="s">
        <v>373</v>
      </c>
      <c r="H7" s="381"/>
      <c r="I7" s="380"/>
      <c r="J7" s="287">
        <f>'1.1.Macroeconomic'!J9</f>
        <v>4.4908000000000001</v>
      </c>
      <c r="K7" s="287">
        <f>'1.1.Macroeconomic'!K9</f>
        <v>4.5681000000000003</v>
      </c>
      <c r="L7" s="287">
        <f>'1.1.Macroeconomic'!L9</f>
        <v>4.6535000000000002</v>
      </c>
      <c r="M7" s="287">
        <f>'1.1.Macroeconomic'!M9</f>
        <v>4.6535000000000002</v>
      </c>
      <c r="N7" s="287">
        <f>'1.1.Macroeconomic'!N9</f>
        <v>4.6535000000000002</v>
      </c>
      <c r="O7" s="287">
        <f>'1.1.Macroeconomic'!O9</f>
        <v>4.6535000000000002</v>
      </c>
      <c r="P7" s="287">
        <f>'1.1.Macroeconomic'!P9</f>
        <v>4.6535000000000002</v>
      </c>
      <c r="Q7" s="287">
        <f>'1.1.Macroeconomic'!Q9</f>
        <v>4.6535000000000002</v>
      </c>
      <c r="R7" s="287">
        <f>'1.1.Macroeconomic'!R9</f>
        <v>4.6535000000000002</v>
      </c>
      <c r="S7" s="365"/>
      <c r="T7" s="365"/>
      <c r="U7" s="389"/>
      <c r="V7" s="389"/>
      <c r="W7" s="389"/>
      <c r="X7" s="380"/>
      <c r="Y7" s="365"/>
    </row>
    <row r="8" spans="1:25" x14ac:dyDescent="0.25">
      <c r="A8" s="366">
        <f ca="1">MAX($A$1:A7)+1</f>
        <v>1</v>
      </c>
      <c r="B8" s="367" t="s">
        <v>296</v>
      </c>
      <c r="C8" s="366"/>
      <c r="D8" s="366"/>
      <c r="E8" s="366"/>
      <c r="F8" s="366"/>
      <c r="G8" s="366" t="s">
        <v>255</v>
      </c>
      <c r="H8" s="407"/>
      <c r="I8" s="409"/>
      <c r="J8" s="410">
        <f t="shared" ref="J8:R8" si="0">J32+J9</f>
        <v>5042.096564086577</v>
      </c>
      <c r="K8" s="410">
        <f t="shared" si="0"/>
        <v>9732.0556817933048</v>
      </c>
      <c r="L8" s="410">
        <f t="shared" si="0"/>
        <v>7633.1900784355867</v>
      </c>
      <c r="M8" s="410">
        <f t="shared" si="0"/>
        <v>11968.668053798041</v>
      </c>
      <c r="N8" s="410">
        <f t="shared" si="0"/>
        <v>12567.101456487944</v>
      </c>
      <c r="O8" s="410">
        <f t="shared" si="0"/>
        <v>13195.45652931234</v>
      </c>
      <c r="P8" s="410">
        <f t="shared" si="0"/>
        <v>13855.229355777958</v>
      </c>
      <c r="Q8" s="410">
        <f t="shared" si="0"/>
        <v>14547.990823566857</v>
      </c>
      <c r="R8" s="410">
        <f t="shared" si="0"/>
        <v>15275.390364745199</v>
      </c>
      <c r="S8" s="440"/>
      <c r="T8" s="366"/>
      <c r="U8" s="369"/>
      <c r="V8" s="369"/>
      <c r="W8" s="369"/>
      <c r="X8" s="370"/>
      <c r="Y8" s="370"/>
    </row>
    <row r="9" spans="1:25" x14ac:dyDescent="0.25">
      <c r="A9" s="366"/>
      <c r="B9" s="371">
        <f ca="1">MAX($A$1:B8)+0.1</f>
        <v>1.1000000000000001</v>
      </c>
      <c r="C9" s="366" t="s">
        <v>241</v>
      </c>
      <c r="D9" s="366"/>
      <c r="E9" s="366"/>
      <c r="F9" s="366"/>
      <c r="G9" s="366" t="s">
        <v>255</v>
      </c>
      <c r="H9" s="407"/>
      <c r="I9" s="409"/>
      <c r="J9" s="410">
        <f t="shared" ref="J9:R9" si="1">J10+J14+J17</f>
        <v>4986.7756435378997</v>
      </c>
      <c r="K9" s="410">
        <f t="shared" si="1"/>
        <v>9693.3125500755232</v>
      </c>
      <c r="L9" s="410">
        <f t="shared" si="1"/>
        <v>7594.3175631245304</v>
      </c>
      <c r="M9" s="500">
        <f t="shared" si="1"/>
        <v>11882.795996257355</v>
      </c>
      <c r="N9" s="410">
        <f t="shared" si="1"/>
        <v>12476.935796070224</v>
      </c>
      <c r="O9" s="410">
        <f t="shared" si="1"/>
        <v>13100.782585873734</v>
      </c>
      <c r="P9" s="410">
        <f t="shared" si="1"/>
        <v>13755.821715167422</v>
      </c>
      <c r="Q9" s="410">
        <f t="shared" si="1"/>
        <v>14443.612800925794</v>
      </c>
      <c r="R9" s="410">
        <f t="shared" si="1"/>
        <v>15165.793440972082</v>
      </c>
      <c r="S9" s="440"/>
      <c r="T9" s="366"/>
      <c r="U9" s="369"/>
      <c r="V9" s="369"/>
      <c r="W9" s="369"/>
      <c r="X9" s="370"/>
      <c r="Y9" s="370"/>
    </row>
    <row r="10" spans="1:25" x14ac:dyDescent="0.25">
      <c r="A10" s="847"/>
      <c r="B10" s="366"/>
      <c r="C10" s="372">
        <f ca="1">MAX($A$1:C9)+0.01</f>
        <v>1.1100000000000001</v>
      </c>
      <c r="D10" s="366" t="s">
        <v>283</v>
      </c>
      <c r="E10" s="366"/>
      <c r="F10" s="366"/>
      <c r="G10" s="366" t="s">
        <v>255</v>
      </c>
      <c r="H10" s="407"/>
      <c r="I10" s="409"/>
      <c r="J10" s="625">
        <f>'1.2.Historical IS'!O10</f>
        <v>3581.311171728868</v>
      </c>
      <c r="K10" s="625">
        <f>'1.2.Historical IS'!P10</f>
        <v>8365.4754405551539</v>
      </c>
      <c r="L10" s="625">
        <f>'1.2.Historical IS'!Q10</f>
        <v>6263.9606425271304</v>
      </c>
      <c r="M10" s="848">
        <f>M11*(1+M12)</f>
        <v>9801.1922500000001</v>
      </c>
      <c r="N10" s="624">
        <f>M10*(1+N12)</f>
        <v>10291.251862500001</v>
      </c>
      <c r="O10" s="624">
        <f t="shared" ref="O10:R10" si="2">N10*(1+O12)</f>
        <v>10805.814455625001</v>
      </c>
      <c r="P10" s="624">
        <f t="shared" si="2"/>
        <v>11346.105178406251</v>
      </c>
      <c r="Q10" s="624">
        <f t="shared" si="2"/>
        <v>11913.410437326564</v>
      </c>
      <c r="R10" s="624">
        <f t="shared" si="2"/>
        <v>12509.080959192892</v>
      </c>
      <c r="S10" s="440"/>
      <c r="T10" s="366"/>
      <c r="U10" s="369"/>
      <c r="V10" s="369"/>
      <c r="W10" s="369"/>
      <c r="X10" s="370"/>
      <c r="Y10" s="370"/>
    </row>
    <row r="11" spans="1:25" x14ac:dyDescent="0.25">
      <c r="A11" s="373"/>
      <c r="B11" s="373"/>
      <c r="C11" s="373"/>
      <c r="D11" s="373"/>
      <c r="E11" s="373"/>
      <c r="F11" s="370"/>
      <c r="G11" s="373"/>
      <c r="H11" s="407"/>
      <c r="I11" s="408"/>
      <c r="J11" s="411"/>
      <c r="K11" s="411"/>
      <c r="L11" s="412"/>
      <c r="M11" s="857">
        <f>'[5]Venituri 2019'!$G$33/1000</f>
        <v>7840.9537999999993</v>
      </c>
      <c r="N11" s="412"/>
      <c r="O11" s="412"/>
      <c r="P11" s="412"/>
      <c r="Q11" s="441"/>
      <c r="R11" s="441"/>
      <c r="S11" s="441"/>
      <c r="T11" s="374"/>
      <c r="U11" s="977" t="s">
        <v>1616</v>
      </c>
      <c r="V11" s="976">
        <f>M11</f>
        <v>7840.9537999999993</v>
      </c>
      <c r="W11" s="369"/>
      <c r="X11" s="374"/>
      <c r="Y11" s="374"/>
    </row>
    <row r="12" spans="1:25" x14ac:dyDescent="0.25">
      <c r="A12" s="373"/>
      <c r="B12" s="373"/>
      <c r="C12" s="373"/>
      <c r="D12" s="373"/>
      <c r="E12" s="373"/>
      <c r="F12" s="370"/>
      <c r="G12" s="373"/>
      <c r="H12" s="407"/>
      <c r="I12" s="408"/>
      <c r="J12" s="411"/>
      <c r="K12" s="411"/>
      <c r="L12" s="412"/>
      <c r="M12" s="692">
        <v>0.25</v>
      </c>
      <c r="N12" s="692">
        <v>0.05</v>
      </c>
      <c r="O12" s="692">
        <v>0.05</v>
      </c>
      <c r="P12" s="692">
        <v>0.05</v>
      </c>
      <c r="Q12" s="692">
        <v>0.05</v>
      </c>
      <c r="R12" s="692">
        <v>0.05</v>
      </c>
      <c r="S12" s="441"/>
      <c r="T12" s="374"/>
      <c r="U12" s="977" t="s">
        <v>1617</v>
      </c>
      <c r="V12" s="976">
        <f>M9-V11</f>
        <v>4041.8421962573557</v>
      </c>
      <c r="W12" s="369"/>
      <c r="X12" s="374"/>
      <c r="Y12" s="374"/>
    </row>
    <row r="13" spans="1:25" x14ac:dyDescent="0.25">
      <c r="A13" s="373"/>
      <c r="B13" s="373"/>
      <c r="C13" s="373"/>
      <c r="D13" s="373"/>
      <c r="E13" s="373"/>
      <c r="F13" s="370"/>
      <c r="G13" s="374"/>
      <c r="H13" s="407"/>
      <c r="I13" s="408"/>
      <c r="J13" s="375"/>
      <c r="K13" s="375"/>
      <c r="L13" s="375"/>
      <c r="M13" s="377"/>
      <c r="N13" s="377"/>
      <c r="O13" s="377"/>
      <c r="P13" s="377"/>
      <c r="Q13" s="377"/>
      <c r="R13" s="377"/>
      <c r="S13" s="377"/>
      <c r="T13" s="374"/>
      <c r="U13" s="369"/>
      <c r="V13" s="369"/>
      <c r="W13" s="369"/>
      <c r="X13" s="374"/>
      <c r="Y13" s="374"/>
    </row>
    <row r="14" spans="1:25" x14ac:dyDescent="0.25">
      <c r="A14" s="847"/>
      <c r="B14" s="366"/>
      <c r="C14" s="372">
        <f ca="1">MAX($A$1:C12)+0.01</f>
        <v>1.1200000000000001</v>
      </c>
      <c r="D14" s="366" t="str">
        <f>'1.2.Historical IS'!E13</f>
        <v>Services rendered</v>
      </c>
      <c r="E14" s="366"/>
      <c r="F14" s="366"/>
      <c r="G14" s="366" t="s">
        <v>255</v>
      </c>
      <c r="H14" s="407"/>
      <c r="I14" s="409"/>
      <c r="J14" s="414">
        <f>'1.2.Historical IS'!O13</f>
        <v>379.61050146967131</v>
      </c>
      <c r="K14" s="414">
        <f>'1.2.Historical IS'!P13</f>
        <v>691.0021080974584</v>
      </c>
      <c r="L14" s="414">
        <f>'1.2.Historical IS'!Q13</f>
        <v>416.49837756527342</v>
      </c>
      <c r="M14" s="415">
        <f>L14*M15</f>
        <v>651.69321828360307</v>
      </c>
      <c r="N14" s="415">
        <f>M14*N15</f>
        <v>684.27787919778325</v>
      </c>
      <c r="O14" s="415">
        <f t="shared" ref="O14:P14" si="3">N14*O15</f>
        <v>718.49177315767247</v>
      </c>
      <c r="P14" s="415">
        <f t="shared" si="3"/>
        <v>754.41636181555612</v>
      </c>
      <c r="Q14" s="415">
        <f t="shared" ref="Q14" si="4">P14*Q15</f>
        <v>792.13717990633393</v>
      </c>
      <c r="R14" s="415">
        <f t="shared" ref="R14" si="5">Q14*R15</f>
        <v>831.7440389016507</v>
      </c>
      <c r="S14" s="442"/>
      <c r="T14" s="366"/>
      <c r="U14" s="369"/>
      <c r="V14" s="369"/>
      <c r="W14" s="369"/>
      <c r="X14" s="370"/>
      <c r="Y14" s="370"/>
    </row>
    <row r="15" spans="1:25" x14ac:dyDescent="0.25">
      <c r="A15" s="373"/>
      <c r="B15" s="373"/>
      <c r="C15" s="373"/>
      <c r="D15" s="373"/>
      <c r="E15" s="373"/>
      <c r="F15" s="370" t="s">
        <v>288</v>
      </c>
      <c r="G15" s="374" t="s">
        <v>85</v>
      </c>
      <c r="H15" s="407"/>
      <c r="I15" s="408"/>
      <c r="J15" s="377"/>
      <c r="K15" s="377">
        <f t="shared" ref="K15:R15" si="6">K10/J10</f>
        <v>2.3358694733350256</v>
      </c>
      <c r="L15" s="377">
        <f t="shared" si="6"/>
        <v>0.74878716542038382</v>
      </c>
      <c r="M15" s="377">
        <f t="shared" si="6"/>
        <v>1.5646956948384991</v>
      </c>
      <c r="N15" s="377">
        <f t="shared" si="6"/>
        <v>1.05</v>
      </c>
      <c r="O15" s="377">
        <f t="shared" si="6"/>
        <v>1.05</v>
      </c>
      <c r="P15" s="377">
        <f t="shared" si="6"/>
        <v>1.05</v>
      </c>
      <c r="Q15" s="377">
        <f t="shared" si="6"/>
        <v>1.05</v>
      </c>
      <c r="R15" s="377">
        <f t="shared" si="6"/>
        <v>1.05</v>
      </c>
      <c r="S15" s="375"/>
      <c r="T15" s="374"/>
      <c r="U15" s="369"/>
      <c r="V15" s="369"/>
      <c r="W15" s="369"/>
      <c r="X15" s="374"/>
      <c r="Y15" s="374"/>
    </row>
    <row r="16" spans="1:25" x14ac:dyDescent="0.25">
      <c r="A16" s="373"/>
      <c r="B16" s="373"/>
      <c r="C16" s="373"/>
      <c r="D16" s="373"/>
      <c r="E16" s="373"/>
      <c r="F16" s="370"/>
      <c r="G16" s="374"/>
      <c r="H16" s="407"/>
      <c r="I16" s="408"/>
      <c r="J16" s="375"/>
      <c r="K16" s="375"/>
      <c r="L16" s="375"/>
      <c r="M16" s="375"/>
      <c r="N16" s="375"/>
      <c r="O16" s="375"/>
      <c r="P16" s="375"/>
      <c r="Q16" s="375"/>
      <c r="R16" s="375"/>
      <c r="S16" s="375"/>
      <c r="T16" s="374"/>
      <c r="U16" s="369"/>
      <c r="V16" s="369"/>
      <c r="W16" s="369"/>
      <c r="X16" s="374"/>
      <c r="Y16" s="374"/>
    </row>
    <row r="17" spans="1:25" x14ac:dyDescent="0.25">
      <c r="A17" s="840"/>
      <c r="B17" s="373"/>
      <c r="C17" s="372">
        <f ca="1">MAX($A$1:C15)+0.01</f>
        <v>1.1300000000000001</v>
      </c>
      <c r="D17" s="366" t="s">
        <v>229</v>
      </c>
      <c r="E17" s="366"/>
      <c r="F17" s="366"/>
      <c r="G17" s="366" t="s">
        <v>255</v>
      </c>
      <c r="H17" s="407"/>
      <c r="I17" s="408"/>
      <c r="J17" s="414">
        <f>'1.2.Historical IS'!O14</f>
        <v>1025.8539703393606</v>
      </c>
      <c r="K17" s="414">
        <f>'1.2.Historical IS'!P14</f>
        <v>636.83500142291098</v>
      </c>
      <c r="L17" s="414">
        <f>'1.2.Historical IS'!Q14</f>
        <v>913.85854303212636</v>
      </c>
      <c r="M17" s="375">
        <f>L17*M18</f>
        <v>1429.9105279737514</v>
      </c>
      <c r="N17" s="375">
        <f>M17*N18</f>
        <v>1501.406054372439</v>
      </c>
      <c r="O17" s="375">
        <f t="shared" ref="O17:P17" si="7">N17*O18</f>
        <v>1576.4763570910611</v>
      </c>
      <c r="P17" s="375">
        <f t="shared" si="7"/>
        <v>1655.3001749456143</v>
      </c>
      <c r="Q17" s="375">
        <f t="shared" ref="Q17" si="8">P17*Q18</f>
        <v>1738.0651836928951</v>
      </c>
      <c r="R17" s="375">
        <f t="shared" ref="R17" si="9">Q17*R18</f>
        <v>1824.9684428775399</v>
      </c>
      <c r="S17" s="375"/>
      <c r="T17" s="374"/>
      <c r="U17" s="369"/>
      <c r="V17" s="369"/>
      <c r="W17" s="369"/>
      <c r="X17" s="374"/>
      <c r="Y17" s="374"/>
    </row>
    <row r="18" spans="1:25" x14ac:dyDescent="0.25">
      <c r="A18" s="373"/>
      <c r="B18" s="373"/>
      <c r="C18" s="373"/>
      <c r="D18" s="373"/>
      <c r="E18" s="373"/>
      <c r="F18" s="370" t="s">
        <v>288</v>
      </c>
      <c r="G18" s="374" t="s">
        <v>85</v>
      </c>
      <c r="H18" s="407"/>
      <c r="I18" s="408"/>
      <c r="J18" s="375"/>
      <c r="K18" s="377">
        <f t="shared" ref="K18:R18" si="10">K10/J10</f>
        <v>2.3358694733350256</v>
      </c>
      <c r="L18" s="377">
        <f t="shared" si="10"/>
        <v>0.74878716542038382</v>
      </c>
      <c r="M18" s="377">
        <f t="shared" si="10"/>
        <v>1.5646956948384991</v>
      </c>
      <c r="N18" s="377">
        <f t="shared" si="10"/>
        <v>1.05</v>
      </c>
      <c r="O18" s="377">
        <f t="shared" si="10"/>
        <v>1.05</v>
      </c>
      <c r="P18" s="377">
        <f t="shared" si="10"/>
        <v>1.05</v>
      </c>
      <c r="Q18" s="377">
        <f t="shared" si="10"/>
        <v>1.05</v>
      </c>
      <c r="R18" s="377">
        <f t="shared" si="10"/>
        <v>1.05</v>
      </c>
      <c r="S18" s="375"/>
      <c r="T18" s="374"/>
      <c r="U18" s="369"/>
      <c r="V18" s="369"/>
      <c r="W18" s="369"/>
      <c r="X18" s="374"/>
      <c r="Y18" s="374"/>
    </row>
    <row r="19" spans="1:25" x14ac:dyDescent="0.25">
      <c r="A19" s="373"/>
      <c r="B19" s="373"/>
      <c r="C19" s="373"/>
      <c r="D19" s="373"/>
      <c r="E19" s="373"/>
      <c r="F19" s="370"/>
      <c r="G19" s="374"/>
      <c r="H19" s="407"/>
      <c r="I19" s="408"/>
      <c r="J19" s="375"/>
      <c r="K19" s="377"/>
      <c r="L19" s="377"/>
      <c r="M19" s="377"/>
      <c r="N19" s="377"/>
      <c r="O19" s="377"/>
      <c r="P19" s="377"/>
      <c r="Q19" s="377"/>
      <c r="R19" s="377"/>
      <c r="S19" s="375"/>
      <c r="T19" s="374"/>
      <c r="U19" s="369"/>
      <c r="V19" s="369"/>
      <c r="W19" s="369"/>
      <c r="X19" s="374"/>
      <c r="Y19" s="374"/>
    </row>
    <row r="20" spans="1:25" x14ac:dyDescent="0.25">
      <c r="A20" s="840"/>
      <c r="B20" s="373"/>
      <c r="C20" s="372">
        <f ca="1">MAX($A$1:C18)+0.01</f>
        <v>1.1400000000000001</v>
      </c>
      <c r="D20" s="366" t="str">
        <f>'1.2.Historical IS'!E17</f>
        <v>Trade discounts offered</v>
      </c>
      <c r="E20" s="366"/>
      <c r="F20" s="366"/>
      <c r="G20" s="366" t="s">
        <v>255</v>
      </c>
      <c r="H20" s="407"/>
      <c r="I20" s="408"/>
      <c r="J20" s="414">
        <f>'1.2.Historical IS'!O17</f>
        <v>-7.713734746593035</v>
      </c>
      <c r="K20" s="414">
        <f>'1.2.Historical IS'!P17</f>
        <v>-10.211812350867977</v>
      </c>
      <c r="L20" s="414">
        <f>'1.2.Historical IS'!Q17</f>
        <v>-37.221523584398838</v>
      </c>
      <c r="M20" s="375">
        <f>L20*M21</f>
        <v>-58.24035770783852</v>
      </c>
      <c r="N20" s="375">
        <f>M20*N21</f>
        <v>-61.152375593230445</v>
      </c>
      <c r="O20" s="375">
        <f t="shared" ref="O20" si="11">N20*O21</f>
        <v>-64.20999437289197</v>
      </c>
      <c r="P20" s="375">
        <f t="shared" ref="P20" si="12">O20*P21</f>
        <v>-67.420494091536568</v>
      </c>
      <c r="Q20" s="375">
        <f t="shared" ref="Q20" si="13">P20*Q21</f>
        <v>-70.791518796113394</v>
      </c>
      <c r="R20" s="375">
        <f t="shared" ref="R20" si="14">Q20*R21</f>
        <v>-74.331094735919066</v>
      </c>
      <c r="S20" s="375"/>
      <c r="T20" s="374"/>
      <c r="U20" s="369"/>
      <c r="V20" s="369"/>
      <c r="W20" s="369"/>
      <c r="X20" s="374"/>
      <c r="Y20" s="374"/>
    </row>
    <row r="21" spans="1:25" x14ac:dyDescent="0.25">
      <c r="A21" s="373"/>
      <c r="B21" s="373"/>
      <c r="C21" s="373"/>
      <c r="D21" s="373"/>
      <c r="E21" s="373"/>
      <c r="F21" s="370" t="s">
        <v>288</v>
      </c>
      <c r="G21" s="374" t="s">
        <v>85</v>
      </c>
      <c r="H21" s="407"/>
      <c r="I21" s="408"/>
      <c r="J21" s="375"/>
      <c r="K21" s="377">
        <f>K10/J10</f>
        <v>2.3358694733350256</v>
      </c>
      <c r="L21" s="377">
        <f>L10/K10</f>
        <v>0.74878716542038382</v>
      </c>
      <c r="M21" s="377">
        <f t="shared" ref="M21:R21" si="15">M10/L10</f>
        <v>1.5646956948384991</v>
      </c>
      <c r="N21" s="377">
        <f t="shared" si="15"/>
        <v>1.05</v>
      </c>
      <c r="O21" s="377">
        <f t="shared" si="15"/>
        <v>1.05</v>
      </c>
      <c r="P21" s="377">
        <f t="shared" si="15"/>
        <v>1.05</v>
      </c>
      <c r="Q21" s="377">
        <f t="shared" si="15"/>
        <v>1.05</v>
      </c>
      <c r="R21" s="377">
        <f t="shared" si="15"/>
        <v>1.05</v>
      </c>
      <c r="S21" s="375"/>
      <c r="T21" s="374"/>
      <c r="U21" s="369"/>
      <c r="V21" s="369"/>
      <c r="W21" s="369"/>
      <c r="X21" s="374"/>
      <c r="Y21" s="374"/>
    </row>
    <row r="22" spans="1:25" x14ac:dyDescent="0.25">
      <c r="A22" s="373"/>
      <c r="B22" s="373"/>
      <c r="C22" s="373"/>
      <c r="D22" s="373"/>
      <c r="E22" s="373"/>
      <c r="F22" s="370"/>
      <c r="G22" s="374"/>
      <c r="H22" s="407"/>
      <c r="I22" s="408"/>
      <c r="J22" s="375"/>
      <c r="K22" s="377"/>
      <c r="L22" s="377"/>
      <c r="M22" s="377"/>
      <c r="N22" s="377"/>
      <c r="O22" s="377"/>
      <c r="P22" s="377"/>
      <c r="Q22" s="377"/>
      <c r="R22" s="377"/>
      <c r="S22" s="375"/>
      <c r="T22" s="374"/>
      <c r="U22" s="369"/>
      <c r="V22" s="369"/>
      <c r="W22" s="369"/>
      <c r="X22" s="374"/>
      <c r="Y22" s="374"/>
    </row>
    <row r="23" spans="1:25" x14ac:dyDescent="0.25">
      <c r="A23" s="366"/>
      <c r="B23" s="371">
        <f ca="1">MAX($A$1:B15)+0.1</f>
        <v>1.2000000000000002</v>
      </c>
      <c r="C23" s="616" t="s">
        <v>138</v>
      </c>
      <c r="D23" s="616"/>
      <c r="E23" s="616"/>
      <c r="F23" s="616"/>
      <c r="G23" s="366" t="s">
        <v>255</v>
      </c>
      <c r="H23" s="407"/>
      <c r="I23" s="409"/>
      <c r="J23" s="414">
        <f>'1.2.Historical IS'!O19-'1.2.Historical IS'!O20</f>
        <v>55.3209205486773</v>
      </c>
      <c r="K23" s="414">
        <f>'1.2.Historical IS'!P19-'1.2.Historical IS'!P20</f>
        <v>38.743131717782006</v>
      </c>
      <c r="L23" s="414">
        <f>'1.2.Historical IS'!Q19-'1.2.Historical IS'!Q20</f>
        <v>38.872515311056191</v>
      </c>
      <c r="M23" s="397"/>
      <c r="N23" s="397"/>
      <c r="O23" s="128"/>
      <c r="P23" s="128"/>
      <c r="Q23" s="128"/>
      <c r="R23" s="128"/>
      <c r="S23" s="375"/>
      <c r="T23" s="366"/>
      <c r="U23" s="369"/>
      <c r="V23" s="369"/>
      <c r="W23" s="369"/>
      <c r="X23" s="370"/>
      <c r="Y23" s="370"/>
    </row>
    <row r="24" spans="1:25" x14ac:dyDescent="0.25">
      <c r="A24" s="366"/>
      <c r="B24" s="371"/>
      <c r="C24" s="444"/>
      <c r="D24" s="374" t="s">
        <v>374</v>
      </c>
      <c r="E24" s="366"/>
      <c r="F24" s="366"/>
      <c r="G24" s="366"/>
      <c r="H24" s="407"/>
      <c r="I24" s="409"/>
      <c r="J24" s="375"/>
      <c r="K24" s="375"/>
      <c r="L24" s="375"/>
      <c r="M24" s="375"/>
      <c r="N24" s="375"/>
      <c r="O24" s="375"/>
      <c r="P24" s="375"/>
      <c r="Q24" s="375"/>
      <c r="R24" s="375"/>
      <c r="S24" s="375"/>
      <c r="T24" s="366"/>
      <c r="U24" s="369"/>
      <c r="V24" s="369"/>
      <c r="W24" s="369"/>
      <c r="X24" s="370"/>
      <c r="Y24" s="370"/>
    </row>
    <row r="25" spans="1:25" x14ac:dyDescent="0.25">
      <c r="A25" s="366"/>
      <c r="B25" s="371"/>
      <c r="C25" s="366"/>
      <c r="D25" s="366"/>
      <c r="E25" s="366"/>
      <c r="F25" s="10"/>
      <c r="G25" s="318" t="s">
        <v>85</v>
      </c>
      <c r="H25" s="443" t="s">
        <v>116</v>
      </c>
      <c r="I25" s="318"/>
      <c r="J25" s="422">
        <f>J23/J10</f>
        <v>1.5447113611736587E-2</v>
      </c>
      <c r="K25" s="422">
        <f>K23/K10</f>
        <v>4.6313125886376294E-3</v>
      </c>
      <c r="L25" s="422">
        <f>L23/L10</f>
        <v>6.2057406694326668E-3</v>
      </c>
      <c r="M25" s="397"/>
      <c r="N25" s="397"/>
      <c r="O25" s="128"/>
      <c r="P25" s="128"/>
      <c r="Q25" s="128"/>
      <c r="R25" s="128"/>
      <c r="S25" s="375"/>
      <c r="T25" s="366"/>
      <c r="U25" s="369"/>
      <c r="V25" s="369"/>
      <c r="W25" s="369"/>
      <c r="X25" s="370"/>
      <c r="Y25" s="370"/>
    </row>
    <row r="26" spans="1:25" x14ac:dyDescent="0.25">
      <c r="A26" s="366"/>
      <c r="B26" s="371"/>
      <c r="C26" s="366"/>
      <c r="D26" s="366"/>
      <c r="E26" s="366"/>
      <c r="F26" s="40" t="s">
        <v>135</v>
      </c>
      <c r="G26" s="314">
        <f>($F26=H25)*1</f>
        <v>0</v>
      </c>
      <c r="H26" s="423"/>
      <c r="I26" s="424"/>
      <c r="J26" s="425">
        <f>J25</f>
        <v>1.5447113611736587E-2</v>
      </c>
      <c r="K26" s="425">
        <f>K25</f>
        <v>4.6313125886376294E-3</v>
      </c>
      <c r="L26" s="425">
        <f>L25</f>
        <v>6.2057406694326668E-3</v>
      </c>
      <c r="M26" s="398"/>
      <c r="N26" s="398"/>
      <c r="O26" s="399"/>
      <c r="P26" s="399"/>
      <c r="Q26" s="399"/>
      <c r="R26" s="399"/>
      <c r="S26" s="375"/>
      <c r="T26" s="366"/>
      <c r="U26" s="369"/>
      <c r="V26" s="369"/>
      <c r="W26" s="369"/>
      <c r="X26" s="370"/>
      <c r="Y26" s="370"/>
    </row>
    <row r="27" spans="1:25" x14ac:dyDescent="0.25">
      <c r="A27" s="366"/>
      <c r="B27" s="371"/>
      <c r="C27" s="366"/>
      <c r="D27" s="366"/>
      <c r="E27" s="366"/>
      <c r="F27" s="40" t="s">
        <v>116</v>
      </c>
      <c r="G27" s="316">
        <f>($F27=H25)*1</f>
        <v>1</v>
      </c>
      <c r="H27" s="423"/>
      <c r="I27" s="424"/>
      <c r="J27" s="425">
        <f>IF(ISERROR(AVERAGE($J25:J25)),"",AVERAGE($J25:J25))</f>
        <v>1.5447113611736587E-2</v>
      </c>
      <c r="K27" s="425">
        <f>IF(ISERROR(AVERAGE($J25:K25)),"",AVERAGE($J25:K25))</f>
        <v>1.0039213100187109E-2</v>
      </c>
      <c r="L27" s="425">
        <f>IF(ISERROR(AVERAGE($J25:L25)),"",AVERAGE($J25:L25))</f>
        <v>8.7613889566022941E-3</v>
      </c>
      <c r="M27" s="398"/>
      <c r="N27" s="398"/>
      <c r="O27" s="399"/>
      <c r="P27" s="399"/>
      <c r="Q27" s="399"/>
      <c r="R27" s="399"/>
      <c r="S27" s="375"/>
      <c r="T27" s="366"/>
      <c r="U27" s="369"/>
      <c r="V27" s="369"/>
      <c r="W27" s="369"/>
      <c r="X27" s="370"/>
      <c r="Y27" s="370"/>
    </row>
    <row r="28" spans="1:25" x14ac:dyDescent="0.25">
      <c r="A28" s="366"/>
      <c r="B28" s="371"/>
      <c r="C28" s="366"/>
      <c r="D28" s="366"/>
      <c r="E28" s="366"/>
      <c r="F28" s="40" t="s">
        <v>118</v>
      </c>
      <c r="G28" s="316">
        <f>($F28=H25)*1</f>
        <v>0</v>
      </c>
      <c r="H28" s="423"/>
      <c r="I28" s="424"/>
      <c r="J28" s="425">
        <f>IF(ISERROR(MIN($J25:J25)),"",MIN($J25:J25))</f>
        <v>1.5447113611736587E-2</v>
      </c>
      <c r="K28" s="425">
        <f>IF(ISERROR(MIN($J25:K25)),"",MIN($J25:K25))</f>
        <v>4.6313125886376294E-3</v>
      </c>
      <c r="L28" s="425">
        <f>IF(ISERROR(MIN($J25:L25)),"",MIN($J25:L25))</f>
        <v>4.6313125886376294E-3</v>
      </c>
      <c r="M28" s="398"/>
      <c r="N28" s="398"/>
      <c r="O28" s="399"/>
      <c r="P28" s="399"/>
      <c r="Q28" s="399"/>
      <c r="R28" s="399"/>
      <c r="S28" s="375"/>
      <c r="T28" s="366"/>
      <c r="U28" s="369"/>
      <c r="V28" s="369"/>
      <c r="W28" s="369"/>
      <c r="X28" s="370"/>
      <c r="Y28" s="370"/>
    </row>
    <row r="29" spans="1:25" x14ac:dyDescent="0.25">
      <c r="A29" s="366"/>
      <c r="B29" s="371"/>
      <c r="C29" s="366"/>
      <c r="D29" s="366"/>
      <c r="E29" s="366"/>
      <c r="F29" s="40" t="s">
        <v>117</v>
      </c>
      <c r="G29" s="317">
        <f>($F29=H25)*1</f>
        <v>0</v>
      </c>
      <c r="H29" s="423"/>
      <c r="I29" s="424"/>
      <c r="J29" s="425">
        <f>IF(ISERROR(MAX($J25:J25)),"",MAX($J25:J25))</f>
        <v>1.5447113611736587E-2</v>
      </c>
      <c r="K29" s="425">
        <f>IF(ISERROR(MAX($J25:K25)),"",MAX($J25:K25))</f>
        <v>1.5447113611736587E-2</v>
      </c>
      <c r="L29" s="425">
        <f>IF(ISERROR(MAX($J25:L25)),"",MAX($J25:L25))</f>
        <v>1.5447113611736587E-2</v>
      </c>
      <c r="M29" s="398"/>
      <c r="N29" s="398"/>
      <c r="O29" s="399"/>
      <c r="P29" s="399"/>
      <c r="Q29" s="399"/>
      <c r="R29" s="399"/>
      <c r="S29" s="375"/>
      <c r="T29" s="366"/>
      <c r="U29" s="369"/>
      <c r="V29" s="369"/>
      <c r="W29" s="369"/>
      <c r="X29" s="370"/>
      <c r="Y29" s="370"/>
    </row>
    <row r="30" spans="1:25" x14ac:dyDescent="0.25">
      <c r="A30" s="366"/>
      <c r="B30" s="371"/>
      <c r="C30" s="366"/>
      <c r="D30" s="366"/>
      <c r="E30" s="366"/>
      <c r="F30" s="366"/>
      <c r="G30" s="366"/>
      <c r="H30" s="456">
        <v>0</v>
      </c>
      <c r="I30" s="409"/>
      <c r="J30" s="422" t="str">
        <f>IF(J$4="Estimate",SUMPRODUCT(J26:J29,$G26:$G29),IF(J$4="Forecast",I30,""))</f>
        <v/>
      </c>
      <c r="K30" s="422" t="str">
        <f t="shared" ref="K30:P30" si="16">IF(K$4="Estimate",SUMPRODUCT(K26:K29,$G26:$G29),IF(K$4="Forecast",J30,""))</f>
        <v/>
      </c>
      <c r="L30" s="422">
        <f>SUMPRODUCT(L26:L29,$G26:$G29)</f>
        <v>8.7613889566022941E-3</v>
      </c>
      <c r="M30" s="422">
        <f t="shared" si="16"/>
        <v>8.7613889566022941E-3</v>
      </c>
      <c r="N30" s="422">
        <f t="shared" si="16"/>
        <v>8.7613889566022941E-3</v>
      </c>
      <c r="O30" s="422">
        <f t="shared" si="16"/>
        <v>8.7613889566022941E-3</v>
      </c>
      <c r="P30" s="422">
        <f t="shared" si="16"/>
        <v>8.7613889566022941E-3</v>
      </c>
      <c r="Q30" s="422">
        <f t="shared" ref="Q30" si="17">IF(Q$4="Estimate",SUMPRODUCT(Q26:Q29,$G26:$G29),IF(Q$4="Forecast",P30,""))</f>
        <v>8.7613889566022941E-3</v>
      </c>
      <c r="R30" s="422">
        <f t="shared" ref="R30" si="18">IF(R$4="Estimate",SUMPRODUCT(R26:R29,$G26:$G29),IF(R$4="Forecast",Q30,""))</f>
        <v>8.7613889566022941E-3</v>
      </c>
      <c r="S30" s="375"/>
      <c r="T30" s="366"/>
      <c r="U30" s="369"/>
      <c r="V30" s="369"/>
      <c r="W30" s="369"/>
      <c r="X30" s="370"/>
      <c r="Y30" s="370"/>
    </row>
    <row r="31" spans="1:25" x14ac:dyDescent="0.25">
      <c r="A31" s="366"/>
      <c r="B31" s="371"/>
      <c r="C31" s="366"/>
      <c r="D31" s="366"/>
      <c r="E31" s="366"/>
      <c r="F31" s="366"/>
      <c r="G31" s="366"/>
      <c r="H31" s="407"/>
      <c r="I31" s="409"/>
      <c r="J31" s="422"/>
      <c r="K31" s="422"/>
      <c r="L31" s="422"/>
      <c r="M31" s="422"/>
      <c r="N31" s="422"/>
      <c r="O31" s="422"/>
      <c r="P31" s="422"/>
      <c r="Q31" s="375"/>
      <c r="R31" s="375"/>
      <c r="S31" s="375"/>
      <c r="T31" s="366"/>
      <c r="U31" s="369"/>
      <c r="V31" s="369"/>
      <c r="W31" s="369"/>
      <c r="X31" s="370"/>
      <c r="Y31" s="370"/>
    </row>
    <row r="32" spans="1:25" x14ac:dyDescent="0.25">
      <c r="A32" s="366"/>
      <c r="B32" s="371"/>
      <c r="C32" s="366"/>
      <c r="D32" s="366"/>
      <c r="E32" s="366"/>
      <c r="F32" s="366"/>
      <c r="G32" s="366"/>
      <c r="H32" s="407"/>
      <c r="I32" s="409"/>
      <c r="J32" s="116">
        <f t="shared" ref="J32:R32" si="19">IF(J$4="Forecast",J10*J30,J23)</f>
        <v>55.3209205486773</v>
      </c>
      <c r="K32" s="116">
        <f t="shared" si="19"/>
        <v>38.743131717782006</v>
      </c>
      <c r="L32" s="116">
        <f t="shared" si="19"/>
        <v>38.872515311056191</v>
      </c>
      <c r="M32" s="116">
        <f t="shared" si="19"/>
        <v>85.872057540685987</v>
      </c>
      <c r="N32" s="116">
        <f t="shared" si="19"/>
        <v>90.165660417720304</v>
      </c>
      <c r="O32" s="116">
        <f t="shared" si="19"/>
        <v>94.673943438606315</v>
      </c>
      <c r="P32" s="116">
        <f t="shared" si="19"/>
        <v>99.407640610536632</v>
      </c>
      <c r="Q32" s="116">
        <f t="shared" si="19"/>
        <v>104.37802264106347</v>
      </c>
      <c r="R32" s="116">
        <f t="shared" si="19"/>
        <v>109.59692377311663</v>
      </c>
      <c r="S32" s="375"/>
      <c r="T32" s="366"/>
      <c r="U32" s="369"/>
      <c r="V32" s="369"/>
      <c r="W32" s="369"/>
      <c r="X32" s="370"/>
      <c r="Y32" s="370"/>
    </row>
    <row r="33" spans="1:25" x14ac:dyDescent="0.25">
      <c r="A33" s="366"/>
      <c r="B33" s="371"/>
      <c r="C33" s="366"/>
      <c r="D33" s="366"/>
      <c r="E33" s="366"/>
      <c r="F33" s="366"/>
      <c r="G33" s="366"/>
      <c r="H33" s="407"/>
      <c r="I33" s="409"/>
      <c r="J33" s="422"/>
      <c r="K33" s="422"/>
      <c r="L33" s="422"/>
      <c r="M33" s="422"/>
      <c r="N33" s="422"/>
      <c r="O33" s="422"/>
      <c r="P33" s="422"/>
      <c r="Q33" s="375"/>
      <c r="R33" s="375"/>
      <c r="S33" s="375"/>
      <c r="T33" s="366"/>
      <c r="U33" s="369"/>
      <c r="V33" s="369"/>
      <c r="W33" s="369"/>
      <c r="X33" s="370"/>
      <c r="Y33" s="370"/>
    </row>
    <row r="34" spans="1:25" x14ac:dyDescent="0.25">
      <c r="A34" s="366"/>
      <c r="B34" s="615">
        <f ca="1">MAX($A$1:B24)+0.1</f>
        <v>1.3000000000000003</v>
      </c>
      <c r="C34" s="616" t="s">
        <v>295</v>
      </c>
      <c r="D34" s="616"/>
      <c r="E34" s="616"/>
      <c r="F34" s="616"/>
      <c r="G34" s="616"/>
      <c r="H34" s="617"/>
      <c r="I34" s="618"/>
      <c r="J34" s="619"/>
      <c r="K34" s="619"/>
      <c r="L34" s="619"/>
      <c r="M34" s="614">
        <f ca="1">'2.1. Working LT assets'!M61+'2.1. Working LT assets'!M62</f>
        <v>3.2024207208559359</v>
      </c>
      <c r="N34" s="614">
        <f ca="1">'2.1. Working LT assets'!N61+'2.1. Working LT assets'!N62</f>
        <v>0</v>
      </c>
      <c r="O34" s="614">
        <f ca="1">'2.1. Working LT assets'!O61+'2.1. Working LT assets'!O62</f>
        <v>0</v>
      </c>
      <c r="P34" s="614">
        <f ca="1">'2.1. Working LT assets'!P61+'2.1. Working LT assets'!P62</f>
        <v>0</v>
      </c>
      <c r="Q34" s="614">
        <f ca="1">'2.1. Working LT assets'!Q61+'2.1. Working LT assets'!Q62</f>
        <v>0</v>
      </c>
      <c r="R34" s="614">
        <f ca="1">'2.1. Working LT assets'!R61+'2.1. Working LT assets'!R62</f>
        <v>0</v>
      </c>
      <c r="S34" s="375"/>
      <c r="T34" s="366"/>
      <c r="U34" s="369"/>
      <c r="V34" s="369"/>
      <c r="W34" s="369"/>
      <c r="X34" s="370"/>
      <c r="Y34" s="370"/>
    </row>
    <row r="35" spans="1:25" x14ac:dyDescent="0.25">
      <c r="A35" s="366"/>
      <c r="B35" s="371"/>
      <c r="C35" s="366"/>
      <c r="D35" s="366"/>
      <c r="E35" s="366"/>
      <c r="F35" s="366"/>
      <c r="G35" s="366"/>
      <c r="H35" s="407"/>
      <c r="I35" s="409"/>
      <c r="J35" s="422"/>
      <c r="K35" s="422"/>
      <c r="L35" s="422"/>
      <c r="M35" s="422"/>
      <c r="N35" s="422"/>
      <c r="O35" s="422"/>
      <c r="P35" s="422"/>
      <c r="Q35" s="375"/>
      <c r="R35" s="375"/>
      <c r="S35" s="375"/>
      <c r="T35" s="366"/>
      <c r="U35" s="369"/>
      <c r="V35" s="369"/>
      <c r="W35" s="369"/>
      <c r="X35" s="370"/>
      <c r="Y35" s="370"/>
    </row>
    <row r="36" spans="1:25" x14ac:dyDescent="0.25">
      <c r="A36" s="373"/>
      <c r="B36" s="371">
        <f ca="1">MAX($A$1:B34)+0.1</f>
        <v>1.4000000000000004</v>
      </c>
      <c r="C36" s="366" t="s">
        <v>266</v>
      </c>
      <c r="D36" s="373"/>
      <c r="E36" s="373"/>
      <c r="F36" s="370"/>
      <c r="G36" s="374"/>
      <c r="H36" s="407"/>
      <c r="I36" s="408"/>
      <c r="J36" s="375"/>
      <c r="K36" s="375"/>
      <c r="L36" s="375"/>
      <c r="M36" s="375"/>
      <c r="N36" s="375"/>
      <c r="O36" s="375"/>
      <c r="P36" s="375"/>
      <c r="Q36" s="375"/>
      <c r="R36" s="375"/>
      <c r="S36" s="375"/>
      <c r="T36" s="374"/>
      <c r="U36" s="369"/>
      <c r="V36" s="369"/>
      <c r="W36" s="369"/>
      <c r="X36" s="374"/>
      <c r="Y36" s="374"/>
    </row>
    <row r="37" spans="1:25" x14ac:dyDescent="0.25">
      <c r="A37" s="840"/>
      <c r="B37" s="373"/>
      <c r="C37" s="373"/>
      <c r="D37" s="373"/>
      <c r="E37" s="373"/>
      <c r="F37" s="370" t="s">
        <v>268</v>
      </c>
      <c r="G37" s="374" t="s">
        <v>12</v>
      </c>
      <c r="H37" s="445"/>
      <c r="I37" s="408"/>
      <c r="J37" s="842">
        <v>25</v>
      </c>
      <c r="K37" s="842">
        <v>27</v>
      </c>
      <c r="L37" s="843">
        <v>27</v>
      </c>
      <c r="M37" s="398"/>
      <c r="N37" s="398"/>
      <c r="O37" s="399"/>
      <c r="P37" s="399"/>
      <c r="Q37" s="399"/>
      <c r="R37" s="399"/>
      <c r="S37" s="391"/>
      <c r="T37" s="374"/>
      <c r="U37" s="369"/>
      <c r="V37" s="369"/>
      <c r="W37" s="369"/>
      <c r="X37" s="374"/>
      <c r="Y37" s="374"/>
    </row>
    <row r="38" spans="1:25" x14ac:dyDescent="0.25">
      <c r="A38" s="840"/>
      <c r="B38" s="373"/>
      <c r="C38" s="373"/>
      <c r="D38" s="373"/>
      <c r="E38" s="373"/>
      <c r="F38" s="370" t="s">
        <v>290</v>
      </c>
      <c r="G38" s="374" t="s">
        <v>12</v>
      </c>
      <c r="H38" s="445"/>
      <c r="I38" s="408"/>
      <c r="J38" s="446"/>
      <c r="K38" s="446"/>
      <c r="L38" s="446"/>
      <c r="M38" s="841">
        <v>2</v>
      </c>
      <c r="N38" s="841">
        <v>2</v>
      </c>
      <c r="O38" s="841"/>
      <c r="P38" s="841"/>
      <c r="Q38" s="841"/>
      <c r="R38" s="841"/>
      <c r="S38" s="390"/>
      <c r="T38" s="374"/>
      <c r="U38" s="369"/>
      <c r="V38" s="369"/>
      <c r="W38" s="369"/>
      <c r="X38" s="374"/>
      <c r="Y38" s="374"/>
    </row>
    <row r="39" spans="1:25" x14ac:dyDescent="0.25">
      <c r="A39" s="373"/>
      <c r="B39" s="373"/>
      <c r="C39" s="373"/>
      <c r="D39" s="373"/>
      <c r="E39" s="373"/>
      <c r="F39" s="366"/>
      <c r="G39" s="373"/>
      <c r="H39" s="407"/>
      <c r="I39" s="413"/>
      <c r="J39" s="390"/>
      <c r="K39" s="390"/>
      <c r="L39" s="390"/>
      <c r="M39" s="390"/>
      <c r="N39" s="390"/>
      <c r="O39" s="390"/>
      <c r="P39" s="390"/>
      <c r="Q39" s="390"/>
      <c r="R39" s="390"/>
      <c r="S39" s="390"/>
      <c r="T39" s="374"/>
      <c r="U39" s="369"/>
      <c r="V39" s="369"/>
      <c r="W39" s="369"/>
      <c r="X39" s="374"/>
      <c r="Y39" s="374"/>
    </row>
    <row r="40" spans="1:25" x14ac:dyDescent="0.25">
      <c r="A40" s="840"/>
      <c r="B40" s="373"/>
      <c r="C40" s="373"/>
      <c r="D40" s="373"/>
      <c r="E40" s="373"/>
      <c r="F40" s="366" t="s">
        <v>268</v>
      </c>
      <c r="G40" s="373" t="s">
        <v>12</v>
      </c>
      <c r="H40" s="407"/>
      <c r="I40" s="413"/>
      <c r="J40" s="390">
        <f>J37</f>
        <v>25</v>
      </c>
      <c r="K40" s="390">
        <f t="shared" ref="K40:L40" si="20">K37</f>
        <v>27</v>
      </c>
      <c r="L40" s="390">
        <f t="shared" si="20"/>
        <v>27</v>
      </c>
      <c r="M40" s="390">
        <f t="shared" ref="M40:P40" si="21">M38+L40</f>
        <v>29</v>
      </c>
      <c r="N40" s="390">
        <f t="shared" si="21"/>
        <v>31</v>
      </c>
      <c r="O40" s="390">
        <f t="shared" si="21"/>
        <v>31</v>
      </c>
      <c r="P40" s="390">
        <f t="shared" si="21"/>
        <v>31</v>
      </c>
      <c r="Q40" s="390">
        <f t="shared" ref="Q40" si="22">Q38+P40</f>
        <v>31</v>
      </c>
      <c r="R40" s="390">
        <f t="shared" ref="R40" si="23">R38+Q40</f>
        <v>31</v>
      </c>
      <c r="S40" s="390"/>
      <c r="T40" s="374"/>
      <c r="U40" s="369"/>
      <c r="V40" s="369"/>
      <c r="W40" s="369"/>
      <c r="X40" s="374"/>
      <c r="Y40" s="374"/>
    </row>
    <row r="41" spans="1:25" x14ac:dyDescent="0.25">
      <c r="A41" s="373"/>
      <c r="B41" s="373"/>
      <c r="C41" s="373"/>
      <c r="D41" s="373"/>
      <c r="E41" s="373"/>
      <c r="F41" s="366"/>
      <c r="G41" s="373"/>
      <c r="H41" s="407"/>
      <c r="I41" s="413"/>
      <c r="J41" s="376"/>
      <c r="K41" s="376"/>
      <c r="L41" s="390"/>
      <c r="M41" s="390"/>
      <c r="N41" s="390"/>
      <c r="O41" s="390"/>
      <c r="P41" s="390"/>
      <c r="Q41" s="390"/>
      <c r="R41" s="390"/>
      <c r="S41" s="390"/>
      <c r="T41" s="374"/>
      <c r="U41" s="369"/>
      <c r="V41" s="369"/>
      <c r="W41" s="369"/>
      <c r="X41" s="374"/>
      <c r="Y41" s="374"/>
    </row>
    <row r="42" spans="1:25" x14ac:dyDescent="0.25">
      <c r="A42" s="840"/>
      <c r="B42" s="373"/>
      <c r="C42" s="373"/>
      <c r="D42" s="373"/>
      <c r="E42" s="373"/>
      <c r="F42" s="366" t="s">
        <v>103</v>
      </c>
      <c r="G42" s="366" t="s">
        <v>255</v>
      </c>
      <c r="H42" s="407"/>
      <c r="I42" s="413"/>
      <c r="J42" s="376">
        <f>'1.2.Historical IS'!O24</f>
        <v>126.85824352008551</v>
      </c>
      <c r="K42" s="376">
        <f>'1.2.Historical IS'!P24</f>
        <v>158.22355027254218</v>
      </c>
      <c r="L42" s="376">
        <f>'1.2.Historical IS'!Q24</f>
        <v>216.81959815192866</v>
      </c>
      <c r="M42" s="376">
        <f>'1.2.Historical IS'!R24</f>
        <v>0</v>
      </c>
      <c r="N42" s="398"/>
      <c r="O42" s="399"/>
      <c r="P42" s="399"/>
      <c r="Q42" s="399"/>
      <c r="R42" s="399"/>
      <c r="S42" s="390"/>
      <c r="T42" s="374"/>
      <c r="U42" s="369"/>
      <c r="V42" s="369"/>
      <c r="W42" s="369"/>
      <c r="X42" s="374"/>
      <c r="Y42" s="374"/>
    </row>
    <row r="43" spans="1:25" x14ac:dyDescent="0.25">
      <c r="A43" s="840"/>
      <c r="B43" s="373"/>
      <c r="C43" s="373"/>
      <c r="D43" s="373"/>
      <c r="E43" s="373"/>
      <c r="F43" s="370" t="s">
        <v>291</v>
      </c>
      <c r="G43" s="370" t="s">
        <v>292</v>
      </c>
      <c r="H43" s="456">
        <v>0.05</v>
      </c>
      <c r="I43" s="413"/>
      <c r="J43" s="375">
        <f>J42/J40/12</f>
        <v>0.42286081173361834</v>
      </c>
      <c r="K43" s="375">
        <f t="shared" ref="K43:L43" si="24">K42/K40/12</f>
        <v>0.48834429096463633</v>
      </c>
      <c r="L43" s="611">
        <f t="shared" si="24"/>
        <v>0.6691962905923724</v>
      </c>
      <c r="M43" s="503">
        <f>L43</f>
        <v>0.6691962905923724</v>
      </c>
      <c r="N43" s="448">
        <f>M43*(1+$H$43)</f>
        <v>0.70265610512199106</v>
      </c>
      <c r="O43" s="448">
        <f t="shared" ref="O43:R43" si="25">N43*(1+$H$43)</f>
        <v>0.73778891037809069</v>
      </c>
      <c r="P43" s="448">
        <f t="shared" si="25"/>
        <v>0.7746783558969953</v>
      </c>
      <c r="Q43" s="448">
        <f t="shared" si="25"/>
        <v>0.8134122736918451</v>
      </c>
      <c r="R43" s="448">
        <f t="shared" si="25"/>
        <v>0.85408288737643734</v>
      </c>
      <c r="S43" s="390"/>
      <c r="T43" s="374"/>
      <c r="U43" s="369"/>
      <c r="V43" s="369"/>
      <c r="W43" s="369"/>
      <c r="X43" s="374"/>
      <c r="Y43" s="374"/>
    </row>
    <row r="44" spans="1:25" x14ac:dyDescent="0.25">
      <c r="A44" s="373"/>
      <c r="B44" s="373"/>
      <c r="C44" s="373"/>
      <c r="D44" s="373"/>
      <c r="E44" s="373"/>
      <c r="F44" s="366"/>
      <c r="G44" s="373"/>
      <c r="H44" s="407"/>
      <c r="I44" s="413"/>
      <c r="J44" s="376"/>
      <c r="K44" s="376"/>
      <c r="L44" s="390"/>
      <c r="M44" s="390"/>
      <c r="N44" s="390"/>
      <c r="O44" s="390"/>
      <c r="P44" s="390"/>
      <c r="Q44" s="390"/>
      <c r="R44" s="390"/>
      <c r="S44" s="390"/>
      <c r="T44" s="374"/>
      <c r="U44" s="369"/>
      <c r="V44" s="369"/>
      <c r="W44" s="369"/>
      <c r="X44" s="374"/>
      <c r="Y44" s="374"/>
    </row>
    <row r="45" spans="1:25" x14ac:dyDescent="0.25">
      <c r="A45" s="840"/>
      <c r="B45" s="373"/>
      <c r="C45" s="373"/>
      <c r="D45" s="373"/>
      <c r="E45" s="373"/>
      <c r="F45" s="366" t="s">
        <v>103</v>
      </c>
      <c r="G45" s="366" t="s">
        <v>255</v>
      </c>
      <c r="H45" s="407"/>
      <c r="I45" s="413"/>
      <c r="J45" s="376">
        <f>J42</f>
        <v>126.85824352008551</v>
      </c>
      <c r="K45" s="376">
        <f t="shared" ref="K45:L45" si="26">K42</f>
        <v>158.22355027254218</v>
      </c>
      <c r="L45" s="376">
        <f t="shared" si="26"/>
        <v>216.81959815192866</v>
      </c>
      <c r="M45" s="447">
        <f>M43*M40*12</f>
        <v>232.88030912614562</v>
      </c>
      <c r="N45" s="447">
        <f t="shared" ref="N45:R45" si="27">N43*N40*12</f>
        <v>261.38807110538067</v>
      </c>
      <c r="O45" s="447">
        <f t="shared" si="27"/>
        <v>274.45747466064972</v>
      </c>
      <c r="P45" s="447">
        <f t="shared" si="27"/>
        <v>288.18034839368227</v>
      </c>
      <c r="Q45" s="447">
        <f t="shared" si="27"/>
        <v>302.58936581336638</v>
      </c>
      <c r="R45" s="447">
        <f t="shared" si="27"/>
        <v>317.71883410403467</v>
      </c>
      <c r="S45" s="390"/>
      <c r="T45" s="374"/>
      <c r="U45" s="369"/>
      <c r="V45" s="369"/>
      <c r="W45" s="369"/>
      <c r="X45" s="374"/>
      <c r="Y45" s="374"/>
    </row>
    <row r="46" spans="1:25" x14ac:dyDescent="0.25">
      <c r="A46" s="373"/>
      <c r="B46" s="373"/>
      <c r="C46" s="373"/>
      <c r="D46" s="373"/>
      <c r="E46" s="373"/>
      <c r="F46" s="366"/>
      <c r="G46" s="373"/>
      <c r="H46" s="407"/>
      <c r="I46" s="413"/>
      <c r="J46" s="376"/>
      <c r="K46" s="376"/>
      <c r="L46" s="390"/>
      <c r="M46" s="390"/>
      <c r="N46" s="390"/>
      <c r="O46" s="390"/>
      <c r="P46" s="390"/>
      <c r="Q46" s="390"/>
      <c r="R46" s="390"/>
      <c r="S46" s="390"/>
      <c r="T46" s="374"/>
      <c r="U46" s="369"/>
      <c r="V46" s="369"/>
      <c r="W46" s="369"/>
      <c r="X46" s="374"/>
      <c r="Y46" s="374"/>
    </row>
    <row r="47" spans="1:25" x14ac:dyDescent="0.25">
      <c r="A47" s="366"/>
      <c r="B47" s="371"/>
      <c r="C47" s="373"/>
      <c r="D47" s="373"/>
      <c r="E47" s="373"/>
      <c r="F47" s="370"/>
      <c r="G47" s="374"/>
      <c r="H47" s="368"/>
      <c r="I47" s="374"/>
      <c r="J47" s="378"/>
      <c r="K47" s="378"/>
      <c r="L47" s="378"/>
      <c r="M47" s="378"/>
      <c r="N47" s="378"/>
      <c r="O47" s="378"/>
      <c r="P47" s="378"/>
      <c r="Q47" s="378"/>
      <c r="R47" s="378"/>
      <c r="S47" s="378"/>
      <c r="T47" s="374"/>
      <c r="U47" s="369"/>
      <c r="V47" s="369"/>
      <c r="W47" s="369"/>
      <c r="X47" s="374"/>
      <c r="Y47" s="374"/>
    </row>
    <row r="48" spans="1:25" x14ac:dyDescent="0.25">
      <c r="A48" s="382" t="s">
        <v>0</v>
      </c>
      <c r="B48" s="383"/>
      <c r="C48" s="383"/>
      <c r="D48" s="383"/>
      <c r="E48" s="383"/>
      <c r="F48" s="384"/>
      <c r="G48" s="384"/>
      <c r="H48" s="385"/>
      <c r="I48" s="384"/>
      <c r="J48" s="386"/>
      <c r="K48" s="386"/>
      <c r="L48" s="386"/>
      <c r="M48" s="386"/>
      <c r="N48" s="386"/>
      <c r="O48" s="386"/>
      <c r="P48" s="386"/>
      <c r="Q48" s="386"/>
      <c r="R48" s="386"/>
      <c r="S48" s="386"/>
      <c r="T48" s="386"/>
      <c r="U48" s="387"/>
      <c r="V48" s="387"/>
      <c r="W48" s="387"/>
      <c r="X48" s="384"/>
      <c r="Y48" s="386"/>
    </row>
    <row r="49" spans="1:25" x14ac:dyDescent="0.25">
      <c r="A49" s="379"/>
      <c r="B49" s="379"/>
      <c r="C49" s="379"/>
      <c r="D49" s="379"/>
      <c r="E49" s="379"/>
      <c r="F49" s="380"/>
      <c r="G49" s="380"/>
      <c r="H49" s="381"/>
      <c r="I49" s="380"/>
      <c r="J49" s="365"/>
      <c r="K49" s="365"/>
      <c r="L49" s="365"/>
      <c r="M49" s="365"/>
      <c r="N49" s="388"/>
      <c r="O49" s="388"/>
      <c r="P49" s="388"/>
      <c r="Q49" s="388"/>
      <c r="R49" s="388"/>
      <c r="S49" s="388"/>
      <c r="T49" s="365"/>
      <c r="U49" s="389"/>
      <c r="V49" s="389"/>
      <c r="W49" s="389"/>
      <c r="X49" s="380"/>
      <c r="Y49" s="365"/>
    </row>
  </sheetData>
  <conditionalFormatting sqref="A3">
    <cfRule type="containsText" dxfId="16" priority="4" operator="containsText" text="OK">
      <formula>NOT(ISERROR(SEARCH("OK",A3)))</formula>
    </cfRule>
    <cfRule type="containsText" dxfId="15" priority="5" operator="containsText" text="Error">
      <formula>NOT(ISERROR(SEARCH("Error",A3)))</formula>
    </cfRule>
  </conditionalFormatting>
  <pageMargins left="0.7" right="0.7" top="0.75" bottom="0.75" header="0.3" footer="0.3"/>
  <pageSetup paperSize="9" orientation="portrait" r:id="rId1"/>
  <headerFooter>
    <oddFooter>&amp;C&amp;7&amp;B&amp;"Arial"Document Classification: KPMG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3169" r:id="rId4" name="Button 1">
              <controlPr defaultSize="0" autoFill="0" autoPict="0" macro="[0]!scenario1">
                <anchor moveWithCells="1" sizeWithCells="1">
                  <from>
                    <xdr:col>7</xdr:col>
                    <xdr:colOff>22860</xdr:colOff>
                    <xdr:row>1</xdr:row>
                    <xdr:rowOff>30480</xdr:rowOff>
                  </from>
                  <to>
                    <xdr:col>7</xdr:col>
                    <xdr:colOff>335280</xdr:colOff>
                    <xdr:row>2</xdr:row>
                    <xdr:rowOff>106680</xdr:rowOff>
                  </to>
                </anchor>
              </controlPr>
            </control>
          </mc:Choice>
        </mc:AlternateContent>
        <mc:AlternateContent xmlns:mc="http://schemas.openxmlformats.org/markup-compatibility/2006">
          <mc:Choice Requires="x14">
            <control shapeId="1543170" r:id="rId5" name="Button 2">
              <controlPr defaultSize="0" autoFill="0" autoPict="0" macro="[0]!scenario2">
                <anchor moveWithCells="1" sizeWithCells="1">
                  <from>
                    <xdr:col>7</xdr:col>
                    <xdr:colOff>342900</xdr:colOff>
                    <xdr:row>1</xdr:row>
                    <xdr:rowOff>30480</xdr:rowOff>
                  </from>
                  <to>
                    <xdr:col>7</xdr:col>
                    <xdr:colOff>662940</xdr:colOff>
                    <xdr:row>2</xdr:row>
                    <xdr:rowOff>106680</xdr:rowOff>
                  </to>
                </anchor>
              </controlPr>
            </control>
          </mc:Choice>
        </mc:AlternateContent>
        <mc:AlternateContent xmlns:mc="http://schemas.openxmlformats.org/markup-compatibility/2006">
          <mc:Choice Requires="x14">
            <control shapeId="1543171" r:id="rId6" name="Button 3">
              <controlPr defaultSize="0" autoFill="0" autoPict="0" macro="[0]!scenario3">
                <anchor moveWithCells="1" sizeWithCells="1">
                  <from>
                    <xdr:col>7</xdr:col>
                    <xdr:colOff>670560</xdr:colOff>
                    <xdr:row>1</xdr:row>
                    <xdr:rowOff>30480</xdr:rowOff>
                  </from>
                  <to>
                    <xdr:col>9</xdr:col>
                    <xdr:colOff>15240</xdr:colOff>
                    <xdr:row>2</xdr:row>
                    <xdr:rowOff>106680</xdr:rowOff>
                  </to>
                </anchor>
              </controlPr>
            </control>
          </mc:Choice>
        </mc:AlternateContent>
        <mc:AlternateContent xmlns:mc="http://schemas.openxmlformats.org/markup-compatibility/2006">
          <mc:Choice Requires="x14">
            <control shapeId="1543172" r:id="rId7" name="Button 4">
              <controlPr defaultSize="0" print="0" autoFill="0" autoPict="0" macro="[0]!Module3.ModelMap">
                <anchor moveWithCells="1" sizeWithCells="1">
                  <from>
                    <xdr:col>5</xdr:col>
                    <xdr:colOff>2552700</xdr:colOff>
                    <xdr:row>1</xdr:row>
                    <xdr:rowOff>30480</xdr:rowOff>
                  </from>
                  <to>
                    <xdr:col>7</xdr:col>
                    <xdr:colOff>15240</xdr:colOff>
                    <xdr:row>2</xdr:row>
                    <xdr:rowOff>106680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FA14"/>
  <sheetViews>
    <sheetView showGridLines="0" zoomScaleNormal="100" zoomScaleSheetLayoutView="100" workbookViewId="0">
      <pane xSplit="4" ySplit="5" topLeftCell="E6" activePane="bottomRight" state="frozenSplit"/>
      <selection pane="topRight"/>
      <selection pane="bottomLeft"/>
      <selection pane="bottomRight" activeCell="H18" sqref="H18"/>
    </sheetView>
  </sheetViews>
  <sheetFormatPr defaultColWidth="4.44140625" defaultRowHeight="10.199999999999999" x14ac:dyDescent="0.2"/>
  <cols>
    <col min="1" max="1" width="44.109375" style="861" customWidth="1"/>
    <col min="2" max="2" width="5.77734375" style="861" customWidth="1"/>
    <col min="3" max="3" width="9.33203125" style="861" customWidth="1"/>
    <col min="4" max="12" width="9.44140625" style="861" customWidth="1"/>
    <col min="13" max="15" width="67.33203125" style="865" customWidth="1"/>
    <col min="16" max="16381" width="4.44140625" style="861" customWidth="1"/>
    <col min="16382" max="16384" width="4.44140625" style="878"/>
  </cols>
  <sheetData>
    <row r="1" spans="1:15" s="864" customFormat="1" ht="37.5" customHeight="1" x14ac:dyDescent="0.2">
      <c r="A1" s="861"/>
      <c r="B1" s="861"/>
      <c r="C1" s="862"/>
      <c r="D1" s="861"/>
      <c r="E1" s="863"/>
      <c r="M1" s="865"/>
    </row>
    <row r="2" spans="1:15" s="864" customFormat="1" ht="21.75" customHeight="1" x14ac:dyDescent="0.35">
      <c r="A2" s="866" t="s">
        <v>484</v>
      </c>
      <c r="B2" s="861"/>
      <c r="C2" s="861"/>
      <c r="D2" s="867"/>
    </row>
    <row r="3" spans="1:15" s="864" customFormat="1" ht="12.75" customHeight="1" x14ac:dyDescent="0.2">
      <c r="A3" s="861"/>
      <c r="B3" s="861"/>
      <c r="C3" s="861"/>
      <c r="D3" s="868"/>
      <c r="E3" s="861"/>
      <c r="F3" s="861"/>
      <c r="G3" s="861"/>
      <c r="H3" s="861"/>
      <c r="I3" s="861"/>
      <c r="J3" s="861"/>
      <c r="K3" s="861"/>
      <c r="L3" s="861"/>
      <c r="M3" s="865"/>
      <c r="N3" s="865"/>
      <c r="O3" s="865"/>
    </row>
    <row r="4" spans="1:15" s="864" customFormat="1" ht="12.75" customHeight="1" x14ac:dyDescent="0.2">
      <c r="A4" s="861"/>
      <c r="B4" s="861"/>
      <c r="C4" s="861"/>
      <c r="D4" s="861"/>
      <c r="E4" s="861"/>
      <c r="F4" s="861"/>
      <c r="G4" s="861"/>
      <c r="H4" s="861"/>
      <c r="I4" s="861"/>
      <c r="J4" s="861"/>
      <c r="K4" s="861"/>
      <c r="L4" s="861"/>
      <c r="M4" s="865"/>
      <c r="N4" s="865"/>
      <c r="O4" s="865"/>
    </row>
    <row r="5" spans="1:15" s="870" customFormat="1" ht="12.75" customHeight="1" x14ac:dyDescent="0.2">
      <c r="A5" s="869" t="s">
        <v>1531</v>
      </c>
      <c r="B5" s="869" t="s">
        <v>1532</v>
      </c>
      <c r="C5" s="869" t="s">
        <v>1533</v>
      </c>
      <c r="D5" s="869" t="s">
        <v>1534</v>
      </c>
      <c r="E5" s="869" t="s">
        <v>1535</v>
      </c>
      <c r="F5" s="869" t="s">
        <v>1536</v>
      </c>
      <c r="G5" s="869" t="s">
        <v>1537</v>
      </c>
      <c r="H5" s="869" t="s">
        <v>1538</v>
      </c>
      <c r="I5" s="869" t="s">
        <v>1539</v>
      </c>
      <c r="J5" s="869" t="s">
        <v>1540</v>
      </c>
      <c r="K5" s="869" t="s">
        <v>1541</v>
      </c>
      <c r="L5" s="869" t="s">
        <v>1542</v>
      </c>
      <c r="M5" s="869" t="s">
        <v>1543</v>
      </c>
      <c r="N5" s="869" t="s">
        <v>1544</v>
      </c>
      <c r="O5" s="869" t="s">
        <v>1545</v>
      </c>
    </row>
    <row r="6" spans="1:15" ht="12.75" customHeight="1" x14ac:dyDescent="0.2">
      <c r="A6" s="865" t="s">
        <v>1546</v>
      </c>
      <c r="B6" s="865" t="s">
        <v>1547</v>
      </c>
      <c r="C6" s="865" t="s">
        <v>721</v>
      </c>
      <c r="D6" s="865" t="s">
        <v>721</v>
      </c>
      <c r="E6" s="871">
        <v>5.7089999999999996</v>
      </c>
      <c r="F6" s="871">
        <v>5.5659999999999998</v>
      </c>
      <c r="G6" s="872">
        <v>6.8079999999999998</v>
      </c>
      <c r="H6" s="873">
        <v>8.1999999999999993</v>
      </c>
      <c r="I6" s="874">
        <v>8.9</v>
      </c>
      <c r="J6" s="874">
        <v>9.5</v>
      </c>
      <c r="K6" s="873">
        <v>9.6</v>
      </c>
      <c r="L6" s="873">
        <v>9.8000000000000007</v>
      </c>
      <c r="M6" s="865" t="s">
        <v>1548</v>
      </c>
      <c r="N6" s="865" t="s">
        <v>1549</v>
      </c>
      <c r="O6" s="865" t="s">
        <v>1550</v>
      </c>
    </row>
    <row r="7" spans="1:15" ht="12.75" customHeight="1" x14ac:dyDescent="0.2">
      <c r="A7" s="865" t="s">
        <v>1551</v>
      </c>
      <c r="B7" s="865" t="s">
        <v>1552</v>
      </c>
      <c r="C7" s="865" t="s">
        <v>721</v>
      </c>
      <c r="D7" s="865" t="s">
        <v>721</v>
      </c>
      <c r="E7" s="871">
        <v>1.113</v>
      </c>
      <c r="F7" s="871">
        <v>0.88700000000000001</v>
      </c>
      <c r="G7" s="872">
        <v>1.304</v>
      </c>
      <c r="H7" s="874">
        <v>2.2999999999999998</v>
      </c>
      <c r="I7" s="873">
        <v>3.2</v>
      </c>
      <c r="J7" s="873">
        <v>3.8</v>
      </c>
      <c r="K7" s="873">
        <v>4</v>
      </c>
      <c r="L7" s="873">
        <v>4.3</v>
      </c>
      <c r="M7" s="865" t="s">
        <v>1553</v>
      </c>
      <c r="N7" s="865" t="s">
        <v>1554</v>
      </c>
      <c r="O7" s="865" t="s">
        <v>1550</v>
      </c>
    </row>
    <row r="8" spans="1:15" ht="12.75" customHeight="1" x14ac:dyDescent="0.2">
      <c r="A8" s="865" t="s">
        <v>1555</v>
      </c>
      <c r="B8" s="865" t="s">
        <v>1556</v>
      </c>
      <c r="C8" s="865" t="s">
        <v>721</v>
      </c>
      <c r="D8" s="865" t="s">
        <v>721</v>
      </c>
      <c r="E8" s="871">
        <v>0.34399999999999997</v>
      </c>
      <c r="F8" s="871">
        <v>0.68300000000000005</v>
      </c>
      <c r="G8" s="872">
        <v>2.2170000000000001</v>
      </c>
      <c r="H8" s="873">
        <v>2.8</v>
      </c>
      <c r="I8" s="873">
        <v>3.2</v>
      </c>
      <c r="J8" s="873">
        <v>3.6</v>
      </c>
      <c r="K8" s="873">
        <v>3.7</v>
      </c>
      <c r="L8" s="873">
        <v>3.9</v>
      </c>
      <c r="M8" s="865" t="s">
        <v>1557</v>
      </c>
      <c r="N8" s="865" t="s">
        <v>721</v>
      </c>
      <c r="O8" s="865" t="s">
        <v>1558</v>
      </c>
    </row>
    <row r="9" spans="1:15" ht="12.75" customHeight="1" x14ac:dyDescent="0.2">
      <c r="E9" s="875"/>
      <c r="F9" s="875"/>
      <c r="G9" s="875"/>
      <c r="H9" s="875"/>
      <c r="I9" s="875"/>
      <c r="J9" s="875"/>
      <c r="K9" s="875"/>
      <c r="L9" s="875"/>
    </row>
    <row r="10" spans="1:15" ht="12.75" customHeight="1" x14ac:dyDescent="0.2">
      <c r="A10" s="865" t="s">
        <v>1559</v>
      </c>
      <c r="E10" s="875"/>
      <c r="F10" s="875"/>
      <c r="G10" s="875"/>
      <c r="H10" s="875"/>
      <c r="I10" s="875"/>
      <c r="J10" s="875"/>
      <c r="K10" s="875"/>
      <c r="L10" s="875"/>
    </row>
    <row r="11" spans="1:15" ht="12.75" customHeight="1" x14ac:dyDescent="0.2">
      <c r="A11" s="863" t="s">
        <v>1560</v>
      </c>
    </row>
    <row r="12" spans="1:15" ht="12.75" customHeight="1" x14ac:dyDescent="0.2">
      <c r="A12" s="864" t="s">
        <v>1561</v>
      </c>
    </row>
    <row r="13" spans="1:15" ht="12.75" customHeight="1" x14ac:dyDescent="0.2">
      <c r="A13" s="876" t="s">
        <v>1562</v>
      </c>
    </row>
    <row r="14" spans="1:15" ht="12.75" customHeight="1" x14ac:dyDescent="0.2">
      <c r="A14" s="877" t="s">
        <v>1563</v>
      </c>
    </row>
  </sheetData>
  <pageMargins left="0.75" right="0.75" top="1" bottom="1" header="0.5" footer="0.5"/>
  <pageSetup paperSize="9" orientation="portrait" horizontalDpi="300" verticalDpi="300"/>
  <headerFooter alignWithMargins="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91"/>
  <sheetViews>
    <sheetView topLeftCell="A7" workbookViewId="0">
      <pane xSplit="2" ySplit="2" topLeftCell="C92" activePane="bottomRight" state="frozen"/>
      <selection activeCell="D30" sqref="D30"/>
      <selection pane="topRight" activeCell="D30" sqref="D30"/>
      <selection pane="bottomLeft" activeCell="D30" sqref="D30"/>
      <selection pane="bottomRight" activeCell="D30" sqref="D30"/>
    </sheetView>
  </sheetViews>
  <sheetFormatPr defaultRowHeight="13.2" x14ac:dyDescent="0.25"/>
  <cols>
    <col min="1" max="1" width="8.6640625" style="815" customWidth="1"/>
    <col min="2" max="2" width="28.6640625" style="815" customWidth="1"/>
    <col min="3" max="4" width="15.6640625" style="815" customWidth="1"/>
    <col min="5" max="6" width="14.6640625" style="815" customWidth="1"/>
    <col min="7" max="8" width="15.6640625" style="815" customWidth="1"/>
    <col min="9" max="10" width="13.6640625" style="815" customWidth="1"/>
    <col min="11" max="11" width="13.44140625" style="815" bestFit="1" customWidth="1"/>
    <col min="12" max="13" width="8.88671875" style="815"/>
    <col min="14" max="14" width="12" style="815" customWidth="1"/>
    <col min="15" max="256" width="8.88671875" style="815"/>
    <col min="257" max="257" width="8.6640625" style="815" customWidth="1"/>
    <col min="258" max="258" width="28.6640625" style="815" customWidth="1"/>
    <col min="259" max="260" width="15.6640625" style="815" customWidth="1"/>
    <col min="261" max="262" width="14.6640625" style="815" customWidth="1"/>
    <col min="263" max="264" width="15.6640625" style="815" customWidth="1"/>
    <col min="265" max="266" width="13.6640625" style="815" customWidth="1"/>
    <col min="267" max="267" width="13.44140625" style="815" bestFit="1" customWidth="1"/>
    <col min="268" max="512" width="8.88671875" style="815"/>
    <col min="513" max="513" width="8.6640625" style="815" customWidth="1"/>
    <col min="514" max="514" width="28.6640625" style="815" customWidth="1"/>
    <col min="515" max="516" width="15.6640625" style="815" customWidth="1"/>
    <col min="517" max="518" width="14.6640625" style="815" customWidth="1"/>
    <col min="519" max="520" width="15.6640625" style="815" customWidth="1"/>
    <col min="521" max="522" width="13.6640625" style="815" customWidth="1"/>
    <col min="523" max="523" width="13.44140625" style="815" bestFit="1" customWidth="1"/>
    <col min="524" max="768" width="8.88671875" style="815"/>
    <col min="769" max="769" width="8.6640625" style="815" customWidth="1"/>
    <col min="770" max="770" width="28.6640625" style="815" customWidth="1"/>
    <col min="771" max="772" width="15.6640625" style="815" customWidth="1"/>
    <col min="773" max="774" width="14.6640625" style="815" customWidth="1"/>
    <col min="775" max="776" width="15.6640625" style="815" customWidth="1"/>
    <col min="777" max="778" width="13.6640625" style="815" customWidth="1"/>
    <col min="779" max="779" width="13.44140625" style="815" bestFit="1" customWidth="1"/>
    <col min="780" max="1024" width="8.88671875" style="815"/>
    <col min="1025" max="1025" width="8.6640625" style="815" customWidth="1"/>
    <col min="1026" max="1026" width="28.6640625" style="815" customWidth="1"/>
    <col min="1027" max="1028" width="15.6640625" style="815" customWidth="1"/>
    <col min="1029" max="1030" width="14.6640625" style="815" customWidth="1"/>
    <col min="1031" max="1032" width="15.6640625" style="815" customWidth="1"/>
    <col min="1033" max="1034" width="13.6640625" style="815" customWidth="1"/>
    <col min="1035" max="1035" width="13.44140625" style="815" bestFit="1" customWidth="1"/>
    <col min="1036" max="1280" width="8.88671875" style="815"/>
    <col min="1281" max="1281" width="8.6640625" style="815" customWidth="1"/>
    <col min="1282" max="1282" width="28.6640625" style="815" customWidth="1"/>
    <col min="1283" max="1284" width="15.6640625" style="815" customWidth="1"/>
    <col min="1285" max="1286" width="14.6640625" style="815" customWidth="1"/>
    <col min="1287" max="1288" width="15.6640625" style="815" customWidth="1"/>
    <col min="1289" max="1290" width="13.6640625" style="815" customWidth="1"/>
    <col min="1291" max="1291" width="13.44140625" style="815" bestFit="1" customWidth="1"/>
    <col min="1292" max="1536" width="8.88671875" style="815"/>
    <col min="1537" max="1537" width="8.6640625" style="815" customWidth="1"/>
    <col min="1538" max="1538" width="28.6640625" style="815" customWidth="1"/>
    <col min="1539" max="1540" width="15.6640625" style="815" customWidth="1"/>
    <col min="1541" max="1542" width="14.6640625" style="815" customWidth="1"/>
    <col min="1543" max="1544" width="15.6640625" style="815" customWidth="1"/>
    <col min="1545" max="1546" width="13.6640625" style="815" customWidth="1"/>
    <col min="1547" max="1547" width="13.44140625" style="815" bestFit="1" customWidth="1"/>
    <col min="1548" max="1792" width="8.88671875" style="815"/>
    <col min="1793" max="1793" width="8.6640625" style="815" customWidth="1"/>
    <col min="1794" max="1794" width="28.6640625" style="815" customWidth="1"/>
    <col min="1795" max="1796" width="15.6640625" style="815" customWidth="1"/>
    <col min="1797" max="1798" width="14.6640625" style="815" customWidth="1"/>
    <col min="1799" max="1800" width="15.6640625" style="815" customWidth="1"/>
    <col min="1801" max="1802" width="13.6640625" style="815" customWidth="1"/>
    <col min="1803" max="1803" width="13.44140625" style="815" bestFit="1" customWidth="1"/>
    <col min="1804" max="2048" width="8.88671875" style="815"/>
    <col min="2049" max="2049" width="8.6640625" style="815" customWidth="1"/>
    <col min="2050" max="2050" width="28.6640625" style="815" customWidth="1"/>
    <col min="2051" max="2052" width="15.6640625" style="815" customWidth="1"/>
    <col min="2053" max="2054" width="14.6640625" style="815" customWidth="1"/>
    <col min="2055" max="2056" width="15.6640625" style="815" customWidth="1"/>
    <col min="2057" max="2058" width="13.6640625" style="815" customWidth="1"/>
    <col min="2059" max="2059" width="13.44140625" style="815" bestFit="1" customWidth="1"/>
    <col min="2060" max="2304" width="8.88671875" style="815"/>
    <col min="2305" max="2305" width="8.6640625" style="815" customWidth="1"/>
    <col min="2306" max="2306" width="28.6640625" style="815" customWidth="1"/>
    <col min="2307" max="2308" width="15.6640625" style="815" customWidth="1"/>
    <col min="2309" max="2310" width="14.6640625" style="815" customWidth="1"/>
    <col min="2311" max="2312" width="15.6640625" style="815" customWidth="1"/>
    <col min="2313" max="2314" width="13.6640625" style="815" customWidth="1"/>
    <col min="2315" max="2315" width="13.44140625" style="815" bestFit="1" customWidth="1"/>
    <col min="2316" max="2560" width="8.88671875" style="815"/>
    <col min="2561" max="2561" width="8.6640625" style="815" customWidth="1"/>
    <col min="2562" max="2562" width="28.6640625" style="815" customWidth="1"/>
    <col min="2563" max="2564" width="15.6640625" style="815" customWidth="1"/>
    <col min="2565" max="2566" width="14.6640625" style="815" customWidth="1"/>
    <col min="2567" max="2568" width="15.6640625" style="815" customWidth="1"/>
    <col min="2569" max="2570" width="13.6640625" style="815" customWidth="1"/>
    <col min="2571" max="2571" width="13.44140625" style="815" bestFit="1" customWidth="1"/>
    <col min="2572" max="2816" width="8.88671875" style="815"/>
    <col min="2817" max="2817" width="8.6640625" style="815" customWidth="1"/>
    <col min="2818" max="2818" width="28.6640625" style="815" customWidth="1"/>
    <col min="2819" max="2820" width="15.6640625" style="815" customWidth="1"/>
    <col min="2821" max="2822" width="14.6640625" style="815" customWidth="1"/>
    <col min="2823" max="2824" width="15.6640625" style="815" customWidth="1"/>
    <col min="2825" max="2826" width="13.6640625" style="815" customWidth="1"/>
    <col min="2827" max="2827" width="13.44140625" style="815" bestFit="1" customWidth="1"/>
    <col min="2828" max="3072" width="8.88671875" style="815"/>
    <col min="3073" max="3073" width="8.6640625" style="815" customWidth="1"/>
    <col min="3074" max="3074" width="28.6640625" style="815" customWidth="1"/>
    <col min="3075" max="3076" width="15.6640625" style="815" customWidth="1"/>
    <col min="3077" max="3078" width="14.6640625" style="815" customWidth="1"/>
    <col min="3079" max="3080" width="15.6640625" style="815" customWidth="1"/>
    <col min="3081" max="3082" width="13.6640625" style="815" customWidth="1"/>
    <col min="3083" max="3083" width="13.44140625" style="815" bestFit="1" customWidth="1"/>
    <col min="3084" max="3328" width="8.88671875" style="815"/>
    <col min="3329" max="3329" width="8.6640625" style="815" customWidth="1"/>
    <col min="3330" max="3330" width="28.6640625" style="815" customWidth="1"/>
    <col min="3331" max="3332" width="15.6640625" style="815" customWidth="1"/>
    <col min="3333" max="3334" width="14.6640625" style="815" customWidth="1"/>
    <col min="3335" max="3336" width="15.6640625" style="815" customWidth="1"/>
    <col min="3337" max="3338" width="13.6640625" style="815" customWidth="1"/>
    <col min="3339" max="3339" width="13.44140625" style="815" bestFit="1" customWidth="1"/>
    <col min="3340" max="3584" width="8.88671875" style="815"/>
    <col min="3585" max="3585" width="8.6640625" style="815" customWidth="1"/>
    <col min="3586" max="3586" width="28.6640625" style="815" customWidth="1"/>
    <col min="3587" max="3588" width="15.6640625" style="815" customWidth="1"/>
    <col min="3589" max="3590" width="14.6640625" style="815" customWidth="1"/>
    <col min="3591" max="3592" width="15.6640625" style="815" customWidth="1"/>
    <col min="3593" max="3594" width="13.6640625" style="815" customWidth="1"/>
    <col min="3595" max="3595" width="13.44140625" style="815" bestFit="1" customWidth="1"/>
    <col min="3596" max="3840" width="8.88671875" style="815"/>
    <col min="3841" max="3841" width="8.6640625" style="815" customWidth="1"/>
    <col min="3842" max="3842" width="28.6640625" style="815" customWidth="1"/>
    <col min="3843" max="3844" width="15.6640625" style="815" customWidth="1"/>
    <col min="3845" max="3846" width="14.6640625" style="815" customWidth="1"/>
    <col min="3847" max="3848" width="15.6640625" style="815" customWidth="1"/>
    <col min="3849" max="3850" width="13.6640625" style="815" customWidth="1"/>
    <col min="3851" max="3851" width="13.44140625" style="815" bestFit="1" customWidth="1"/>
    <col min="3852" max="4096" width="8.88671875" style="815"/>
    <col min="4097" max="4097" width="8.6640625" style="815" customWidth="1"/>
    <col min="4098" max="4098" width="28.6640625" style="815" customWidth="1"/>
    <col min="4099" max="4100" width="15.6640625" style="815" customWidth="1"/>
    <col min="4101" max="4102" width="14.6640625" style="815" customWidth="1"/>
    <col min="4103" max="4104" width="15.6640625" style="815" customWidth="1"/>
    <col min="4105" max="4106" width="13.6640625" style="815" customWidth="1"/>
    <col min="4107" max="4107" width="13.44140625" style="815" bestFit="1" customWidth="1"/>
    <col min="4108" max="4352" width="8.88671875" style="815"/>
    <col min="4353" max="4353" width="8.6640625" style="815" customWidth="1"/>
    <col min="4354" max="4354" width="28.6640625" style="815" customWidth="1"/>
    <col min="4355" max="4356" width="15.6640625" style="815" customWidth="1"/>
    <col min="4357" max="4358" width="14.6640625" style="815" customWidth="1"/>
    <col min="4359" max="4360" width="15.6640625" style="815" customWidth="1"/>
    <col min="4361" max="4362" width="13.6640625" style="815" customWidth="1"/>
    <col min="4363" max="4363" width="13.44140625" style="815" bestFit="1" customWidth="1"/>
    <col min="4364" max="4608" width="8.88671875" style="815"/>
    <col min="4609" max="4609" width="8.6640625" style="815" customWidth="1"/>
    <col min="4610" max="4610" width="28.6640625" style="815" customWidth="1"/>
    <col min="4611" max="4612" width="15.6640625" style="815" customWidth="1"/>
    <col min="4613" max="4614" width="14.6640625" style="815" customWidth="1"/>
    <col min="4615" max="4616" width="15.6640625" style="815" customWidth="1"/>
    <col min="4617" max="4618" width="13.6640625" style="815" customWidth="1"/>
    <col min="4619" max="4619" width="13.44140625" style="815" bestFit="1" customWidth="1"/>
    <col min="4620" max="4864" width="8.88671875" style="815"/>
    <col min="4865" max="4865" width="8.6640625" style="815" customWidth="1"/>
    <col min="4866" max="4866" width="28.6640625" style="815" customWidth="1"/>
    <col min="4867" max="4868" width="15.6640625" style="815" customWidth="1"/>
    <col min="4869" max="4870" width="14.6640625" style="815" customWidth="1"/>
    <col min="4871" max="4872" width="15.6640625" style="815" customWidth="1"/>
    <col min="4873" max="4874" width="13.6640625" style="815" customWidth="1"/>
    <col min="4875" max="4875" width="13.44140625" style="815" bestFit="1" customWidth="1"/>
    <col min="4876" max="5120" width="8.88671875" style="815"/>
    <col min="5121" max="5121" width="8.6640625" style="815" customWidth="1"/>
    <col min="5122" max="5122" width="28.6640625" style="815" customWidth="1"/>
    <col min="5123" max="5124" width="15.6640625" style="815" customWidth="1"/>
    <col min="5125" max="5126" width="14.6640625" style="815" customWidth="1"/>
    <col min="5127" max="5128" width="15.6640625" style="815" customWidth="1"/>
    <col min="5129" max="5130" width="13.6640625" style="815" customWidth="1"/>
    <col min="5131" max="5131" width="13.44140625" style="815" bestFit="1" customWidth="1"/>
    <col min="5132" max="5376" width="8.88671875" style="815"/>
    <col min="5377" max="5377" width="8.6640625" style="815" customWidth="1"/>
    <col min="5378" max="5378" width="28.6640625" style="815" customWidth="1"/>
    <col min="5379" max="5380" width="15.6640625" style="815" customWidth="1"/>
    <col min="5381" max="5382" width="14.6640625" style="815" customWidth="1"/>
    <col min="5383" max="5384" width="15.6640625" style="815" customWidth="1"/>
    <col min="5385" max="5386" width="13.6640625" style="815" customWidth="1"/>
    <col min="5387" max="5387" width="13.44140625" style="815" bestFit="1" customWidth="1"/>
    <col min="5388" max="5632" width="8.88671875" style="815"/>
    <col min="5633" max="5633" width="8.6640625" style="815" customWidth="1"/>
    <col min="5634" max="5634" width="28.6640625" style="815" customWidth="1"/>
    <col min="5635" max="5636" width="15.6640625" style="815" customWidth="1"/>
    <col min="5637" max="5638" width="14.6640625" style="815" customWidth="1"/>
    <col min="5639" max="5640" width="15.6640625" style="815" customWidth="1"/>
    <col min="5641" max="5642" width="13.6640625" style="815" customWidth="1"/>
    <col min="5643" max="5643" width="13.44140625" style="815" bestFit="1" customWidth="1"/>
    <col min="5644" max="5888" width="8.88671875" style="815"/>
    <col min="5889" max="5889" width="8.6640625" style="815" customWidth="1"/>
    <col min="5890" max="5890" width="28.6640625" style="815" customWidth="1"/>
    <col min="5891" max="5892" width="15.6640625" style="815" customWidth="1"/>
    <col min="5893" max="5894" width="14.6640625" style="815" customWidth="1"/>
    <col min="5895" max="5896" width="15.6640625" style="815" customWidth="1"/>
    <col min="5897" max="5898" width="13.6640625" style="815" customWidth="1"/>
    <col min="5899" max="5899" width="13.44140625" style="815" bestFit="1" customWidth="1"/>
    <col min="5900" max="6144" width="8.88671875" style="815"/>
    <col min="6145" max="6145" width="8.6640625" style="815" customWidth="1"/>
    <col min="6146" max="6146" width="28.6640625" style="815" customWidth="1"/>
    <col min="6147" max="6148" width="15.6640625" style="815" customWidth="1"/>
    <col min="6149" max="6150" width="14.6640625" style="815" customWidth="1"/>
    <col min="6151" max="6152" width="15.6640625" style="815" customWidth="1"/>
    <col min="6153" max="6154" width="13.6640625" style="815" customWidth="1"/>
    <col min="6155" max="6155" width="13.44140625" style="815" bestFit="1" customWidth="1"/>
    <col min="6156" max="6400" width="8.88671875" style="815"/>
    <col min="6401" max="6401" width="8.6640625" style="815" customWidth="1"/>
    <col min="6402" max="6402" width="28.6640625" style="815" customWidth="1"/>
    <col min="6403" max="6404" width="15.6640625" style="815" customWidth="1"/>
    <col min="6405" max="6406" width="14.6640625" style="815" customWidth="1"/>
    <col min="6407" max="6408" width="15.6640625" style="815" customWidth="1"/>
    <col min="6409" max="6410" width="13.6640625" style="815" customWidth="1"/>
    <col min="6411" max="6411" width="13.44140625" style="815" bestFit="1" customWidth="1"/>
    <col min="6412" max="6656" width="8.88671875" style="815"/>
    <col min="6657" max="6657" width="8.6640625" style="815" customWidth="1"/>
    <col min="6658" max="6658" width="28.6640625" style="815" customWidth="1"/>
    <col min="6659" max="6660" width="15.6640625" style="815" customWidth="1"/>
    <col min="6661" max="6662" width="14.6640625" style="815" customWidth="1"/>
    <col min="6663" max="6664" width="15.6640625" style="815" customWidth="1"/>
    <col min="6665" max="6666" width="13.6640625" style="815" customWidth="1"/>
    <col min="6667" max="6667" width="13.44140625" style="815" bestFit="1" customWidth="1"/>
    <col min="6668" max="6912" width="8.88671875" style="815"/>
    <col min="6913" max="6913" width="8.6640625" style="815" customWidth="1"/>
    <col min="6914" max="6914" width="28.6640625" style="815" customWidth="1"/>
    <col min="6915" max="6916" width="15.6640625" style="815" customWidth="1"/>
    <col min="6917" max="6918" width="14.6640625" style="815" customWidth="1"/>
    <col min="6919" max="6920" width="15.6640625" style="815" customWidth="1"/>
    <col min="6921" max="6922" width="13.6640625" style="815" customWidth="1"/>
    <col min="6923" max="6923" width="13.44140625" style="815" bestFit="1" customWidth="1"/>
    <col min="6924" max="7168" width="8.88671875" style="815"/>
    <col min="7169" max="7169" width="8.6640625" style="815" customWidth="1"/>
    <col min="7170" max="7170" width="28.6640625" style="815" customWidth="1"/>
    <col min="7171" max="7172" width="15.6640625" style="815" customWidth="1"/>
    <col min="7173" max="7174" width="14.6640625" style="815" customWidth="1"/>
    <col min="7175" max="7176" width="15.6640625" style="815" customWidth="1"/>
    <col min="7177" max="7178" width="13.6640625" style="815" customWidth="1"/>
    <col min="7179" max="7179" width="13.44140625" style="815" bestFit="1" customWidth="1"/>
    <col min="7180" max="7424" width="8.88671875" style="815"/>
    <col min="7425" max="7425" width="8.6640625" style="815" customWidth="1"/>
    <col min="7426" max="7426" width="28.6640625" style="815" customWidth="1"/>
    <col min="7427" max="7428" width="15.6640625" style="815" customWidth="1"/>
    <col min="7429" max="7430" width="14.6640625" style="815" customWidth="1"/>
    <col min="7431" max="7432" width="15.6640625" style="815" customWidth="1"/>
    <col min="7433" max="7434" width="13.6640625" style="815" customWidth="1"/>
    <col min="7435" max="7435" width="13.44140625" style="815" bestFit="1" customWidth="1"/>
    <col min="7436" max="7680" width="8.88671875" style="815"/>
    <col min="7681" max="7681" width="8.6640625" style="815" customWidth="1"/>
    <col min="7682" max="7682" width="28.6640625" style="815" customWidth="1"/>
    <col min="7683" max="7684" width="15.6640625" style="815" customWidth="1"/>
    <col min="7685" max="7686" width="14.6640625" style="815" customWidth="1"/>
    <col min="7687" max="7688" width="15.6640625" style="815" customWidth="1"/>
    <col min="7689" max="7690" width="13.6640625" style="815" customWidth="1"/>
    <col min="7691" max="7691" width="13.44140625" style="815" bestFit="1" customWidth="1"/>
    <col min="7692" max="7936" width="8.88671875" style="815"/>
    <col min="7937" max="7937" width="8.6640625" style="815" customWidth="1"/>
    <col min="7938" max="7938" width="28.6640625" style="815" customWidth="1"/>
    <col min="7939" max="7940" width="15.6640625" style="815" customWidth="1"/>
    <col min="7941" max="7942" width="14.6640625" style="815" customWidth="1"/>
    <col min="7943" max="7944" width="15.6640625" style="815" customWidth="1"/>
    <col min="7945" max="7946" width="13.6640625" style="815" customWidth="1"/>
    <col min="7947" max="7947" width="13.44140625" style="815" bestFit="1" customWidth="1"/>
    <col min="7948" max="8192" width="8.88671875" style="815"/>
    <col min="8193" max="8193" width="8.6640625" style="815" customWidth="1"/>
    <col min="8194" max="8194" width="28.6640625" style="815" customWidth="1"/>
    <col min="8195" max="8196" width="15.6640625" style="815" customWidth="1"/>
    <col min="8197" max="8198" width="14.6640625" style="815" customWidth="1"/>
    <col min="8199" max="8200" width="15.6640625" style="815" customWidth="1"/>
    <col min="8201" max="8202" width="13.6640625" style="815" customWidth="1"/>
    <col min="8203" max="8203" width="13.44140625" style="815" bestFit="1" customWidth="1"/>
    <col min="8204" max="8448" width="8.88671875" style="815"/>
    <col min="8449" max="8449" width="8.6640625" style="815" customWidth="1"/>
    <col min="8450" max="8450" width="28.6640625" style="815" customWidth="1"/>
    <col min="8451" max="8452" width="15.6640625" style="815" customWidth="1"/>
    <col min="8453" max="8454" width="14.6640625" style="815" customWidth="1"/>
    <col min="8455" max="8456" width="15.6640625" style="815" customWidth="1"/>
    <col min="8457" max="8458" width="13.6640625" style="815" customWidth="1"/>
    <col min="8459" max="8459" width="13.44140625" style="815" bestFit="1" customWidth="1"/>
    <col min="8460" max="8704" width="8.88671875" style="815"/>
    <col min="8705" max="8705" width="8.6640625" style="815" customWidth="1"/>
    <col min="8706" max="8706" width="28.6640625" style="815" customWidth="1"/>
    <col min="8707" max="8708" width="15.6640625" style="815" customWidth="1"/>
    <col min="8709" max="8710" width="14.6640625" style="815" customWidth="1"/>
    <col min="8711" max="8712" width="15.6640625" style="815" customWidth="1"/>
    <col min="8713" max="8714" width="13.6640625" style="815" customWidth="1"/>
    <col min="8715" max="8715" width="13.44140625" style="815" bestFit="1" customWidth="1"/>
    <col min="8716" max="8960" width="8.88671875" style="815"/>
    <col min="8961" max="8961" width="8.6640625" style="815" customWidth="1"/>
    <col min="8962" max="8962" width="28.6640625" style="815" customWidth="1"/>
    <col min="8963" max="8964" width="15.6640625" style="815" customWidth="1"/>
    <col min="8965" max="8966" width="14.6640625" style="815" customWidth="1"/>
    <col min="8967" max="8968" width="15.6640625" style="815" customWidth="1"/>
    <col min="8969" max="8970" width="13.6640625" style="815" customWidth="1"/>
    <col min="8971" max="8971" width="13.44140625" style="815" bestFit="1" customWidth="1"/>
    <col min="8972" max="9216" width="8.88671875" style="815"/>
    <col min="9217" max="9217" width="8.6640625" style="815" customWidth="1"/>
    <col min="9218" max="9218" width="28.6640625" style="815" customWidth="1"/>
    <col min="9219" max="9220" width="15.6640625" style="815" customWidth="1"/>
    <col min="9221" max="9222" width="14.6640625" style="815" customWidth="1"/>
    <col min="9223" max="9224" width="15.6640625" style="815" customWidth="1"/>
    <col min="9225" max="9226" width="13.6640625" style="815" customWidth="1"/>
    <col min="9227" max="9227" width="13.44140625" style="815" bestFit="1" customWidth="1"/>
    <col min="9228" max="9472" width="8.88671875" style="815"/>
    <col min="9473" max="9473" width="8.6640625" style="815" customWidth="1"/>
    <col min="9474" max="9474" width="28.6640625" style="815" customWidth="1"/>
    <col min="9475" max="9476" width="15.6640625" style="815" customWidth="1"/>
    <col min="9477" max="9478" width="14.6640625" style="815" customWidth="1"/>
    <col min="9479" max="9480" width="15.6640625" style="815" customWidth="1"/>
    <col min="9481" max="9482" width="13.6640625" style="815" customWidth="1"/>
    <col min="9483" max="9483" width="13.44140625" style="815" bestFit="1" customWidth="1"/>
    <col min="9484" max="9728" width="8.88671875" style="815"/>
    <col min="9729" max="9729" width="8.6640625" style="815" customWidth="1"/>
    <col min="9730" max="9730" width="28.6640625" style="815" customWidth="1"/>
    <col min="9731" max="9732" width="15.6640625" style="815" customWidth="1"/>
    <col min="9733" max="9734" width="14.6640625" style="815" customWidth="1"/>
    <col min="9735" max="9736" width="15.6640625" style="815" customWidth="1"/>
    <col min="9737" max="9738" width="13.6640625" style="815" customWidth="1"/>
    <col min="9739" max="9739" width="13.44140625" style="815" bestFit="1" customWidth="1"/>
    <col min="9740" max="9984" width="8.88671875" style="815"/>
    <col min="9985" max="9985" width="8.6640625" style="815" customWidth="1"/>
    <col min="9986" max="9986" width="28.6640625" style="815" customWidth="1"/>
    <col min="9987" max="9988" width="15.6640625" style="815" customWidth="1"/>
    <col min="9989" max="9990" width="14.6640625" style="815" customWidth="1"/>
    <col min="9991" max="9992" width="15.6640625" style="815" customWidth="1"/>
    <col min="9993" max="9994" width="13.6640625" style="815" customWidth="1"/>
    <col min="9995" max="9995" width="13.44140625" style="815" bestFit="1" customWidth="1"/>
    <col min="9996" max="10240" width="8.88671875" style="815"/>
    <col min="10241" max="10241" width="8.6640625" style="815" customWidth="1"/>
    <col min="10242" max="10242" width="28.6640625" style="815" customWidth="1"/>
    <col min="10243" max="10244" width="15.6640625" style="815" customWidth="1"/>
    <col min="10245" max="10246" width="14.6640625" style="815" customWidth="1"/>
    <col min="10247" max="10248" width="15.6640625" style="815" customWidth="1"/>
    <col min="10249" max="10250" width="13.6640625" style="815" customWidth="1"/>
    <col min="10251" max="10251" width="13.44140625" style="815" bestFit="1" customWidth="1"/>
    <col min="10252" max="10496" width="8.88671875" style="815"/>
    <col min="10497" max="10497" width="8.6640625" style="815" customWidth="1"/>
    <col min="10498" max="10498" width="28.6640625" style="815" customWidth="1"/>
    <col min="10499" max="10500" width="15.6640625" style="815" customWidth="1"/>
    <col min="10501" max="10502" width="14.6640625" style="815" customWidth="1"/>
    <col min="10503" max="10504" width="15.6640625" style="815" customWidth="1"/>
    <col min="10505" max="10506" width="13.6640625" style="815" customWidth="1"/>
    <col min="10507" max="10507" width="13.44140625" style="815" bestFit="1" customWidth="1"/>
    <col min="10508" max="10752" width="8.88671875" style="815"/>
    <col min="10753" max="10753" width="8.6640625" style="815" customWidth="1"/>
    <col min="10754" max="10754" width="28.6640625" style="815" customWidth="1"/>
    <col min="10755" max="10756" width="15.6640625" style="815" customWidth="1"/>
    <col min="10757" max="10758" width="14.6640625" style="815" customWidth="1"/>
    <col min="10759" max="10760" width="15.6640625" style="815" customWidth="1"/>
    <col min="10761" max="10762" width="13.6640625" style="815" customWidth="1"/>
    <col min="10763" max="10763" width="13.44140625" style="815" bestFit="1" customWidth="1"/>
    <col min="10764" max="11008" width="8.88671875" style="815"/>
    <col min="11009" max="11009" width="8.6640625" style="815" customWidth="1"/>
    <col min="11010" max="11010" width="28.6640625" style="815" customWidth="1"/>
    <col min="11011" max="11012" width="15.6640625" style="815" customWidth="1"/>
    <col min="11013" max="11014" width="14.6640625" style="815" customWidth="1"/>
    <col min="11015" max="11016" width="15.6640625" style="815" customWidth="1"/>
    <col min="11017" max="11018" width="13.6640625" style="815" customWidth="1"/>
    <col min="11019" max="11019" width="13.44140625" style="815" bestFit="1" customWidth="1"/>
    <col min="11020" max="11264" width="8.88671875" style="815"/>
    <col min="11265" max="11265" width="8.6640625" style="815" customWidth="1"/>
    <col min="11266" max="11266" width="28.6640625" style="815" customWidth="1"/>
    <col min="11267" max="11268" width="15.6640625" style="815" customWidth="1"/>
    <col min="11269" max="11270" width="14.6640625" style="815" customWidth="1"/>
    <col min="11271" max="11272" width="15.6640625" style="815" customWidth="1"/>
    <col min="11273" max="11274" width="13.6640625" style="815" customWidth="1"/>
    <col min="11275" max="11275" width="13.44140625" style="815" bestFit="1" customWidth="1"/>
    <col min="11276" max="11520" width="8.88671875" style="815"/>
    <col min="11521" max="11521" width="8.6640625" style="815" customWidth="1"/>
    <col min="11522" max="11522" width="28.6640625" style="815" customWidth="1"/>
    <col min="11523" max="11524" width="15.6640625" style="815" customWidth="1"/>
    <col min="11525" max="11526" width="14.6640625" style="815" customWidth="1"/>
    <col min="11527" max="11528" width="15.6640625" style="815" customWidth="1"/>
    <col min="11529" max="11530" width="13.6640625" style="815" customWidth="1"/>
    <col min="11531" max="11531" width="13.44140625" style="815" bestFit="1" customWidth="1"/>
    <col min="11532" max="11776" width="8.88671875" style="815"/>
    <col min="11777" max="11777" width="8.6640625" style="815" customWidth="1"/>
    <col min="11778" max="11778" width="28.6640625" style="815" customWidth="1"/>
    <col min="11779" max="11780" width="15.6640625" style="815" customWidth="1"/>
    <col min="11781" max="11782" width="14.6640625" style="815" customWidth="1"/>
    <col min="11783" max="11784" width="15.6640625" style="815" customWidth="1"/>
    <col min="11785" max="11786" width="13.6640625" style="815" customWidth="1"/>
    <col min="11787" max="11787" width="13.44140625" style="815" bestFit="1" customWidth="1"/>
    <col min="11788" max="12032" width="8.88671875" style="815"/>
    <col min="12033" max="12033" width="8.6640625" style="815" customWidth="1"/>
    <col min="12034" max="12034" width="28.6640625" style="815" customWidth="1"/>
    <col min="12035" max="12036" width="15.6640625" style="815" customWidth="1"/>
    <col min="12037" max="12038" width="14.6640625" style="815" customWidth="1"/>
    <col min="12039" max="12040" width="15.6640625" style="815" customWidth="1"/>
    <col min="12041" max="12042" width="13.6640625" style="815" customWidth="1"/>
    <col min="12043" max="12043" width="13.44140625" style="815" bestFit="1" customWidth="1"/>
    <col min="12044" max="12288" width="8.88671875" style="815"/>
    <col min="12289" max="12289" width="8.6640625" style="815" customWidth="1"/>
    <col min="12290" max="12290" width="28.6640625" style="815" customWidth="1"/>
    <col min="12291" max="12292" width="15.6640625" style="815" customWidth="1"/>
    <col min="12293" max="12294" width="14.6640625" style="815" customWidth="1"/>
    <col min="12295" max="12296" width="15.6640625" style="815" customWidth="1"/>
    <col min="12297" max="12298" width="13.6640625" style="815" customWidth="1"/>
    <col min="12299" max="12299" width="13.44140625" style="815" bestFit="1" customWidth="1"/>
    <col min="12300" max="12544" width="8.88671875" style="815"/>
    <col min="12545" max="12545" width="8.6640625" style="815" customWidth="1"/>
    <col min="12546" max="12546" width="28.6640625" style="815" customWidth="1"/>
    <col min="12547" max="12548" width="15.6640625" style="815" customWidth="1"/>
    <col min="12549" max="12550" width="14.6640625" style="815" customWidth="1"/>
    <col min="12551" max="12552" width="15.6640625" style="815" customWidth="1"/>
    <col min="12553" max="12554" width="13.6640625" style="815" customWidth="1"/>
    <col min="12555" max="12555" width="13.44140625" style="815" bestFit="1" customWidth="1"/>
    <col min="12556" max="12800" width="8.88671875" style="815"/>
    <col min="12801" max="12801" width="8.6640625" style="815" customWidth="1"/>
    <col min="12802" max="12802" width="28.6640625" style="815" customWidth="1"/>
    <col min="12803" max="12804" width="15.6640625" style="815" customWidth="1"/>
    <col min="12805" max="12806" width="14.6640625" style="815" customWidth="1"/>
    <col min="12807" max="12808" width="15.6640625" style="815" customWidth="1"/>
    <col min="12809" max="12810" width="13.6640625" style="815" customWidth="1"/>
    <col min="12811" max="12811" width="13.44140625" style="815" bestFit="1" customWidth="1"/>
    <col min="12812" max="13056" width="8.88671875" style="815"/>
    <col min="13057" max="13057" width="8.6640625" style="815" customWidth="1"/>
    <col min="13058" max="13058" width="28.6640625" style="815" customWidth="1"/>
    <col min="13059" max="13060" width="15.6640625" style="815" customWidth="1"/>
    <col min="13061" max="13062" width="14.6640625" style="815" customWidth="1"/>
    <col min="13063" max="13064" width="15.6640625" style="815" customWidth="1"/>
    <col min="13065" max="13066" width="13.6640625" style="815" customWidth="1"/>
    <col min="13067" max="13067" width="13.44140625" style="815" bestFit="1" customWidth="1"/>
    <col min="13068" max="13312" width="8.88671875" style="815"/>
    <col min="13313" max="13313" width="8.6640625" style="815" customWidth="1"/>
    <col min="13314" max="13314" width="28.6640625" style="815" customWidth="1"/>
    <col min="13315" max="13316" width="15.6640625" style="815" customWidth="1"/>
    <col min="13317" max="13318" width="14.6640625" style="815" customWidth="1"/>
    <col min="13319" max="13320" width="15.6640625" style="815" customWidth="1"/>
    <col min="13321" max="13322" width="13.6640625" style="815" customWidth="1"/>
    <col min="13323" max="13323" width="13.44140625" style="815" bestFit="1" customWidth="1"/>
    <col min="13324" max="13568" width="8.88671875" style="815"/>
    <col min="13569" max="13569" width="8.6640625" style="815" customWidth="1"/>
    <col min="13570" max="13570" width="28.6640625" style="815" customWidth="1"/>
    <col min="13571" max="13572" width="15.6640625" style="815" customWidth="1"/>
    <col min="13573" max="13574" width="14.6640625" style="815" customWidth="1"/>
    <col min="13575" max="13576" width="15.6640625" style="815" customWidth="1"/>
    <col min="13577" max="13578" width="13.6640625" style="815" customWidth="1"/>
    <col min="13579" max="13579" width="13.44140625" style="815" bestFit="1" customWidth="1"/>
    <col min="13580" max="13824" width="8.88671875" style="815"/>
    <col min="13825" max="13825" width="8.6640625" style="815" customWidth="1"/>
    <col min="13826" max="13826" width="28.6640625" style="815" customWidth="1"/>
    <col min="13827" max="13828" width="15.6640625" style="815" customWidth="1"/>
    <col min="13829" max="13830" width="14.6640625" style="815" customWidth="1"/>
    <col min="13831" max="13832" width="15.6640625" style="815" customWidth="1"/>
    <col min="13833" max="13834" width="13.6640625" style="815" customWidth="1"/>
    <col min="13835" max="13835" width="13.44140625" style="815" bestFit="1" customWidth="1"/>
    <col min="13836" max="14080" width="8.88671875" style="815"/>
    <col min="14081" max="14081" width="8.6640625" style="815" customWidth="1"/>
    <col min="14082" max="14082" width="28.6640625" style="815" customWidth="1"/>
    <col min="14083" max="14084" width="15.6640625" style="815" customWidth="1"/>
    <col min="14085" max="14086" width="14.6640625" style="815" customWidth="1"/>
    <col min="14087" max="14088" width="15.6640625" style="815" customWidth="1"/>
    <col min="14089" max="14090" width="13.6640625" style="815" customWidth="1"/>
    <col min="14091" max="14091" width="13.44140625" style="815" bestFit="1" customWidth="1"/>
    <col min="14092" max="14336" width="8.88671875" style="815"/>
    <col min="14337" max="14337" width="8.6640625" style="815" customWidth="1"/>
    <col min="14338" max="14338" width="28.6640625" style="815" customWidth="1"/>
    <col min="14339" max="14340" width="15.6640625" style="815" customWidth="1"/>
    <col min="14341" max="14342" width="14.6640625" style="815" customWidth="1"/>
    <col min="14343" max="14344" width="15.6640625" style="815" customWidth="1"/>
    <col min="14345" max="14346" width="13.6640625" style="815" customWidth="1"/>
    <col min="14347" max="14347" width="13.44140625" style="815" bestFit="1" customWidth="1"/>
    <col min="14348" max="14592" width="8.88671875" style="815"/>
    <col min="14593" max="14593" width="8.6640625" style="815" customWidth="1"/>
    <col min="14594" max="14594" width="28.6640625" style="815" customWidth="1"/>
    <col min="14595" max="14596" width="15.6640625" style="815" customWidth="1"/>
    <col min="14597" max="14598" width="14.6640625" style="815" customWidth="1"/>
    <col min="14599" max="14600" width="15.6640625" style="815" customWidth="1"/>
    <col min="14601" max="14602" width="13.6640625" style="815" customWidth="1"/>
    <col min="14603" max="14603" width="13.44140625" style="815" bestFit="1" customWidth="1"/>
    <col min="14604" max="14848" width="8.88671875" style="815"/>
    <col min="14849" max="14849" width="8.6640625" style="815" customWidth="1"/>
    <col min="14850" max="14850" width="28.6640625" style="815" customWidth="1"/>
    <col min="14851" max="14852" width="15.6640625" style="815" customWidth="1"/>
    <col min="14853" max="14854" width="14.6640625" style="815" customWidth="1"/>
    <col min="14855" max="14856" width="15.6640625" style="815" customWidth="1"/>
    <col min="14857" max="14858" width="13.6640625" style="815" customWidth="1"/>
    <col min="14859" max="14859" width="13.44140625" style="815" bestFit="1" customWidth="1"/>
    <col min="14860" max="15104" width="8.88671875" style="815"/>
    <col min="15105" max="15105" width="8.6640625" style="815" customWidth="1"/>
    <col min="15106" max="15106" width="28.6640625" style="815" customWidth="1"/>
    <col min="15107" max="15108" width="15.6640625" style="815" customWidth="1"/>
    <col min="15109" max="15110" width="14.6640625" style="815" customWidth="1"/>
    <col min="15111" max="15112" width="15.6640625" style="815" customWidth="1"/>
    <col min="15113" max="15114" width="13.6640625" style="815" customWidth="1"/>
    <col min="15115" max="15115" width="13.44140625" style="815" bestFit="1" customWidth="1"/>
    <col min="15116" max="15360" width="8.88671875" style="815"/>
    <col min="15361" max="15361" width="8.6640625" style="815" customWidth="1"/>
    <col min="15362" max="15362" width="28.6640625" style="815" customWidth="1"/>
    <col min="15363" max="15364" width="15.6640625" style="815" customWidth="1"/>
    <col min="15365" max="15366" width="14.6640625" style="815" customWidth="1"/>
    <col min="15367" max="15368" width="15.6640625" style="815" customWidth="1"/>
    <col min="15369" max="15370" width="13.6640625" style="815" customWidth="1"/>
    <col min="15371" max="15371" width="13.44140625" style="815" bestFit="1" customWidth="1"/>
    <col min="15372" max="15616" width="8.88671875" style="815"/>
    <col min="15617" max="15617" width="8.6640625" style="815" customWidth="1"/>
    <col min="15618" max="15618" width="28.6640625" style="815" customWidth="1"/>
    <col min="15619" max="15620" width="15.6640625" style="815" customWidth="1"/>
    <col min="15621" max="15622" width="14.6640625" style="815" customWidth="1"/>
    <col min="15623" max="15624" width="15.6640625" style="815" customWidth="1"/>
    <col min="15625" max="15626" width="13.6640625" style="815" customWidth="1"/>
    <col min="15627" max="15627" width="13.44140625" style="815" bestFit="1" customWidth="1"/>
    <col min="15628" max="15872" width="8.88671875" style="815"/>
    <col min="15873" max="15873" width="8.6640625" style="815" customWidth="1"/>
    <col min="15874" max="15874" width="28.6640625" style="815" customWidth="1"/>
    <col min="15875" max="15876" width="15.6640625" style="815" customWidth="1"/>
    <col min="15877" max="15878" width="14.6640625" style="815" customWidth="1"/>
    <col min="15879" max="15880" width="15.6640625" style="815" customWidth="1"/>
    <col min="15881" max="15882" width="13.6640625" style="815" customWidth="1"/>
    <col min="15883" max="15883" width="13.44140625" style="815" bestFit="1" customWidth="1"/>
    <col min="15884" max="16128" width="8.88671875" style="815"/>
    <col min="16129" max="16129" width="8.6640625" style="815" customWidth="1"/>
    <col min="16130" max="16130" width="28.6640625" style="815" customWidth="1"/>
    <col min="16131" max="16132" width="15.6640625" style="815" customWidth="1"/>
    <col min="16133" max="16134" width="14.6640625" style="815" customWidth="1"/>
    <col min="16135" max="16136" width="15.6640625" style="815" customWidth="1"/>
    <col min="16137" max="16138" width="13.6640625" style="815" customWidth="1"/>
    <col min="16139" max="16139" width="13.44140625" style="815" bestFit="1" customWidth="1"/>
    <col min="16140" max="16384" width="8.88671875" style="815"/>
  </cols>
  <sheetData>
    <row r="1" spans="1:14" x14ac:dyDescent="0.25">
      <c r="A1" s="926" t="s">
        <v>726</v>
      </c>
      <c r="B1" s="927"/>
      <c r="C1" s="927"/>
      <c r="D1" s="927"/>
      <c r="E1" s="927"/>
      <c r="F1" s="927"/>
      <c r="G1" s="927"/>
      <c r="H1" s="929" t="s">
        <v>727</v>
      </c>
      <c r="I1" s="927"/>
      <c r="J1" s="927"/>
    </row>
    <row r="2" spans="1:14" x14ac:dyDescent="0.25">
      <c r="A2" s="926" t="s">
        <v>728</v>
      </c>
      <c r="B2" s="927"/>
      <c r="C2" s="927"/>
      <c r="D2" s="927"/>
      <c r="E2" s="927"/>
      <c r="F2" s="927"/>
      <c r="G2" s="927"/>
      <c r="H2" s="929" t="s">
        <v>729</v>
      </c>
      <c r="I2" s="927"/>
      <c r="J2" s="927"/>
    </row>
    <row r="3" spans="1:14" x14ac:dyDescent="0.25">
      <c r="A3" s="930" t="s">
        <v>730</v>
      </c>
      <c r="B3" s="927"/>
      <c r="C3" s="927"/>
      <c r="D3" s="927"/>
      <c r="E3" s="927"/>
      <c r="F3" s="927"/>
      <c r="G3" s="927"/>
      <c r="H3" s="927"/>
      <c r="I3" s="927"/>
      <c r="J3" s="927"/>
    </row>
    <row r="4" spans="1:14" x14ac:dyDescent="0.25">
      <c r="A4" s="927"/>
      <c r="B4" s="927"/>
      <c r="C4" s="927"/>
      <c r="D4" s="927"/>
      <c r="E4" s="927"/>
      <c r="F4" s="927"/>
      <c r="G4" s="927"/>
      <c r="H4" s="927"/>
      <c r="I4" s="927"/>
      <c r="J4" s="927"/>
    </row>
    <row r="5" spans="1:14" x14ac:dyDescent="0.25">
      <c r="A5" s="926" t="s">
        <v>731</v>
      </c>
      <c r="B5" s="927"/>
      <c r="C5" s="927"/>
      <c r="D5" s="927"/>
      <c r="E5" s="927"/>
      <c r="F5" s="927"/>
      <c r="G5" s="927"/>
      <c r="H5" s="929" t="s">
        <v>732</v>
      </c>
      <c r="I5" s="927"/>
      <c r="J5" s="927"/>
    </row>
    <row r="6" spans="1:14" x14ac:dyDescent="0.25">
      <c r="A6" s="926" t="s">
        <v>733</v>
      </c>
      <c r="B6" s="927"/>
      <c r="C6" s="927"/>
      <c r="D6" s="927"/>
      <c r="E6" s="927"/>
      <c r="F6" s="927"/>
      <c r="G6" s="927"/>
      <c r="H6" s="927"/>
      <c r="I6" s="927"/>
      <c r="J6" s="927"/>
    </row>
    <row r="7" spans="1:14" x14ac:dyDescent="0.25">
      <c r="A7" s="928" t="s">
        <v>734</v>
      </c>
      <c r="B7" s="927"/>
      <c r="C7" s="928" t="s">
        <v>735</v>
      </c>
      <c r="D7" s="927"/>
      <c r="E7" s="928" t="s">
        <v>736</v>
      </c>
      <c r="F7" s="927"/>
      <c r="G7" s="928" t="s">
        <v>737</v>
      </c>
      <c r="H7" s="927"/>
      <c r="I7" s="928" t="s">
        <v>738</v>
      </c>
      <c r="J7" s="927"/>
    </row>
    <row r="8" spans="1:14" x14ac:dyDescent="0.25">
      <c r="A8" s="816" t="s">
        <v>739</v>
      </c>
      <c r="B8" s="816" t="s">
        <v>429</v>
      </c>
      <c r="C8" s="817" t="s">
        <v>176</v>
      </c>
      <c r="D8" s="817" t="s">
        <v>177</v>
      </c>
      <c r="E8" s="817" t="s">
        <v>176</v>
      </c>
      <c r="F8" s="817" t="s">
        <v>177</v>
      </c>
      <c r="G8" s="817" t="s">
        <v>176</v>
      </c>
      <c r="H8" s="817" t="s">
        <v>177</v>
      </c>
      <c r="I8" s="817" t="s">
        <v>740</v>
      </c>
      <c r="J8" s="817" t="s">
        <v>741</v>
      </c>
      <c r="L8" s="815" t="s">
        <v>429</v>
      </c>
    </row>
    <row r="9" spans="1:14" x14ac:dyDescent="0.25">
      <c r="A9" s="816" t="s">
        <v>742</v>
      </c>
      <c r="B9" s="816" t="s">
        <v>743</v>
      </c>
      <c r="C9" s="818">
        <v>0</v>
      </c>
      <c r="D9" s="818">
        <v>200000</v>
      </c>
      <c r="E9" s="818">
        <v>0</v>
      </c>
      <c r="F9" s="818">
        <v>0</v>
      </c>
      <c r="G9" s="818">
        <v>0</v>
      </c>
      <c r="H9" s="818">
        <v>200000</v>
      </c>
      <c r="I9" s="818">
        <v>0</v>
      </c>
      <c r="J9" s="818">
        <v>200000</v>
      </c>
      <c r="K9" s="819">
        <f>I9-J9</f>
        <v>-200000</v>
      </c>
      <c r="L9" s="826" t="s">
        <v>744</v>
      </c>
      <c r="N9" s="819">
        <f>K9</f>
        <v>-200000</v>
      </c>
    </row>
    <row r="10" spans="1:14" x14ac:dyDescent="0.25">
      <c r="A10" s="816" t="s">
        <v>745</v>
      </c>
      <c r="B10" s="816" t="s">
        <v>746</v>
      </c>
      <c r="C10" s="818">
        <v>0</v>
      </c>
      <c r="D10" s="818">
        <v>200000</v>
      </c>
      <c r="E10" s="818">
        <v>0</v>
      </c>
      <c r="F10" s="818">
        <v>0</v>
      </c>
      <c r="G10" s="818">
        <v>0</v>
      </c>
      <c r="H10" s="818">
        <v>200000</v>
      </c>
      <c r="I10" s="818">
        <v>0</v>
      </c>
      <c r="J10" s="818">
        <v>200000</v>
      </c>
      <c r="K10" s="819">
        <f t="shared" ref="K10:K73" si="0">I10-J10</f>
        <v>-200000</v>
      </c>
    </row>
    <row r="11" spans="1:14" x14ac:dyDescent="0.25">
      <c r="A11" s="816" t="s">
        <v>747</v>
      </c>
      <c r="B11" s="816" t="s">
        <v>748</v>
      </c>
      <c r="C11" s="818">
        <v>0</v>
      </c>
      <c r="D11" s="818">
        <v>595453.24</v>
      </c>
      <c r="E11" s="818">
        <v>0</v>
      </c>
      <c r="F11" s="818">
        <v>0</v>
      </c>
      <c r="G11" s="818">
        <v>0</v>
      </c>
      <c r="H11" s="818">
        <v>595453.24</v>
      </c>
      <c r="I11" s="818">
        <v>0</v>
      </c>
      <c r="J11" s="818">
        <v>595453.24</v>
      </c>
      <c r="K11" s="819">
        <f t="shared" si="0"/>
        <v>-595453.24</v>
      </c>
    </row>
    <row r="12" spans="1:14" x14ac:dyDescent="0.25">
      <c r="A12" s="816" t="s">
        <v>749</v>
      </c>
      <c r="B12" s="816" t="s">
        <v>750</v>
      </c>
      <c r="C12" s="818">
        <v>0</v>
      </c>
      <c r="D12" s="818">
        <v>40000</v>
      </c>
      <c r="E12" s="818">
        <v>0</v>
      </c>
      <c r="F12" s="818">
        <v>0</v>
      </c>
      <c r="G12" s="818">
        <v>0</v>
      </c>
      <c r="H12" s="818">
        <v>40000</v>
      </c>
      <c r="I12" s="818">
        <v>0</v>
      </c>
      <c r="J12" s="818">
        <v>40000</v>
      </c>
      <c r="K12" s="819">
        <f t="shared" si="0"/>
        <v>-40000</v>
      </c>
      <c r="L12" s="826" t="s">
        <v>751</v>
      </c>
      <c r="N12" s="819">
        <f>K12</f>
        <v>-40000</v>
      </c>
    </row>
    <row r="13" spans="1:14" x14ac:dyDescent="0.25">
      <c r="A13" s="816" t="s">
        <v>752</v>
      </c>
      <c r="B13" s="816" t="s">
        <v>753</v>
      </c>
      <c r="C13" s="818">
        <v>0</v>
      </c>
      <c r="D13" s="818">
        <v>555453.24</v>
      </c>
      <c r="E13" s="818">
        <v>0</v>
      </c>
      <c r="F13" s="818">
        <v>0</v>
      </c>
      <c r="G13" s="818">
        <v>0</v>
      </c>
      <c r="H13" s="818">
        <v>555453.24</v>
      </c>
      <c r="I13" s="818">
        <v>0</v>
      </c>
      <c r="J13" s="818">
        <v>555453.24</v>
      </c>
      <c r="K13" s="819">
        <f t="shared" si="0"/>
        <v>-555453.24</v>
      </c>
      <c r="L13" s="826" t="s">
        <v>754</v>
      </c>
      <c r="N13" s="819">
        <f t="shared" ref="N13:N14" si="1">K13</f>
        <v>-555453.24</v>
      </c>
    </row>
    <row r="14" spans="1:14" x14ac:dyDescent="0.25">
      <c r="A14" s="816" t="s">
        <v>755</v>
      </c>
      <c r="B14" s="816" t="s">
        <v>756</v>
      </c>
      <c r="C14" s="818">
        <v>1884489</v>
      </c>
      <c r="D14" s="818">
        <v>5343810.21</v>
      </c>
      <c r="E14" s="818">
        <v>134097</v>
      </c>
      <c r="F14" s="818">
        <v>0</v>
      </c>
      <c r="G14" s="818">
        <v>2018586</v>
      </c>
      <c r="H14" s="818">
        <v>5343810.21</v>
      </c>
      <c r="I14" s="818">
        <v>0</v>
      </c>
      <c r="J14" s="818">
        <v>3325224.21</v>
      </c>
      <c r="K14" s="819">
        <f t="shared" si="0"/>
        <v>-3325224.21</v>
      </c>
      <c r="L14" s="826" t="s">
        <v>757</v>
      </c>
      <c r="N14" s="819">
        <f t="shared" si="1"/>
        <v>-3325224.21</v>
      </c>
    </row>
    <row r="15" spans="1:14" x14ac:dyDescent="0.25">
      <c r="A15" s="816" t="s">
        <v>758</v>
      </c>
      <c r="B15" s="816" t="s">
        <v>756</v>
      </c>
      <c r="C15" s="818">
        <v>1884489</v>
      </c>
      <c r="D15" s="818">
        <v>5343810.21</v>
      </c>
      <c r="E15" s="818">
        <v>134097</v>
      </c>
      <c r="F15" s="818">
        <v>0</v>
      </c>
      <c r="G15" s="818">
        <v>2018586</v>
      </c>
      <c r="H15" s="818">
        <v>5343810.21</v>
      </c>
      <c r="I15" s="818">
        <v>0</v>
      </c>
      <c r="J15" s="818">
        <v>3325224.21</v>
      </c>
      <c r="K15" s="819">
        <f t="shared" si="0"/>
        <v>-3325224.21</v>
      </c>
    </row>
    <row r="16" spans="1:14" x14ac:dyDescent="0.25">
      <c r="A16" s="816" t="s">
        <v>759</v>
      </c>
      <c r="B16" s="816" t="s">
        <v>760</v>
      </c>
      <c r="C16" s="818">
        <v>21908128.199999999</v>
      </c>
      <c r="D16" s="818">
        <v>23286618.5</v>
      </c>
      <c r="E16" s="818">
        <v>2739795.94</v>
      </c>
      <c r="F16" s="818">
        <v>2488203.94</v>
      </c>
      <c r="G16" s="818">
        <v>24647924.140000001</v>
      </c>
      <c r="H16" s="818">
        <v>25774822.440000001</v>
      </c>
      <c r="I16" s="818">
        <v>0</v>
      </c>
      <c r="J16" s="818">
        <v>1126898.3</v>
      </c>
      <c r="K16" s="819">
        <f t="shared" si="0"/>
        <v>-1126898.3</v>
      </c>
    </row>
    <row r="17" spans="1:14" x14ac:dyDescent="0.25">
      <c r="A17" s="816" t="s">
        <v>761</v>
      </c>
      <c r="B17" s="816" t="s">
        <v>762</v>
      </c>
      <c r="C17" s="818">
        <v>1427120.81</v>
      </c>
      <c r="D17" s="818">
        <v>1427120.81</v>
      </c>
      <c r="E17" s="818">
        <v>0</v>
      </c>
      <c r="F17" s="818">
        <v>0</v>
      </c>
      <c r="G17" s="818">
        <v>1427120.81</v>
      </c>
      <c r="H17" s="818">
        <v>1427120.81</v>
      </c>
      <c r="I17" s="818">
        <v>0</v>
      </c>
      <c r="J17" s="818">
        <v>0</v>
      </c>
      <c r="K17" s="819">
        <f t="shared" si="0"/>
        <v>0</v>
      </c>
      <c r="L17" s="826" t="s">
        <v>763</v>
      </c>
      <c r="N17" s="819">
        <f>K17</f>
        <v>0</v>
      </c>
    </row>
    <row r="18" spans="1:14" x14ac:dyDescent="0.25">
      <c r="A18" s="816" t="s">
        <v>764</v>
      </c>
      <c r="B18" s="816" t="s">
        <v>765</v>
      </c>
      <c r="C18" s="818">
        <v>20481007.390000001</v>
      </c>
      <c r="D18" s="818">
        <v>21859497.690000001</v>
      </c>
      <c r="E18" s="818">
        <v>2739795.94</v>
      </c>
      <c r="F18" s="818">
        <v>2488203.94</v>
      </c>
      <c r="G18" s="818">
        <v>23220803.330000002</v>
      </c>
      <c r="H18" s="818">
        <v>24347701.629999999</v>
      </c>
      <c r="I18" s="818">
        <v>0</v>
      </c>
      <c r="J18" s="818">
        <v>1126898.3</v>
      </c>
      <c r="K18" s="819">
        <f t="shared" si="0"/>
        <v>-1126898.3</v>
      </c>
      <c r="L18" s="826" t="s">
        <v>763</v>
      </c>
      <c r="N18" s="819">
        <f>K18</f>
        <v>-1126898.3</v>
      </c>
    </row>
    <row r="19" spans="1:14" x14ac:dyDescent="0.25">
      <c r="A19" s="816" t="s">
        <v>766</v>
      </c>
      <c r="B19" s="816" t="s">
        <v>767</v>
      </c>
      <c r="C19" s="818">
        <v>1427120.81</v>
      </c>
      <c r="D19" s="818">
        <v>1427120.81</v>
      </c>
      <c r="E19" s="818">
        <v>0</v>
      </c>
      <c r="F19" s="818">
        <v>0</v>
      </c>
      <c r="G19" s="818">
        <v>1427120.81</v>
      </c>
      <c r="H19" s="818">
        <v>1427120.81</v>
      </c>
      <c r="I19" s="818">
        <v>0</v>
      </c>
      <c r="J19" s="818">
        <v>0</v>
      </c>
      <c r="K19" s="819">
        <f t="shared" si="0"/>
        <v>0</v>
      </c>
    </row>
    <row r="20" spans="1:14" x14ac:dyDescent="0.25">
      <c r="A20" s="816" t="s">
        <v>768</v>
      </c>
      <c r="B20" s="816" t="s">
        <v>769</v>
      </c>
      <c r="C20" s="818">
        <v>1427120.81</v>
      </c>
      <c r="D20" s="818">
        <v>1427120.81</v>
      </c>
      <c r="E20" s="818">
        <v>0</v>
      </c>
      <c r="F20" s="818">
        <v>0</v>
      </c>
      <c r="G20" s="818">
        <v>1427120.81</v>
      </c>
      <c r="H20" s="818">
        <v>1427120.81</v>
      </c>
      <c r="I20" s="818">
        <v>0</v>
      </c>
      <c r="J20" s="818">
        <v>0</v>
      </c>
      <c r="K20" s="819">
        <f t="shared" si="0"/>
        <v>0</v>
      </c>
      <c r="L20" s="826" t="s">
        <v>770</v>
      </c>
      <c r="N20" s="819">
        <f>K20</f>
        <v>0</v>
      </c>
    </row>
    <row r="21" spans="1:14" x14ac:dyDescent="0.25">
      <c r="A21" s="816" t="s">
        <v>771</v>
      </c>
      <c r="B21" s="816" t="s">
        <v>772</v>
      </c>
      <c r="C21" s="818">
        <v>162256.04</v>
      </c>
      <c r="D21" s="818">
        <v>456727.82</v>
      </c>
      <c r="E21" s="818">
        <v>28412.7</v>
      </c>
      <c r="F21" s="818">
        <v>0</v>
      </c>
      <c r="G21" s="818">
        <v>190668.74</v>
      </c>
      <c r="H21" s="818">
        <v>456727.82</v>
      </c>
      <c r="I21" s="818">
        <v>0</v>
      </c>
      <c r="J21" s="818">
        <v>266059.08</v>
      </c>
      <c r="K21" s="819">
        <f t="shared" si="0"/>
        <v>-266059.08</v>
      </c>
    </row>
    <row r="22" spans="1:14" x14ac:dyDescent="0.25">
      <c r="A22" s="816" t="s">
        <v>773</v>
      </c>
      <c r="B22" s="816" t="s">
        <v>774</v>
      </c>
      <c r="C22" s="818">
        <v>16176.44</v>
      </c>
      <c r="D22" s="818">
        <v>57477.08</v>
      </c>
      <c r="E22" s="818">
        <v>10028.58</v>
      </c>
      <c r="F22" s="818">
        <v>0</v>
      </c>
      <c r="G22" s="818">
        <v>26205.02</v>
      </c>
      <c r="H22" s="818">
        <v>57477.08</v>
      </c>
      <c r="I22" s="818">
        <v>0</v>
      </c>
      <c r="J22" s="818">
        <v>31272.06</v>
      </c>
      <c r="K22" s="819">
        <f t="shared" si="0"/>
        <v>-31272.06</v>
      </c>
      <c r="L22" s="826" t="s">
        <v>775</v>
      </c>
      <c r="N22" s="819">
        <f t="shared" ref="N22:N27" si="2">K22</f>
        <v>-31272.06</v>
      </c>
    </row>
    <row r="23" spans="1:14" x14ac:dyDescent="0.25">
      <c r="A23" s="816" t="s">
        <v>776</v>
      </c>
      <c r="B23" s="816" t="s">
        <v>777</v>
      </c>
      <c r="C23" s="818">
        <v>146079.6</v>
      </c>
      <c r="D23" s="818">
        <v>399250.74</v>
      </c>
      <c r="E23" s="818">
        <v>18384.12</v>
      </c>
      <c r="F23" s="818">
        <v>0</v>
      </c>
      <c r="G23" s="818">
        <v>164463.72</v>
      </c>
      <c r="H23" s="818">
        <v>399250.74</v>
      </c>
      <c r="I23" s="818">
        <v>0</v>
      </c>
      <c r="J23" s="818">
        <v>234787.02000000002</v>
      </c>
      <c r="K23" s="819">
        <f t="shared" si="0"/>
        <v>-234787.02000000002</v>
      </c>
      <c r="L23" s="826" t="s">
        <v>775</v>
      </c>
      <c r="N23" s="819">
        <f t="shared" si="2"/>
        <v>-234787.02000000002</v>
      </c>
    </row>
    <row r="24" spans="1:14" x14ac:dyDescent="0.25">
      <c r="A24" s="816" t="s">
        <v>778</v>
      </c>
      <c r="B24" s="816" t="s">
        <v>779</v>
      </c>
      <c r="C24" s="818">
        <v>15400</v>
      </c>
      <c r="D24" s="818">
        <v>0</v>
      </c>
      <c r="E24" s="818">
        <v>0</v>
      </c>
      <c r="F24" s="818">
        <v>0</v>
      </c>
      <c r="G24" s="818">
        <v>15400</v>
      </c>
      <c r="H24" s="818">
        <v>0</v>
      </c>
      <c r="I24" s="818">
        <v>15400</v>
      </c>
      <c r="J24" s="818">
        <v>0</v>
      </c>
      <c r="K24" s="819">
        <f t="shared" si="0"/>
        <v>15400</v>
      </c>
      <c r="L24" s="826" t="s">
        <v>780</v>
      </c>
      <c r="N24" s="819">
        <f t="shared" si="2"/>
        <v>15400</v>
      </c>
    </row>
    <row r="25" spans="1:14" x14ac:dyDescent="0.25">
      <c r="A25" s="816" t="s">
        <v>781</v>
      </c>
      <c r="B25" s="816" t="s">
        <v>782</v>
      </c>
      <c r="C25" s="818">
        <v>4923</v>
      </c>
      <c r="D25" s="818">
        <v>0</v>
      </c>
      <c r="E25" s="818">
        <v>0</v>
      </c>
      <c r="F25" s="818">
        <v>0</v>
      </c>
      <c r="G25" s="818">
        <v>4923</v>
      </c>
      <c r="H25" s="818">
        <v>0</v>
      </c>
      <c r="I25" s="818">
        <v>4923</v>
      </c>
      <c r="J25" s="818">
        <v>0</v>
      </c>
      <c r="K25" s="819">
        <f t="shared" si="0"/>
        <v>4923</v>
      </c>
      <c r="L25" s="826" t="s">
        <v>780</v>
      </c>
      <c r="N25" s="819">
        <f t="shared" si="2"/>
        <v>4923</v>
      </c>
    </row>
    <row r="26" spans="1:14" x14ac:dyDescent="0.25">
      <c r="A26" s="816" t="s">
        <v>783</v>
      </c>
      <c r="B26" s="816" t="s">
        <v>784</v>
      </c>
      <c r="C26" s="818">
        <v>4500</v>
      </c>
      <c r="D26" s="818">
        <v>0</v>
      </c>
      <c r="E26" s="818">
        <v>0</v>
      </c>
      <c r="F26" s="818">
        <v>0</v>
      </c>
      <c r="G26" s="818">
        <v>4500</v>
      </c>
      <c r="H26" s="818">
        <v>0</v>
      </c>
      <c r="I26" s="818">
        <v>4500</v>
      </c>
      <c r="J26" s="818">
        <v>0</v>
      </c>
      <c r="K26" s="819">
        <f t="shared" si="0"/>
        <v>4500</v>
      </c>
      <c r="L26" s="826" t="s">
        <v>780</v>
      </c>
      <c r="N26" s="819">
        <f t="shared" si="2"/>
        <v>4500</v>
      </c>
    </row>
    <row r="27" spans="1:14" x14ac:dyDescent="0.25">
      <c r="A27" s="816" t="s">
        <v>785</v>
      </c>
      <c r="B27" s="816" t="s">
        <v>786</v>
      </c>
      <c r="C27" s="818">
        <v>20000</v>
      </c>
      <c r="D27" s="818">
        <v>0</v>
      </c>
      <c r="E27" s="818">
        <v>0</v>
      </c>
      <c r="F27" s="818">
        <v>0</v>
      </c>
      <c r="G27" s="818">
        <v>20000</v>
      </c>
      <c r="H27" s="818">
        <v>0</v>
      </c>
      <c r="I27" s="818">
        <v>20000</v>
      </c>
      <c r="J27" s="818">
        <v>0</v>
      </c>
      <c r="K27" s="819">
        <f t="shared" si="0"/>
        <v>20000</v>
      </c>
      <c r="L27" s="826" t="s">
        <v>787</v>
      </c>
      <c r="N27" s="819">
        <f t="shared" si="2"/>
        <v>20000</v>
      </c>
    </row>
    <row r="28" spans="1:14" x14ac:dyDescent="0.25">
      <c r="A28" s="816" t="s">
        <v>788</v>
      </c>
      <c r="B28" s="816" t="s">
        <v>786</v>
      </c>
      <c r="C28" s="818">
        <v>20000</v>
      </c>
      <c r="D28" s="818">
        <v>0</v>
      </c>
      <c r="E28" s="818">
        <v>0</v>
      </c>
      <c r="F28" s="818">
        <v>0</v>
      </c>
      <c r="G28" s="818">
        <v>20000</v>
      </c>
      <c r="H28" s="818">
        <v>0</v>
      </c>
      <c r="I28" s="818">
        <v>20000</v>
      </c>
      <c r="J28" s="818">
        <v>0</v>
      </c>
      <c r="K28" s="819">
        <f t="shared" si="0"/>
        <v>20000</v>
      </c>
    </row>
    <row r="29" spans="1:14" x14ac:dyDescent="0.25">
      <c r="A29" s="816" t="s">
        <v>789</v>
      </c>
      <c r="B29" s="816" t="s">
        <v>790</v>
      </c>
      <c r="C29" s="818">
        <v>2324751.3199999998</v>
      </c>
      <c r="D29" s="818">
        <v>81022.63</v>
      </c>
      <c r="E29" s="818">
        <v>0</v>
      </c>
      <c r="F29" s="818">
        <v>70735.38</v>
      </c>
      <c r="G29" s="818">
        <v>2324751.3199999998</v>
      </c>
      <c r="H29" s="818">
        <v>151758.01</v>
      </c>
      <c r="I29" s="818">
        <v>2172993.31</v>
      </c>
      <c r="J29" s="818">
        <v>0</v>
      </c>
      <c r="K29" s="819">
        <f t="shared" si="0"/>
        <v>2172993.31</v>
      </c>
      <c r="L29" s="826" t="s">
        <v>791</v>
      </c>
      <c r="N29" s="819">
        <f>K29</f>
        <v>2172993.31</v>
      </c>
    </row>
    <row r="30" spans="1:14" x14ac:dyDescent="0.25">
      <c r="A30" s="816" t="s">
        <v>792</v>
      </c>
      <c r="B30" s="816" t="s">
        <v>793</v>
      </c>
      <c r="C30" s="818">
        <v>141120.4</v>
      </c>
      <c r="D30" s="818">
        <v>0</v>
      </c>
      <c r="E30" s="818">
        <v>0</v>
      </c>
      <c r="F30" s="818">
        <v>0</v>
      </c>
      <c r="G30" s="818">
        <v>141120.4</v>
      </c>
      <c r="H30" s="818">
        <v>0</v>
      </c>
      <c r="I30" s="818">
        <v>141120.4</v>
      </c>
      <c r="J30" s="818">
        <v>0</v>
      </c>
      <c r="K30" s="819">
        <f t="shared" si="0"/>
        <v>141120.4</v>
      </c>
    </row>
    <row r="31" spans="1:14" x14ac:dyDescent="0.25">
      <c r="A31" s="816" t="s">
        <v>794</v>
      </c>
      <c r="B31" s="816" t="s">
        <v>795</v>
      </c>
      <c r="C31" s="818">
        <v>54738.66</v>
      </c>
      <c r="D31" s="818">
        <v>0</v>
      </c>
      <c r="E31" s="818">
        <v>-9605</v>
      </c>
      <c r="F31" s="818">
        <v>0</v>
      </c>
      <c r="G31" s="818">
        <v>45133.66</v>
      </c>
      <c r="H31" s="818">
        <v>0</v>
      </c>
      <c r="I31" s="818">
        <v>45133.66</v>
      </c>
      <c r="J31" s="818">
        <v>0</v>
      </c>
      <c r="K31" s="819">
        <f t="shared" si="0"/>
        <v>45133.66</v>
      </c>
      <c r="L31" s="826" t="s">
        <v>791</v>
      </c>
      <c r="N31" s="819">
        <f>K31</f>
        <v>45133.66</v>
      </c>
    </row>
    <row r="32" spans="1:14" x14ac:dyDescent="0.25">
      <c r="A32" s="816" t="s">
        <v>796</v>
      </c>
      <c r="B32" s="816" t="s">
        <v>797</v>
      </c>
      <c r="C32" s="818">
        <v>49240</v>
      </c>
      <c r="D32" s="818">
        <v>0</v>
      </c>
      <c r="E32" s="818">
        <v>0</v>
      </c>
      <c r="F32" s="818">
        <v>0</v>
      </c>
      <c r="G32" s="818">
        <v>49240</v>
      </c>
      <c r="H32" s="818">
        <v>0</v>
      </c>
      <c r="I32" s="818">
        <v>49240</v>
      </c>
      <c r="J32" s="818">
        <v>0</v>
      </c>
      <c r="K32" s="819">
        <f t="shared" si="0"/>
        <v>49240</v>
      </c>
    </row>
    <row r="33" spans="1:14" x14ac:dyDescent="0.25">
      <c r="A33" s="816" t="s">
        <v>798</v>
      </c>
      <c r="B33" s="816" t="s">
        <v>799</v>
      </c>
      <c r="C33" s="818">
        <v>2134390.92</v>
      </c>
      <c r="D33" s="818">
        <v>81022.63</v>
      </c>
      <c r="E33" s="818">
        <v>0</v>
      </c>
      <c r="F33" s="818">
        <v>70735.38</v>
      </c>
      <c r="G33" s="818">
        <v>2134390.92</v>
      </c>
      <c r="H33" s="818">
        <v>151758.01</v>
      </c>
      <c r="I33" s="818">
        <v>1982632.9100000001</v>
      </c>
      <c r="J33" s="818">
        <v>0</v>
      </c>
      <c r="K33" s="819">
        <f t="shared" si="0"/>
        <v>1982632.9100000001</v>
      </c>
    </row>
    <row r="34" spans="1:14" x14ac:dyDescent="0.25">
      <c r="A34" s="816" t="s">
        <v>800</v>
      </c>
      <c r="B34" s="816" t="s">
        <v>801</v>
      </c>
      <c r="C34" s="818">
        <v>207402.93</v>
      </c>
      <c r="D34" s="818">
        <v>0</v>
      </c>
      <c r="E34" s="818">
        <v>0</v>
      </c>
      <c r="F34" s="818">
        <v>0</v>
      </c>
      <c r="G34" s="818">
        <v>207402.93</v>
      </c>
      <c r="H34" s="818">
        <v>0</v>
      </c>
      <c r="I34" s="818">
        <v>207402.93</v>
      </c>
      <c r="J34" s="818">
        <v>0</v>
      </c>
      <c r="K34" s="819">
        <f t="shared" si="0"/>
        <v>207402.93</v>
      </c>
      <c r="L34" s="826" t="s">
        <v>802</v>
      </c>
      <c r="N34" s="819">
        <f t="shared" ref="N34:N36" si="3">K34</f>
        <v>207402.93</v>
      </c>
    </row>
    <row r="35" spans="1:14" x14ac:dyDescent="0.25">
      <c r="A35" s="816" t="s">
        <v>803</v>
      </c>
      <c r="B35" s="816" t="s">
        <v>804</v>
      </c>
      <c r="C35" s="818">
        <v>107861</v>
      </c>
      <c r="D35" s="818">
        <v>62900.98</v>
      </c>
      <c r="E35" s="818">
        <v>0</v>
      </c>
      <c r="F35" s="818">
        <v>0</v>
      </c>
      <c r="G35" s="818">
        <v>107861</v>
      </c>
      <c r="H35" s="818">
        <v>62900.98</v>
      </c>
      <c r="I35" s="818">
        <v>44960.020000000004</v>
      </c>
      <c r="J35" s="818">
        <v>0</v>
      </c>
      <c r="K35" s="819">
        <f t="shared" si="0"/>
        <v>44960.020000000004</v>
      </c>
      <c r="L35" s="826" t="s">
        <v>1190</v>
      </c>
      <c r="N35" s="819">
        <f t="shared" si="3"/>
        <v>44960.020000000004</v>
      </c>
    </row>
    <row r="36" spans="1:14" x14ac:dyDescent="0.25">
      <c r="A36" s="816" t="s">
        <v>805</v>
      </c>
      <c r="B36" s="816" t="s">
        <v>806</v>
      </c>
      <c r="C36" s="818">
        <v>284702.7</v>
      </c>
      <c r="D36" s="818">
        <v>0</v>
      </c>
      <c r="E36" s="818">
        <v>0</v>
      </c>
      <c r="F36" s="818">
        <v>0</v>
      </c>
      <c r="G36" s="818">
        <v>284702.7</v>
      </c>
      <c r="H36" s="818">
        <v>0</v>
      </c>
      <c r="I36" s="818">
        <v>284702.7</v>
      </c>
      <c r="J36" s="818">
        <v>0</v>
      </c>
      <c r="K36" s="819">
        <f t="shared" si="0"/>
        <v>284702.7</v>
      </c>
      <c r="L36" s="826" t="s">
        <v>868</v>
      </c>
      <c r="N36" s="819">
        <f t="shared" si="3"/>
        <v>284702.7</v>
      </c>
    </row>
    <row r="37" spans="1:14" x14ac:dyDescent="0.25">
      <c r="A37" s="816" t="s">
        <v>807</v>
      </c>
      <c r="B37" s="816" t="s">
        <v>808</v>
      </c>
      <c r="C37" s="818">
        <v>284702.7</v>
      </c>
      <c r="D37" s="818">
        <v>0</v>
      </c>
      <c r="E37" s="818">
        <v>0</v>
      </c>
      <c r="F37" s="818">
        <v>0</v>
      </c>
      <c r="G37" s="818">
        <v>284702.7</v>
      </c>
      <c r="H37" s="818">
        <v>0</v>
      </c>
      <c r="I37" s="818">
        <v>284702.7</v>
      </c>
      <c r="J37" s="818">
        <v>0</v>
      </c>
      <c r="K37" s="819">
        <f t="shared" si="0"/>
        <v>284702.7</v>
      </c>
    </row>
    <row r="38" spans="1:14" x14ac:dyDescent="0.25">
      <c r="A38" s="816" t="s">
        <v>809</v>
      </c>
      <c r="B38" s="816" t="s">
        <v>810</v>
      </c>
      <c r="C38" s="818">
        <v>0</v>
      </c>
      <c r="D38" s="818">
        <v>13819.5</v>
      </c>
      <c r="E38" s="818">
        <v>0</v>
      </c>
      <c r="F38" s="818">
        <v>552.78</v>
      </c>
      <c r="G38" s="818">
        <v>0</v>
      </c>
      <c r="H38" s="818">
        <v>14372.28</v>
      </c>
      <c r="I38" s="818">
        <v>0</v>
      </c>
      <c r="J38" s="818">
        <v>14372.28</v>
      </c>
      <c r="K38" s="819">
        <f t="shared" si="0"/>
        <v>-14372.28</v>
      </c>
    </row>
    <row r="39" spans="1:14" x14ac:dyDescent="0.25">
      <c r="A39" s="816" t="s">
        <v>811</v>
      </c>
      <c r="B39" s="816" t="s">
        <v>812</v>
      </c>
      <c r="C39" s="818">
        <v>0</v>
      </c>
      <c r="D39" s="818">
        <v>3125</v>
      </c>
      <c r="E39" s="818">
        <v>0</v>
      </c>
      <c r="F39" s="818">
        <v>125</v>
      </c>
      <c r="G39" s="818">
        <v>0</v>
      </c>
      <c r="H39" s="818">
        <v>3250</v>
      </c>
      <c r="I39" s="818">
        <v>0</v>
      </c>
      <c r="J39" s="818">
        <v>3250</v>
      </c>
      <c r="K39" s="819">
        <f t="shared" si="0"/>
        <v>-3250</v>
      </c>
      <c r="L39" s="826" t="s">
        <v>780</v>
      </c>
      <c r="N39" s="819">
        <f t="shared" ref="N39:N41" si="4">K39</f>
        <v>-3250</v>
      </c>
    </row>
    <row r="40" spans="1:14" x14ac:dyDescent="0.25">
      <c r="A40" s="816" t="s">
        <v>813</v>
      </c>
      <c r="B40" s="816" t="s">
        <v>814</v>
      </c>
      <c r="C40" s="818">
        <v>0</v>
      </c>
      <c r="D40" s="818">
        <v>10694.5</v>
      </c>
      <c r="E40" s="818">
        <v>0</v>
      </c>
      <c r="F40" s="818">
        <v>427.78000000000003</v>
      </c>
      <c r="G40" s="818">
        <v>0</v>
      </c>
      <c r="H40" s="818">
        <v>11122.28</v>
      </c>
      <c r="I40" s="818">
        <v>0</v>
      </c>
      <c r="J40" s="818">
        <v>11122.28</v>
      </c>
      <c r="K40" s="819">
        <f t="shared" si="0"/>
        <v>-11122.28</v>
      </c>
      <c r="L40" s="826" t="s">
        <v>780</v>
      </c>
      <c r="N40" s="819">
        <f t="shared" si="4"/>
        <v>-11122.28</v>
      </c>
    </row>
    <row r="41" spans="1:14" x14ac:dyDescent="0.25">
      <c r="A41" s="816" t="s">
        <v>815</v>
      </c>
      <c r="B41" s="816" t="s">
        <v>816</v>
      </c>
      <c r="C41" s="818">
        <v>81022.63</v>
      </c>
      <c r="D41" s="818">
        <v>1808970.6</v>
      </c>
      <c r="E41" s="818">
        <v>70735.38</v>
      </c>
      <c r="F41" s="818">
        <v>25110.260000000002</v>
      </c>
      <c r="G41" s="818">
        <v>151758.01</v>
      </c>
      <c r="H41" s="818">
        <v>1834080.86</v>
      </c>
      <c r="I41" s="818">
        <v>0</v>
      </c>
      <c r="J41" s="818">
        <v>1682322.85</v>
      </c>
      <c r="K41" s="819">
        <f t="shared" si="0"/>
        <v>-1682322.85</v>
      </c>
      <c r="L41" s="826" t="s">
        <v>791</v>
      </c>
      <c r="N41" s="819">
        <f t="shared" si="4"/>
        <v>-1682322.85</v>
      </c>
    </row>
    <row r="42" spans="1:14" x14ac:dyDescent="0.25">
      <c r="A42" s="816" t="s">
        <v>817</v>
      </c>
      <c r="B42" s="816" t="s">
        <v>818</v>
      </c>
      <c r="C42" s="818">
        <v>0</v>
      </c>
      <c r="D42" s="818">
        <v>4189.34</v>
      </c>
      <c r="E42" s="818">
        <v>0</v>
      </c>
      <c r="F42" s="818">
        <v>0</v>
      </c>
      <c r="G42" s="818">
        <v>0</v>
      </c>
      <c r="H42" s="818">
        <v>4189.34</v>
      </c>
      <c r="I42" s="818">
        <v>0</v>
      </c>
      <c r="J42" s="818">
        <v>4189.34</v>
      </c>
      <c r="K42" s="819">
        <f t="shared" si="0"/>
        <v>-4189.34</v>
      </c>
    </row>
    <row r="43" spans="1:14" x14ac:dyDescent="0.25">
      <c r="A43" s="816" t="s">
        <v>819</v>
      </c>
      <c r="B43" s="816" t="s">
        <v>820</v>
      </c>
      <c r="C43" s="818">
        <v>81022.63</v>
      </c>
      <c r="D43" s="818">
        <v>1647529.3800000001</v>
      </c>
      <c r="E43" s="818">
        <v>70735.38</v>
      </c>
      <c r="F43" s="818">
        <v>23364.58</v>
      </c>
      <c r="G43" s="818">
        <v>151758.01</v>
      </c>
      <c r="H43" s="818">
        <v>1670893.96</v>
      </c>
      <c r="I43" s="818">
        <v>0</v>
      </c>
      <c r="J43" s="818">
        <v>1519135.95</v>
      </c>
      <c r="K43" s="819">
        <f t="shared" si="0"/>
        <v>-1519135.95</v>
      </c>
    </row>
    <row r="44" spans="1:14" x14ac:dyDescent="0.25">
      <c r="A44" s="816" t="s">
        <v>821</v>
      </c>
      <c r="B44" s="816" t="s">
        <v>822</v>
      </c>
      <c r="C44" s="818">
        <v>0</v>
      </c>
      <c r="D44" s="818">
        <v>157251.88</v>
      </c>
      <c r="E44" s="818">
        <v>0</v>
      </c>
      <c r="F44" s="818">
        <v>1745.68</v>
      </c>
      <c r="G44" s="818">
        <v>0</v>
      </c>
      <c r="H44" s="818">
        <v>158997.56</v>
      </c>
      <c r="I44" s="818">
        <v>0</v>
      </c>
      <c r="J44" s="818">
        <v>158997.56</v>
      </c>
      <c r="K44" s="819">
        <f t="shared" si="0"/>
        <v>-158997.56</v>
      </c>
    </row>
    <row r="45" spans="1:14" x14ac:dyDescent="0.25">
      <c r="A45" s="816" t="s">
        <v>823</v>
      </c>
      <c r="B45" s="816" t="s">
        <v>824</v>
      </c>
      <c r="C45" s="818">
        <v>14354126.85</v>
      </c>
      <c r="D45" s="818">
        <v>10454090.450000001</v>
      </c>
      <c r="E45" s="818">
        <v>988581.08000000007</v>
      </c>
      <c r="F45" s="818">
        <v>1571146.36</v>
      </c>
      <c r="G45" s="818">
        <v>15342707.93</v>
      </c>
      <c r="H45" s="818">
        <v>12025236.810000001</v>
      </c>
      <c r="I45" s="818">
        <v>3317471.12</v>
      </c>
      <c r="J45" s="818">
        <v>0</v>
      </c>
      <c r="K45" s="819">
        <f t="shared" si="0"/>
        <v>3317471.12</v>
      </c>
      <c r="L45" s="826" t="s">
        <v>825</v>
      </c>
      <c r="N45" s="819">
        <f t="shared" ref="N45:N46" si="5">K45</f>
        <v>3317471.12</v>
      </c>
    </row>
    <row r="46" spans="1:14" x14ac:dyDescent="0.25">
      <c r="A46" s="816" t="s">
        <v>826</v>
      </c>
      <c r="B46" s="816" t="s">
        <v>827</v>
      </c>
      <c r="C46" s="818">
        <v>737392.82000000007</v>
      </c>
      <c r="D46" s="818">
        <v>469926.55</v>
      </c>
      <c r="E46" s="818">
        <v>94643.58</v>
      </c>
      <c r="F46" s="818">
        <v>75005.320000000007</v>
      </c>
      <c r="G46" s="818">
        <v>832036.4</v>
      </c>
      <c r="H46" s="818">
        <v>544931.87</v>
      </c>
      <c r="I46" s="818">
        <v>287104.53000000003</v>
      </c>
      <c r="J46" s="818">
        <v>0</v>
      </c>
      <c r="K46" s="819">
        <f t="shared" si="0"/>
        <v>287104.53000000003</v>
      </c>
      <c r="L46" s="826" t="s">
        <v>825</v>
      </c>
      <c r="N46" s="819">
        <f t="shared" si="5"/>
        <v>287104.53000000003</v>
      </c>
    </row>
    <row r="47" spans="1:14" x14ac:dyDescent="0.25">
      <c r="A47" s="816" t="s">
        <v>828</v>
      </c>
      <c r="B47" s="816" t="s">
        <v>829</v>
      </c>
      <c r="C47" s="818">
        <v>737117.82000000007</v>
      </c>
      <c r="D47" s="818">
        <v>469651.55</v>
      </c>
      <c r="E47" s="818">
        <v>94643.58</v>
      </c>
      <c r="F47" s="818">
        <v>75005.320000000007</v>
      </c>
      <c r="G47" s="818">
        <v>831761.4</v>
      </c>
      <c r="H47" s="818">
        <v>544656.87</v>
      </c>
      <c r="I47" s="818">
        <v>287104.53000000003</v>
      </c>
      <c r="J47" s="818">
        <v>0</v>
      </c>
      <c r="K47" s="819">
        <f t="shared" si="0"/>
        <v>287104.53000000003</v>
      </c>
    </row>
    <row r="48" spans="1:14" x14ac:dyDescent="0.25">
      <c r="A48" s="816" t="s">
        <v>830</v>
      </c>
      <c r="B48" s="816" t="s">
        <v>831</v>
      </c>
      <c r="C48" s="818">
        <v>275</v>
      </c>
      <c r="D48" s="818">
        <v>275</v>
      </c>
      <c r="E48" s="818">
        <v>0</v>
      </c>
      <c r="F48" s="818">
        <v>0</v>
      </c>
      <c r="G48" s="818">
        <v>275</v>
      </c>
      <c r="H48" s="818">
        <v>275</v>
      </c>
      <c r="I48" s="818">
        <v>0</v>
      </c>
      <c r="J48" s="818">
        <v>0</v>
      </c>
      <c r="K48" s="819">
        <f t="shared" si="0"/>
        <v>0</v>
      </c>
    </row>
    <row r="49" spans="1:14" x14ac:dyDescent="0.25">
      <c r="A49" s="816" t="s">
        <v>832</v>
      </c>
      <c r="B49" s="816" t="s">
        <v>833</v>
      </c>
      <c r="C49" s="818">
        <v>202136.23</v>
      </c>
      <c r="D49" s="818">
        <v>41209.61</v>
      </c>
      <c r="E49" s="818">
        <v>4406.1400000000003</v>
      </c>
      <c r="F49" s="818">
        <v>0</v>
      </c>
      <c r="G49" s="818">
        <v>206542.37</v>
      </c>
      <c r="H49" s="818">
        <v>41209.61</v>
      </c>
      <c r="I49" s="818">
        <v>165332.76</v>
      </c>
      <c r="J49" s="818">
        <v>0</v>
      </c>
      <c r="K49" s="819">
        <f t="shared" si="0"/>
        <v>165332.76</v>
      </c>
      <c r="L49" s="826" t="s">
        <v>825</v>
      </c>
      <c r="N49" s="819">
        <f>K49</f>
        <v>165332.76</v>
      </c>
    </row>
    <row r="50" spans="1:14" x14ac:dyDescent="0.25">
      <c r="A50" s="816" t="s">
        <v>834</v>
      </c>
      <c r="B50" s="816" t="s">
        <v>835</v>
      </c>
      <c r="C50" s="818">
        <v>2429329.71</v>
      </c>
      <c r="D50" s="818">
        <v>1109862.9099999999</v>
      </c>
      <c r="E50" s="818">
        <v>406508.78</v>
      </c>
      <c r="F50" s="818">
        <v>0</v>
      </c>
      <c r="G50" s="818">
        <v>2835838.49</v>
      </c>
      <c r="H50" s="818">
        <v>1109862.9099999999</v>
      </c>
      <c r="I50" s="818">
        <v>1725975.58</v>
      </c>
      <c r="J50" s="818">
        <v>0</v>
      </c>
      <c r="K50" s="819">
        <f t="shared" si="0"/>
        <v>1725975.58</v>
      </c>
      <c r="L50" s="826" t="s">
        <v>836</v>
      </c>
      <c r="N50" s="819">
        <f>K50</f>
        <v>1725975.58</v>
      </c>
    </row>
    <row r="51" spans="1:14" x14ac:dyDescent="0.25">
      <c r="A51" s="816" t="s">
        <v>837</v>
      </c>
      <c r="B51" s="816" t="s">
        <v>838</v>
      </c>
      <c r="C51" s="818">
        <v>3738125.19</v>
      </c>
      <c r="D51" s="818">
        <v>3153350.7600000002</v>
      </c>
      <c r="E51" s="818">
        <v>154444.37</v>
      </c>
      <c r="F51" s="818">
        <v>165287.59</v>
      </c>
      <c r="G51" s="818">
        <v>3892569.56</v>
      </c>
      <c r="H51" s="818">
        <v>3318638.35</v>
      </c>
      <c r="I51" s="818">
        <v>573931.21</v>
      </c>
      <c r="J51" s="818">
        <v>0</v>
      </c>
      <c r="K51" s="819">
        <f t="shared" si="0"/>
        <v>573931.21</v>
      </c>
      <c r="L51" s="826" t="s">
        <v>839</v>
      </c>
      <c r="N51" s="819">
        <f>K51</f>
        <v>573931.21</v>
      </c>
    </row>
    <row r="52" spans="1:14" x14ac:dyDescent="0.25">
      <c r="A52" s="816" t="s">
        <v>840</v>
      </c>
      <c r="B52" s="816" t="s">
        <v>838</v>
      </c>
      <c r="C52" s="818">
        <v>3738125.19</v>
      </c>
      <c r="D52" s="818">
        <v>3153350.7600000002</v>
      </c>
      <c r="E52" s="818">
        <v>154444.37</v>
      </c>
      <c r="F52" s="818">
        <v>165287.59</v>
      </c>
      <c r="G52" s="818">
        <v>3892569.56</v>
      </c>
      <c r="H52" s="818">
        <v>3318638.35</v>
      </c>
      <c r="I52" s="818">
        <v>573931.21</v>
      </c>
      <c r="J52" s="818">
        <v>0</v>
      </c>
      <c r="K52" s="819">
        <f t="shared" si="0"/>
        <v>573931.21</v>
      </c>
    </row>
    <row r="53" spans="1:14" x14ac:dyDescent="0.25">
      <c r="A53" s="816" t="s">
        <v>841</v>
      </c>
      <c r="B53" s="816" t="s">
        <v>842</v>
      </c>
      <c r="C53" s="818">
        <v>20655543.609999999</v>
      </c>
      <c r="D53" s="818">
        <v>27619103.190000001</v>
      </c>
      <c r="E53" s="818">
        <v>2767819.3000000003</v>
      </c>
      <c r="F53" s="818">
        <v>1841293.8800000001</v>
      </c>
      <c r="G53" s="818">
        <v>23423362.91</v>
      </c>
      <c r="H53" s="818">
        <v>29460397.07</v>
      </c>
      <c r="I53" s="818">
        <v>0</v>
      </c>
      <c r="J53" s="818">
        <v>6037034.1600000001</v>
      </c>
      <c r="K53" s="819">
        <f t="shared" si="0"/>
        <v>-6037034.1600000001</v>
      </c>
      <c r="L53" s="826" t="s">
        <v>843</v>
      </c>
      <c r="N53" s="819">
        <f t="shared" ref="N53:N55" si="6">K53</f>
        <v>-6037034.1600000001</v>
      </c>
    </row>
    <row r="54" spans="1:14" x14ac:dyDescent="0.25">
      <c r="A54" s="816" t="s">
        <v>844</v>
      </c>
      <c r="B54" s="816" t="s">
        <v>845</v>
      </c>
      <c r="C54" s="818">
        <v>189362.84</v>
      </c>
      <c r="D54" s="818">
        <v>247389.25</v>
      </c>
      <c r="E54" s="818">
        <v>19552.330000000002</v>
      </c>
      <c r="F54" s="818">
        <v>19552.32</v>
      </c>
      <c r="G54" s="818">
        <v>208915.17</v>
      </c>
      <c r="H54" s="818">
        <v>266941.57</v>
      </c>
      <c r="I54" s="818">
        <v>0</v>
      </c>
      <c r="J54" s="818">
        <v>58026.400000000001</v>
      </c>
      <c r="K54" s="819">
        <f t="shared" si="0"/>
        <v>-58026.400000000001</v>
      </c>
      <c r="L54" s="826" t="s">
        <v>843</v>
      </c>
      <c r="N54" s="819">
        <f t="shared" si="6"/>
        <v>-58026.400000000001</v>
      </c>
    </row>
    <row r="55" spans="1:14" x14ac:dyDescent="0.25">
      <c r="A55" s="816" t="s">
        <v>846</v>
      </c>
      <c r="B55" s="816" t="s">
        <v>847</v>
      </c>
      <c r="C55" s="818">
        <v>1281771.31</v>
      </c>
      <c r="D55" s="818">
        <v>0</v>
      </c>
      <c r="E55" s="818">
        <v>-263413.91000000003</v>
      </c>
      <c r="F55" s="818">
        <v>0</v>
      </c>
      <c r="G55" s="818">
        <v>1018357.4</v>
      </c>
      <c r="H55" s="818">
        <v>0</v>
      </c>
      <c r="I55" s="818">
        <v>1018357.4</v>
      </c>
      <c r="J55" s="818">
        <v>0</v>
      </c>
      <c r="K55" s="819">
        <f t="shared" si="0"/>
        <v>1018357.4</v>
      </c>
      <c r="L55" s="826" t="s">
        <v>848</v>
      </c>
      <c r="N55" s="819">
        <f t="shared" si="6"/>
        <v>1018357.4</v>
      </c>
    </row>
    <row r="56" spans="1:14" x14ac:dyDescent="0.25">
      <c r="A56" s="816" t="s">
        <v>849</v>
      </c>
      <c r="B56" s="816" t="s">
        <v>850</v>
      </c>
      <c r="C56" s="818">
        <v>1281771.31</v>
      </c>
      <c r="D56" s="818">
        <v>0</v>
      </c>
      <c r="E56" s="818">
        <v>-263413.91000000003</v>
      </c>
      <c r="F56" s="818">
        <v>0</v>
      </c>
      <c r="G56" s="818">
        <v>1018357.4</v>
      </c>
      <c r="H56" s="818">
        <v>0</v>
      </c>
      <c r="I56" s="818">
        <v>1018357.4</v>
      </c>
      <c r="J56" s="818">
        <v>0</v>
      </c>
      <c r="K56" s="819">
        <f t="shared" si="0"/>
        <v>1018357.4</v>
      </c>
    </row>
    <row r="57" spans="1:14" x14ac:dyDescent="0.25">
      <c r="A57" s="816" t="s">
        <v>851</v>
      </c>
      <c r="B57" s="816" t="s">
        <v>852</v>
      </c>
      <c r="C57" s="818">
        <v>29807028.140000001</v>
      </c>
      <c r="D57" s="818">
        <v>22557622.440000001</v>
      </c>
      <c r="E57" s="818">
        <v>2019224.23</v>
      </c>
      <c r="F57" s="818">
        <v>3238795.81</v>
      </c>
      <c r="G57" s="818">
        <v>31826252.370000001</v>
      </c>
      <c r="H57" s="818">
        <v>25796418.25</v>
      </c>
      <c r="I57" s="818">
        <v>6029834.1200000001</v>
      </c>
      <c r="J57" s="818">
        <v>0</v>
      </c>
      <c r="K57" s="819">
        <f t="shared" si="0"/>
        <v>6029834.1200000001</v>
      </c>
      <c r="L57" s="826" t="s">
        <v>853</v>
      </c>
      <c r="N57" s="819">
        <f>K57</f>
        <v>6029834.1200000001</v>
      </c>
    </row>
    <row r="58" spans="1:14" x14ac:dyDescent="0.25">
      <c r="A58" s="816" t="s">
        <v>854</v>
      </c>
      <c r="B58" s="816" t="s">
        <v>855</v>
      </c>
      <c r="C58" s="818">
        <v>29749033.66</v>
      </c>
      <c r="D58" s="818">
        <v>22557622.440000001</v>
      </c>
      <c r="E58" s="818">
        <v>2019224.23</v>
      </c>
      <c r="F58" s="818">
        <v>3238795.81</v>
      </c>
      <c r="G58" s="818">
        <v>31768257.890000001</v>
      </c>
      <c r="H58" s="818">
        <v>25796418.25</v>
      </c>
      <c r="I58" s="818">
        <v>5971839.6399999997</v>
      </c>
      <c r="J58" s="818">
        <v>0</v>
      </c>
      <c r="K58" s="819">
        <f t="shared" si="0"/>
        <v>5971839.6399999997</v>
      </c>
    </row>
    <row r="59" spans="1:14" x14ac:dyDescent="0.25">
      <c r="A59" s="816" t="s">
        <v>856</v>
      </c>
      <c r="B59" s="816" t="s">
        <v>857</v>
      </c>
      <c r="C59" s="818">
        <v>57994.48</v>
      </c>
      <c r="D59" s="818">
        <v>0</v>
      </c>
      <c r="E59" s="818">
        <v>0</v>
      </c>
      <c r="F59" s="818">
        <v>0</v>
      </c>
      <c r="G59" s="818">
        <v>57994.48</v>
      </c>
      <c r="H59" s="818">
        <v>0</v>
      </c>
      <c r="I59" s="818">
        <v>57994.48</v>
      </c>
      <c r="J59" s="818">
        <v>0</v>
      </c>
      <c r="K59" s="819">
        <f t="shared" si="0"/>
        <v>57994.48</v>
      </c>
    </row>
    <row r="60" spans="1:14" x14ac:dyDescent="0.25">
      <c r="A60" s="816" t="s">
        <v>858</v>
      </c>
      <c r="B60" s="816" t="s">
        <v>859</v>
      </c>
      <c r="C60" s="818">
        <v>0</v>
      </c>
      <c r="D60" s="818">
        <v>4645809.6900000004</v>
      </c>
      <c r="E60" s="818">
        <v>0</v>
      </c>
      <c r="F60" s="818">
        <v>-232229.61000000002</v>
      </c>
      <c r="G60" s="818">
        <v>0</v>
      </c>
      <c r="H60" s="818">
        <v>4413580.08</v>
      </c>
      <c r="I60" s="818">
        <v>0</v>
      </c>
      <c r="J60" s="818">
        <v>4413580.08</v>
      </c>
      <c r="K60" s="819">
        <f t="shared" si="0"/>
        <v>-4413580.08</v>
      </c>
      <c r="L60" s="826" t="s">
        <v>860</v>
      </c>
      <c r="N60" s="819">
        <f t="shared" ref="N60:N65" si="7">K60</f>
        <v>-4413580.08</v>
      </c>
    </row>
    <row r="61" spans="1:14" x14ac:dyDescent="0.25">
      <c r="A61" s="816" t="s">
        <v>861</v>
      </c>
      <c r="B61" s="816" t="s">
        <v>862</v>
      </c>
      <c r="C61" s="818">
        <v>499155</v>
      </c>
      <c r="D61" s="818">
        <v>518220</v>
      </c>
      <c r="E61" s="818">
        <v>72522</v>
      </c>
      <c r="F61" s="818">
        <v>53457</v>
      </c>
      <c r="G61" s="818">
        <v>571677</v>
      </c>
      <c r="H61" s="818">
        <v>571677</v>
      </c>
      <c r="I61" s="818">
        <v>0</v>
      </c>
      <c r="J61" s="818">
        <v>0</v>
      </c>
      <c r="K61" s="819">
        <f t="shared" si="0"/>
        <v>0</v>
      </c>
      <c r="L61" s="826" t="s">
        <v>863</v>
      </c>
      <c r="N61" s="819">
        <f t="shared" si="7"/>
        <v>0</v>
      </c>
    </row>
    <row r="62" spans="1:14" x14ac:dyDescent="0.25">
      <c r="A62" s="816" t="s">
        <v>864</v>
      </c>
      <c r="B62" s="816" t="s">
        <v>865</v>
      </c>
      <c r="C62" s="818">
        <v>782</v>
      </c>
      <c r="D62" s="818">
        <v>782</v>
      </c>
      <c r="E62" s="818">
        <v>0</v>
      </c>
      <c r="F62" s="818">
        <v>0</v>
      </c>
      <c r="G62" s="818">
        <v>782</v>
      </c>
      <c r="H62" s="818">
        <v>782</v>
      </c>
      <c r="I62" s="818">
        <v>0</v>
      </c>
      <c r="J62" s="818">
        <v>0</v>
      </c>
      <c r="K62" s="819">
        <f t="shared" si="0"/>
        <v>0</v>
      </c>
      <c r="L62" s="826" t="s">
        <v>863</v>
      </c>
      <c r="N62" s="819">
        <f t="shared" si="7"/>
        <v>0</v>
      </c>
    </row>
    <row r="63" spans="1:14" x14ac:dyDescent="0.25">
      <c r="A63" s="816" t="s">
        <v>866</v>
      </c>
      <c r="B63" s="816" t="s">
        <v>867</v>
      </c>
      <c r="C63" s="818">
        <v>685</v>
      </c>
      <c r="D63" s="818">
        <v>685</v>
      </c>
      <c r="E63" s="818">
        <v>0</v>
      </c>
      <c r="F63" s="818">
        <v>0</v>
      </c>
      <c r="G63" s="818">
        <v>685</v>
      </c>
      <c r="H63" s="818">
        <v>685</v>
      </c>
      <c r="I63" s="818">
        <v>0</v>
      </c>
      <c r="J63" s="818">
        <v>0</v>
      </c>
      <c r="K63" s="819">
        <f t="shared" si="0"/>
        <v>0</v>
      </c>
      <c r="L63" s="826" t="s">
        <v>868</v>
      </c>
      <c r="N63" s="819">
        <f t="shared" si="7"/>
        <v>0</v>
      </c>
    </row>
    <row r="64" spans="1:14" x14ac:dyDescent="0.25">
      <c r="A64" s="816" t="s">
        <v>869</v>
      </c>
      <c r="B64" s="816" t="s">
        <v>870</v>
      </c>
      <c r="C64" s="818">
        <v>3184</v>
      </c>
      <c r="D64" s="818">
        <v>4235</v>
      </c>
      <c r="E64" s="818">
        <v>0</v>
      </c>
      <c r="F64" s="818">
        <v>259</v>
      </c>
      <c r="G64" s="818">
        <v>3184</v>
      </c>
      <c r="H64" s="818">
        <v>4494</v>
      </c>
      <c r="I64" s="818">
        <v>0</v>
      </c>
      <c r="J64" s="818">
        <v>1310</v>
      </c>
      <c r="K64" s="819">
        <f t="shared" si="0"/>
        <v>-1310</v>
      </c>
      <c r="L64" s="826" t="s">
        <v>863</v>
      </c>
      <c r="N64" s="819">
        <f t="shared" si="7"/>
        <v>-1310</v>
      </c>
    </row>
    <row r="65" spans="1:14" x14ac:dyDescent="0.25">
      <c r="A65" s="816" t="s">
        <v>871</v>
      </c>
      <c r="B65" s="816" t="s">
        <v>872</v>
      </c>
      <c r="C65" s="818">
        <v>190940</v>
      </c>
      <c r="D65" s="818">
        <v>210991</v>
      </c>
      <c r="E65" s="818">
        <v>20051</v>
      </c>
      <c r="F65" s="818">
        <v>20097</v>
      </c>
      <c r="G65" s="818">
        <v>210991</v>
      </c>
      <c r="H65" s="818">
        <v>231088</v>
      </c>
      <c r="I65" s="818">
        <v>0</v>
      </c>
      <c r="J65" s="818">
        <v>20097</v>
      </c>
      <c r="K65" s="819">
        <f t="shared" si="0"/>
        <v>-20097</v>
      </c>
      <c r="L65" s="826" t="s">
        <v>863</v>
      </c>
      <c r="N65" s="819">
        <f t="shared" si="7"/>
        <v>-20097</v>
      </c>
    </row>
    <row r="66" spans="1:14" x14ac:dyDescent="0.25">
      <c r="A66" s="816" t="s">
        <v>873</v>
      </c>
      <c r="B66" s="816" t="s">
        <v>874</v>
      </c>
      <c r="C66" s="818">
        <v>79237</v>
      </c>
      <c r="D66" s="818">
        <v>87568</v>
      </c>
      <c r="E66" s="818">
        <v>8331</v>
      </c>
      <c r="F66" s="818">
        <v>8350</v>
      </c>
      <c r="G66" s="818">
        <v>87568</v>
      </c>
      <c r="H66" s="818">
        <v>95918</v>
      </c>
      <c r="I66" s="818">
        <v>0</v>
      </c>
      <c r="J66" s="818">
        <v>8350</v>
      </c>
      <c r="K66" s="819">
        <f t="shared" si="0"/>
        <v>-8350</v>
      </c>
    </row>
    <row r="67" spans="1:14" x14ac:dyDescent="0.25">
      <c r="A67" s="816" t="s">
        <v>875</v>
      </c>
      <c r="B67" s="816" t="s">
        <v>876</v>
      </c>
      <c r="C67" s="818">
        <v>52663</v>
      </c>
      <c r="D67" s="818">
        <v>58199</v>
      </c>
      <c r="E67" s="818">
        <v>5536</v>
      </c>
      <c r="F67" s="818">
        <v>5549</v>
      </c>
      <c r="G67" s="818">
        <v>58199</v>
      </c>
      <c r="H67" s="818">
        <v>63748</v>
      </c>
      <c r="I67" s="818">
        <v>0</v>
      </c>
      <c r="J67" s="818">
        <v>5549</v>
      </c>
      <c r="K67" s="819">
        <f t="shared" si="0"/>
        <v>-5549</v>
      </c>
    </row>
    <row r="68" spans="1:14" x14ac:dyDescent="0.25">
      <c r="A68" s="816" t="s">
        <v>877</v>
      </c>
      <c r="B68" s="816" t="s">
        <v>878</v>
      </c>
      <c r="C68" s="818">
        <v>26093</v>
      </c>
      <c r="D68" s="818">
        <v>28838</v>
      </c>
      <c r="E68" s="818">
        <v>2745</v>
      </c>
      <c r="F68" s="818">
        <v>2748</v>
      </c>
      <c r="G68" s="818">
        <v>28838</v>
      </c>
      <c r="H68" s="818">
        <v>31586</v>
      </c>
      <c r="I68" s="818">
        <v>0</v>
      </c>
      <c r="J68" s="818">
        <v>2748</v>
      </c>
      <c r="K68" s="819">
        <f t="shared" si="0"/>
        <v>-2748</v>
      </c>
    </row>
    <row r="69" spans="1:14" x14ac:dyDescent="0.25">
      <c r="A69" s="816" t="s">
        <v>879</v>
      </c>
      <c r="B69" s="816" t="s">
        <v>880</v>
      </c>
      <c r="C69" s="818">
        <v>27569</v>
      </c>
      <c r="D69" s="818">
        <v>30465</v>
      </c>
      <c r="E69" s="818">
        <v>2896</v>
      </c>
      <c r="F69" s="818">
        <v>2907</v>
      </c>
      <c r="G69" s="818">
        <v>30465</v>
      </c>
      <c r="H69" s="818">
        <v>33372</v>
      </c>
      <c r="I69" s="818">
        <v>0</v>
      </c>
      <c r="J69" s="818">
        <v>2907</v>
      </c>
      <c r="K69" s="819">
        <f t="shared" si="0"/>
        <v>-2907</v>
      </c>
    </row>
    <row r="70" spans="1:14" x14ac:dyDescent="0.25">
      <c r="A70" s="816" t="s">
        <v>881</v>
      </c>
      <c r="B70" s="816" t="s">
        <v>882</v>
      </c>
      <c r="C70" s="818">
        <v>892</v>
      </c>
      <c r="D70" s="818">
        <v>986</v>
      </c>
      <c r="E70" s="818">
        <v>94</v>
      </c>
      <c r="F70" s="818">
        <v>94</v>
      </c>
      <c r="G70" s="818">
        <v>986</v>
      </c>
      <c r="H70" s="818">
        <v>1080</v>
      </c>
      <c r="I70" s="818">
        <v>0</v>
      </c>
      <c r="J70" s="818">
        <v>94</v>
      </c>
      <c r="K70" s="819">
        <f t="shared" si="0"/>
        <v>-94</v>
      </c>
    </row>
    <row r="71" spans="1:14" x14ac:dyDescent="0.25">
      <c r="A71" s="816" t="s">
        <v>883</v>
      </c>
      <c r="B71" s="816" t="s">
        <v>884</v>
      </c>
      <c r="C71" s="818">
        <v>4423</v>
      </c>
      <c r="D71" s="818">
        <v>4872</v>
      </c>
      <c r="E71" s="818">
        <v>449</v>
      </c>
      <c r="F71" s="818">
        <v>449</v>
      </c>
      <c r="G71" s="818">
        <v>4872</v>
      </c>
      <c r="H71" s="818">
        <v>5321</v>
      </c>
      <c r="I71" s="818">
        <v>0</v>
      </c>
      <c r="J71" s="818">
        <v>449</v>
      </c>
      <c r="K71" s="819">
        <f t="shared" si="0"/>
        <v>-449</v>
      </c>
    </row>
    <row r="72" spans="1:14" x14ac:dyDescent="0.25">
      <c r="A72" s="816" t="s">
        <v>885</v>
      </c>
      <c r="B72" s="816" t="s">
        <v>886</v>
      </c>
      <c r="C72" s="818">
        <v>63</v>
      </c>
      <c r="D72" s="818">
        <v>63</v>
      </c>
      <c r="E72" s="818">
        <v>0</v>
      </c>
      <c r="F72" s="818">
        <v>0</v>
      </c>
      <c r="G72" s="818">
        <v>63</v>
      </c>
      <c r="H72" s="818">
        <v>63</v>
      </c>
      <c r="I72" s="818">
        <v>0</v>
      </c>
      <c r="J72" s="818">
        <v>0</v>
      </c>
      <c r="K72" s="819">
        <f t="shared" si="0"/>
        <v>0</v>
      </c>
    </row>
    <row r="73" spans="1:14" x14ac:dyDescent="0.25">
      <c r="A73" s="816" t="s">
        <v>887</v>
      </c>
      <c r="B73" s="816" t="s">
        <v>888</v>
      </c>
      <c r="C73" s="818">
        <v>6287</v>
      </c>
      <c r="D73" s="818">
        <v>6948</v>
      </c>
      <c r="E73" s="818">
        <v>661</v>
      </c>
      <c r="F73" s="818">
        <v>662</v>
      </c>
      <c r="G73" s="818">
        <v>6948</v>
      </c>
      <c r="H73" s="818">
        <v>7610</v>
      </c>
      <c r="I73" s="818">
        <v>0</v>
      </c>
      <c r="J73" s="818">
        <v>662</v>
      </c>
      <c r="K73" s="819">
        <f t="shared" si="0"/>
        <v>-662</v>
      </c>
      <c r="L73" s="826" t="s">
        <v>863</v>
      </c>
      <c r="N73" s="819">
        <f>K73</f>
        <v>-662</v>
      </c>
    </row>
    <row r="74" spans="1:14" x14ac:dyDescent="0.25">
      <c r="A74" s="816" t="s">
        <v>889</v>
      </c>
      <c r="B74" s="816" t="s">
        <v>890</v>
      </c>
      <c r="C74" s="818">
        <v>2508</v>
      </c>
      <c r="D74" s="818">
        <v>2772</v>
      </c>
      <c r="E74" s="818">
        <v>264</v>
      </c>
      <c r="F74" s="818">
        <v>264</v>
      </c>
      <c r="G74" s="818">
        <v>2772</v>
      </c>
      <c r="H74" s="818">
        <v>3036</v>
      </c>
      <c r="I74" s="818">
        <v>0</v>
      </c>
      <c r="J74" s="818">
        <v>264</v>
      </c>
      <c r="K74" s="819">
        <f t="shared" ref="K74:K124" si="8">I74-J74</f>
        <v>-264</v>
      </c>
    </row>
    <row r="75" spans="1:14" x14ac:dyDescent="0.25">
      <c r="A75" s="816" t="s">
        <v>891</v>
      </c>
      <c r="B75" s="816" t="s">
        <v>892</v>
      </c>
      <c r="C75" s="818">
        <v>2525</v>
      </c>
      <c r="D75" s="818">
        <v>2790</v>
      </c>
      <c r="E75" s="818">
        <v>265</v>
      </c>
      <c r="F75" s="818">
        <v>266</v>
      </c>
      <c r="G75" s="818">
        <v>2790</v>
      </c>
      <c r="H75" s="818">
        <v>3056</v>
      </c>
      <c r="I75" s="818">
        <v>0</v>
      </c>
      <c r="J75" s="818">
        <v>266</v>
      </c>
      <c r="K75" s="819">
        <f t="shared" si="8"/>
        <v>-266</v>
      </c>
    </row>
    <row r="76" spans="1:14" x14ac:dyDescent="0.25">
      <c r="A76" s="816" t="s">
        <v>893</v>
      </c>
      <c r="B76" s="816" t="s">
        <v>894</v>
      </c>
      <c r="C76" s="818">
        <v>1254</v>
      </c>
      <c r="D76" s="818">
        <v>1386</v>
      </c>
      <c r="E76" s="818">
        <v>132</v>
      </c>
      <c r="F76" s="818">
        <v>132</v>
      </c>
      <c r="G76" s="818">
        <v>1386</v>
      </c>
      <c r="H76" s="818">
        <v>1518</v>
      </c>
      <c r="I76" s="818">
        <v>0</v>
      </c>
      <c r="J76" s="818">
        <v>132</v>
      </c>
      <c r="K76" s="819">
        <f t="shared" si="8"/>
        <v>-132</v>
      </c>
    </row>
    <row r="77" spans="1:14" x14ac:dyDescent="0.25">
      <c r="A77" s="816" t="s">
        <v>895</v>
      </c>
      <c r="B77" s="816" t="s">
        <v>896</v>
      </c>
      <c r="C77" s="818">
        <v>254866</v>
      </c>
      <c r="D77" s="818">
        <v>247458</v>
      </c>
      <c r="E77" s="818">
        <v>0</v>
      </c>
      <c r="F77" s="818">
        <v>80504</v>
      </c>
      <c r="G77" s="818">
        <v>254866</v>
      </c>
      <c r="H77" s="818">
        <v>327962</v>
      </c>
      <c r="I77" s="818">
        <v>0</v>
      </c>
      <c r="J77" s="818">
        <v>73096</v>
      </c>
      <c r="K77" s="819">
        <f t="shared" si="8"/>
        <v>-73096</v>
      </c>
      <c r="L77" s="826" t="s">
        <v>863</v>
      </c>
      <c r="N77" s="819">
        <f t="shared" ref="N77:N78" si="9">K77</f>
        <v>-73096</v>
      </c>
    </row>
    <row r="78" spans="1:14" x14ac:dyDescent="0.25">
      <c r="A78" s="816" t="s">
        <v>897</v>
      </c>
      <c r="B78" s="816" t="s">
        <v>898</v>
      </c>
      <c r="C78" s="818">
        <v>10563820.130000001</v>
      </c>
      <c r="D78" s="818">
        <v>10557454.5</v>
      </c>
      <c r="E78" s="818">
        <v>881185.22</v>
      </c>
      <c r="F78" s="818">
        <v>840223.03</v>
      </c>
      <c r="G78" s="818">
        <v>11445005.35</v>
      </c>
      <c r="H78" s="818">
        <v>11397677.529999999</v>
      </c>
      <c r="I78" s="818">
        <v>47327.82</v>
      </c>
      <c r="J78" s="818">
        <v>0</v>
      </c>
      <c r="K78" s="819">
        <f t="shared" si="8"/>
        <v>47327.82</v>
      </c>
      <c r="L78" s="826" t="s">
        <v>868</v>
      </c>
      <c r="N78" s="819">
        <f t="shared" si="9"/>
        <v>47327.82</v>
      </c>
    </row>
    <row r="79" spans="1:14" x14ac:dyDescent="0.25">
      <c r="A79" s="816" t="s">
        <v>899</v>
      </c>
      <c r="B79" s="816" t="s">
        <v>900</v>
      </c>
      <c r="C79" s="818">
        <v>684375.79</v>
      </c>
      <c r="D79" s="818">
        <v>753021.21</v>
      </c>
      <c r="E79" s="818">
        <v>29935.47</v>
      </c>
      <c r="F79" s="818">
        <v>0</v>
      </c>
      <c r="G79" s="818">
        <v>714311.26</v>
      </c>
      <c r="H79" s="818">
        <v>753021.21</v>
      </c>
      <c r="I79" s="818">
        <v>0</v>
      </c>
      <c r="J79" s="818">
        <v>38709.950000000004</v>
      </c>
      <c r="K79" s="819">
        <f t="shared" si="8"/>
        <v>-38709.950000000004</v>
      </c>
    </row>
    <row r="80" spans="1:14" x14ac:dyDescent="0.25">
      <c r="A80" s="816" t="s">
        <v>901</v>
      </c>
      <c r="B80" s="816" t="s">
        <v>902</v>
      </c>
      <c r="C80" s="818">
        <v>242986.79</v>
      </c>
      <c r="D80" s="818">
        <v>242986.79</v>
      </c>
      <c r="E80" s="818">
        <v>29935.47</v>
      </c>
      <c r="F80" s="818">
        <v>29935.47</v>
      </c>
      <c r="G80" s="818">
        <v>272922.26</v>
      </c>
      <c r="H80" s="818">
        <v>272922.26</v>
      </c>
      <c r="I80" s="818">
        <v>0</v>
      </c>
      <c r="J80" s="818">
        <v>0</v>
      </c>
      <c r="K80" s="819">
        <f t="shared" si="8"/>
        <v>0</v>
      </c>
    </row>
    <row r="81" spans="1:14" x14ac:dyDescent="0.25">
      <c r="A81" s="816" t="s">
        <v>903</v>
      </c>
      <c r="B81" s="816" t="s">
        <v>904</v>
      </c>
      <c r="C81" s="818">
        <v>2904838.91</v>
      </c>
      <c r="D81" s="818">
        <v>2904838.91</v>
      </c>
      <c r="E81" s="818">
        <v>263626.89</v>
      </c>
      <c r="F81" s="818">
        <v>263626.89</v>
      </c>
      <c r="G81" s="818">
        <v>3168465.8000000003</v>
      </c>
      <c r="H81" s="818">
        <v>3168465.8000000003</v>
      </c>
      <c r="I81" s="818">
        <v>0</v>
      </c>
      <c r="J81" s="818">
        <v>0</v>
      </c>
      <c r="K81" s="819">
        <f t="shared" si="8"/>
        <v>0</v>
      </c>
    </row>
    <row r="82" spans="1:14" x14ac:dyDescent="0.25">
      <c r="A82" s="816" t="s">
        <v>905</v>
      </c>
      <c r="B82" s="816" t="s">
        <v>906</v>
      </c>
      <c r="C82" s="818">
        <v>2994332.33</v>
      </c>
      <c r="D82" s="818">
        <v>2994332.33</v>
      </c>
      <c r="E82" s="818">
        <v>233691.42</v>
      </c>
      <c r="F82" s="818">
        <v>233691.42</v>
      </c>
      <c r="G82" s="818">
        <v>3228023.75</v>
      </c>
      <c r="H82" s="818">
        <v>3228023.75</v>
      </c>
      <c r="I82" s="818">
        <v>0</v>
      </c>
      <c r="J82" s="818">
        <v>0</v>
      </c>
      <c r="K82" s="819">
        <f t="shared" si="8"/>
        <v>0</v>
      </c>
    </row>
    <row r="83" spans="1:14" x14ac:dyDescent="0.25">
      <c r="A83" s="816" t="s">
        <v>907</v>
      </c>
      <c r="B83" s="816" t="s">
        <v>908</v>
      </c>
      <c r="C83" s="818">
        <v>1905188.49</v>
      </c>
      <c r="D83" s="818">
        <v>1830177.44</v>
      </c>
      <c r="E83" s="818">
        <v>182479.08000000002</v>
      </c>
      <c r="F83" s="818">
        <v>171452.36000000002</v>
      </c>
      <c r="G83" s="818">
        <v>2087667.57</v>
      </c>
      <c r="H83" s="818">
        <v>2001629.8</v>
      </c>
      <c r="I83" s="818">
        <v>86037.77</v>
      </c>
      <c r="J83" s="818">
        <v>0</v>
      </c>
      <c r="K83" s="819">
        <f t="shared" si="8"/>
        <v>86037.77</v>
      </c>
    </row>
    <row r="84" spans="1:14" x14ac:dyDescent="0.25">
      <c r="A84" s="816" t="s">
        <v>909</v>
      </c>
      <c r="B84" s="816" t="s">
        <v>910</v>
      </c>
      <c r="C84" s="818">
        <v>1919670.86</v>
      </c>
      <c r="D84" s="818">
        <v>1919670.86</v>
      </c>
      <c r="E84" s="818">
        <v>141516.89000000001</v>
      </c>
      <c r="F84" s="818">
        <v>141516.89000000001</v>
      </c>
      <c r="G84" s="818">
        <v>2061187.75</v>
      </c>
      <c r="H84" s="818">
        <v>2061187.75</v>
      </c>
      <c r="I84" s="818">
        <v>0</v>
      </c>
      <c r="J84" s="818">
        <v>0</v>
      </c>
      <c r="K84" s="819">
        <f t="shared" si="8"/>
        <v>0</v>
      </c>
    </row>
    <row r="85" spans="1:14" x14ac:dyDescent="0.25">
      <c r="A85" s="816" t="s">
        <v>911</v>
      </c>
      <c r="B85" s="816" t="s">
        <v>912</v>
      </c>
      <c r="C85" s="818">
        <v>63735</v>
      </c>
      <c r="D85" s="818">
        <v>70557</v>
      </c>
      <c r="E85" s="818">
        <v>6822</v>
      </c>
      <c r="F85" s="818">
        <v>6793</v>
      </c>
      <c r="G85" s="818">
        <v>70557</v>
      </c>
      <c r="H85" s="818">
        <v>77350</v>
      </c>
      <c r="I85" s="818">
        <v>0</v>
      </c>
      <c r="J85" s="818">
        <v>6793</v>
      </c>
      <c r="K85" s="819">
        <f t="shared" si="8"/>
        <v>-6793</v>
      </c>
      <c r="L85" s="826" t="s">
        <v>863</v>
      </c>
      <c r="N85" s="819">
        <f t="shared" ref="N85:N86" si="10">K85</f>
        <v>-6793</v>
      </c>
    </row>
    <row r="86" spans="1:14" x14ac:dyDescent="0.25">
      <c r="A86" s="816" t="s">
        <v>913</v>
      </c>
      <c r="B86" s="816" t="s">
        <v>914</v>
      </c>
      <c r="C86" s="818">
        <v>95455</v>
      </c>
      <c r="D86" s="818">
        <v>110144</v>
      </c>
      <c r="E86" s="818">
        <v>8161</v>
      </c>
      <c r="F86" s="818">
        <v>12894</v>
      </c>
      <c r="G86" s="818">
        <v>103616</v>
      </c>
      <c r="H86" s="818">
        <v>123038</v>
      </c>
      <c r="I86" s="818">
        <v>0</v>
      </c>
      <c r="J86" s="818">
        <v>19422</v>
      </c>
      <c r="K86" s="819">
        <f t="shared" si="8"/>
        <v>-19422</v>
      </c>
      <c r="L86" s="826" t="s">
        <v>863</v>
      </c>
      <c r="N86" s="819">
        <f t="shared" si="10"/>
        <v>-19422</v>
      </c>
    </row>
    <row r="87" spans="1:14" x14ac:dyDescent="0.25">
      <c r="A87" s="816" t="s">
        <v>915</v>
      </c>
      <c r="B87" s="816" t="s">
        <v>916</v>
      </c>
      <c r="C87" s="818">
        <v>86864</v>
      </c>
      <c r="D87" s="818">
        <v>101553</v>
      </c>
      <c r="E87" s="818">
        <v>8161</v>
      </c>
      <c r="F87" s="818">
        <v>12894</v>
      </c>
      <c r="G87" s="818">
        <v>95025</v>
      </c>
      <c r="H87" s="818">
        <v>114447</v>
      </c>
      <c r="I87" s="818">
        <v>0</v>
      </c>
      <c r="J87" s="818">
        <v>19422</v>
      </c>
      <c r="K87" s="819">
        <f t="shared" si="8"/>
        <v>-19422</v>
      </c>
    </row>
    <row r="88" spans="1:14" x14ac:dyDescent="0.25">
      <c r="A88" s="816" t="s">
        <v>917</v>
      </c>
      <c r="B88" s="816" t="s">
        <v>918</v>
      </c>
      <c r="C88" s="818">
        <v>8384</v>
      </c>
      <c r="D88" s="818">
        <v>8384</v>
      </c>
      <c r="E88" s="818">
        <v>0</v>
      </c>
      <c r="F88" s="818">
        <v>0</v>
      </c>
      <c r="G88" s="818">
        <v>8384</v>
      </c>
      <c r="H88" s="818">
        <v>8384</v>
      </c>
      <c r="I88" s="818">
        <v>0</v>
      </c>
      <c r="J88" s="818">
        <v>0</v>
      </c>
      <c r="K88" s="819">
        <f t="shared" si="8"/>
        <v>0</v>
      </c>
    </row>
    <row r="89" spans="1:14" x14ac:dyDescent="0.25">
      <c r="A89" s="816" t="s">
        <v>919</v>
      </c>
      <c r="B89" s="816" t="s">
        <v>920</v>
      </c>
      <c r="C89" s="818">
        <v>207</v>
      </c>
      <c r="D89" s="818">
        <v>207</v>
      </c>
      <c r="E89" s="818">
        <v>0</v>
      </c>
      <c r="F89" s="818">
        <v>0</v>
      </c>
      <c r="G89" s="818">
        <v>207</v>
      </c>
      <c r="H89" s="818">
        <v>207</v>
      </c>
      <c r="I89" s="818">
        <v>0</v>
      </c>
      <c r="J89" s="818">
        <v>0</v>
      </c>
      <c r="K89" s="819">
        <f t="shared" si="8"/>
        <v>0</v>
      </c>
    </row>
    <row r="90" spans="1:14" x14ac:dyDescent="0.25">
      <c r="A90" s="816" t="s">
        <v>921</v>
      </c>
      <c r="B90" s="816" t="s">
        <v>922</v>
      </c>
      <c r="C90" s="818">
        <v>430</v>
      </c>
      <c r="D90" s="818">
        <v>0</v>
      </c>
      <c r="E90" s="818">
        <v>610</v>
      </c>
      <c r="F90" s="818">
        <v>20</v>
      </c>
      <c r="G90" s="818">
        <v>1040</v>
      </c>
      <c r="H90" s="818">
        <v>20</v>
      </c>
      <c r="I90" s="818">
        <v>1020</v>
      </c>
      <c r="J90" s="818">
        <v>0</v>
      </c>
      <c r="K90" s="819">
        <f t="shared" si="8"/>
        <v>1020</v>
      </c>
      <c r="L90" s="826" t="s">
        <v>868</v>
      </c>
      <c r="N90" s="819">
        <f>K90</f>
        <v>1020</v>
      </c>
    </row>
    <row r="91" spans="1:14" x14ac:dyDescent="0.25">
      <c r="A91" s="816" t="s">
        <v>923</v>
      </c>
      <c r="B91" s="816" t="s">
        <v>924</v>
      </c>
      <c r="C91" s="818">
        <v>430</v>
      </c>
      <c r="D91" s="818">
        <v>0</v>
      </c>
      <c r="E91" s="818">
        <v>610</v>
      </c>
      <c r="F91" s="818">
        <v>20</v>
      </c>
      <c r="G91" s="818">
        <v>1040</v>
      </c>
      <c r="H91" s="818">
        <v>20</v>
      </c>
      <c r="I91" s="818">
        <v>1020</v>
      </c>
      <c r="J91" s="818">
        <v>0</v>
      </c>
      <c r="K91" s="819">
        <f t="shared" si="8"/>
        <v>1020</v>
      </c>
    </row>
    <row r="92" spans="1:14" x14ac:dyDescent="0.25">
      <c r="A92" s="816" t="s">
        <v>925</v>
      </c>
      <c r="B92" s="816" t="s">
        <v>926</v>
      </c>
      <c r="C92" s="818">
        <v>0</v>
      </c>
      <c r="D92" s="818">
        <v>140000</v>
      </c>
      <c r="E92" s="818">
        <v>0</v>
      </c>
      <c r="F92" s="818">
        <v>0</v>
      </c>
      <c r="G92" s="818">
        <v>0</v>
      </c>
      <c r="H92" s="818">
        <v>140000</v>
      </c>
      <c r="I92" s="818">
        <v>0</v>
      </c>
      <c r="J92" s="818">
        <v>140000</v>
      </c>
      <c r="K92" s="819">
        <f t="shared" si="8"/>
        <v>-140000</v>
      </c>
      <c r="L92" s="826" t="s">
        <v>927</v>
      </c>
      <c r="N92" s="819">
        <f>K92</f>
        <v>-140000</v>
      </c>
    </row>
    <row r="93" spans="1:14" x14ac:dyDescent="0.25">
      <c r="A93" s="816" t="s">
        <v>928</v>
      </c>
      <c r="B93" s="816" t="s">
        <v>929</v>
      </c>
      <c r="C93" s="818">
        <v>0</v>
      </c>
      <c r="D93" s="818">
        <v>140000</v>
      </c>
      <c r="E93" s="818">
        <v>0</v>
      </c>
      <c r="F93" s="818">
        <v>0</v>
      </c>
      <c r="G93" s="818">
        <v>0</v>
      </c>
      <c r="H93" s="818">
        <v>140000</v>
      </c>
      <c r="I93" s="818">
        <v>0</v>
      </c>
      <c r="J93" s="818">
        <v>140000</v>
      </c>
      <c r="K93" s="819">
        <f t="shared" si="8"/>
        <v>-140000</v>
      </c>
    </row>
    <row r="94" spans="1:14" x14ac:dyDescent="0.25">
      <c r="A94" s="816" t="s">
        <v>930</v>
      </c>
      <c r="B94" s="816" t="s">
        <v>931</v>
      </c>
      <c r="C94" s="818">
        <v>1577023.49</v>
      </c>
      <c r="D94" s="818">
        <v>1708276.75</v>
      </c>
      <c r="E94" s="818">
        <v>214894</v>
      </c>
      <c r="F94" s="818">
        <v>134097</v>
      </c>
      <c r="G94" s="818">
        <v>1791917.49</v>
      </c>
      <c r="H94" s="818">
        <v>1842373.75</v>
      </c>
      <c r="I94" s="818">
        <v>0</v>
      </c>
      <c r="J94" s="818">
        <v>50456.26</v>
      </c>
      <c r="K94" s="819">
        <f t="shared" si="8"/>
        <v>-50456.26</v>
      </c>
      <c r="L94" s="826" t="s">
        <v>932</v>
      </c>
      <c r="N94" s="819">
        <f>K94</f>
        <v>-50456.26</v>
      </c>
    </row>
    <row r="95" spans="1:14" x14ac:dyDescent="0.25">
      <c r="A95" s="816" t="s">
        <v>933</v>
      </c>
      <c r="B95" s="816" t="s">
        <v>934</v>
      </c>
      <c r="C95" s="818">
        <v>1577023.49</v>
      </c>
      <c r="D95" s="818">
        <v>1708276.75</v>
      </c>
      <c r="E95" s="818">
        <v>214894</v>
      </c>
      <c r="F95" s="818">
        <v>134097</v>
      </c>
      <c r="G95" s="818">
        <v>1791917.49</v>
      </c>
      <c r="H95" s="818">
        <v>1842373.75</v>
      </c>
      <c r="I95" s="818">
        <v>0</v>
      </c>
      <c r="J95" s="818">
        <v>50456.26</v>
      </c>
      <c r="K95" s="819">
        <f t="shared" si="8"/>
        <v>-50456.26</v>
      </c>
    </row>
    <row r="96" spans="1:14" x14ac:dyDescent="0.25">
      <c r="A96" s="816" t="s">
        <v>935</v>
      </c>
      <c r="B96" s="816" t="s">
        <v>936</v>
      </c>
      <c r="C96" s="818">
        <v>7170</v>
      </c>
      <c r="D96" s="818">
        <v>7170</v>
      </c>
      <c r="E96" s="818">
        <v>0</v>
      </c>
      <c r="F96" s="818">
        <v>0</v>
      </c>
      <c r="G96" s="818">
        <v>7170</v>
      </c>
      <c r="H96" s="818">
        <v>7170</v>
      </c>
      <c r="I96" s="818">
        <v>0</v>
      </c>
      <c r="J96" s="818">
        <v>0</v>
      </c>
      <c r="K96" s="819">
        <f t="shared" si="8"/>
        <v>0</v>
      </c>
    </row>
    <row r="97" spans="1:14" x14ac:dyDescent="0.25">
      <c r="A97" s="816" t="s">
        <v>937</v>
      </c>
      <c r="B97" s="816" t="s">
        <v>938</v>
      </c>
      <c r="C97" s="818">
        <v>0</v>
      </c>
      <c r="D97" s="818">
        <v>85.06</v>
      </c>
      <c r="E97" s="818">
        <v>0</v>
      </c>
      <c r="F97" s="818">
        <v>0</v>
      </c>
      <c r="G97" s="818">
        <v>0</v>
      </c>
      <c r="H97" s="818">
        <v>85.06</v>
      </c>
      <c r="I97" s="818">
        <v>0</v>
      </c>
      <c r="J97" s="818">
        <v>85.06</v>
      </c>
      <c r="K97" s="819">
        <f t="shared" si="8"/>
        <v>-85.06</v>
      </c>
      <c r="L97" s="826" t="s">
        <v>863</v>
      </c>
      <c r="N97" s="819">
        <f t="shared" ref="N97:N98" si="11">K97</f>
        <v>-85.06</v>
      </c>
    </row>
    <row r="98" spans="1:14" x14ac:dyDescent="0.25">
      <c r="A98" s="816" t="s">
        <v>939</v>
      </c>
      <c r="B98" s="816" t="s">
        <v>940</v>
      </c>
      <c r="C98" s="818">
        <v>17601.29</v>
      </c>
      <c r="D98" s="818">
        <v>62697.4</v>
      </c>
      <c r="E98" s="818">
        <v>1600.22</v>
      </c>
      <c r="F98" s="818">
        <v>0</v>
      </c>
      <c r="G98" s="818">
        <v>19201.510000000002</v>
      </c>
      <c r="H98" s="818">
        <v>62697.4</v>
      </c>
      <c r="I98" s="818">
        <v>0</v>
      </c>
      <c r="J98" s="818">
        <v>43495.89</v>
      </c>
      <c r="K98" s="819">
        <f t="shared" si="8"/>
        <v>-43495.89</v>
      </c>
      <c r="L98" s="826" t="s">
        <v>941</v>
      </c>
      <c r="N98" s="819">
        <f t="shared" si="11"/>
        <v>-43495.89</v>
      </c>
    </row>
    <row r="99" spans="1:14" x14ac:dyDescent="0.25">
      <c r="A99" s="816" t="s">
        <v>942</v>
      </c>
      <c r="B99" s="816" t="s">
        <v>943</v>
      </c>
      <c r="C99" s="818">
        <v>17601.29</v>
      </c>
      <c r="D99" s="818">
        <v>62697.4</v>
      </c>
      <c r="E99" s="818">
        <v>1600.22</v>
      </c>
      <c r="F99" s="818">
        <v>0</v>
      </c>
      <c r="G99" s="818">
        <v>19201.510000000002</v>
      </c>
      <c r="H99" s="818">
        <v>62697.4</v>
      </c>
      <c r="I99" s="818">
        <v>0</v>
      </c>
      <c r="J99" s="818">
        <v>43495.89</v>
      </c>
      <c r="K99" s="819">
        <f t="shared" si="8"/>
        <v>-43495.89</v>
      </c>
    </row>
    <row r="100" spans="1:14" x14ac:dyDescent="0.25">
      <c r="A100" s="816" t="s">
        <v>944</v>
      </c>
      <c r="B100" s="816" t="s">
        <v>945</v>
      </c>
      <c r="C100" s="818">
        <v>0</v>
      </c>
      <c r="D100" s="818">
        <v>57994.48</v>
      </c>
      <c r="E100" s="818">
        <v>0</v>
      </c>
      <c r="F100" s="818">
        <v>0</v>
      </c>
      <c r="G100" s="818">
        <v>0</v>
      </c>
      <c r="H100" s="818">
        <v>57994.48</v>
      </c>
      <c r="I100" s="818">
        <v>0</v>
      </c>
      <c r="J100" s="818">
        <v>57994.48</v>
      </c>
      <c r="K100" s="819">
        <f t="shared" si="8"/>
        <v>-57994.48</v>
      </c>
      <c r="L100" s="826" t="s">
        <v>853</v>
      </c>
      <c r="N100" s="819">
        <f>K100</f>
        <v>-57994.48</v>
      </c>
    </row>
    <row r="101" spans="1:14" x14ac:dyDescent="0.25">
      <c r="A101" s="816" t="s">
        <v>946</v>
      </c>
      <c r="B101" s="816" t="s">
        <v>947</v>
      </c>
      <c r="C101" s="818">
        <v>0</v>
      </c>
      <c r="D101" s="818">
        <v>20</v>
      </c>
      <c r="E101" s="818">
        <v>20</v>
      </c>
      <c r="F101" s="818">
        <v>0</v>
      </c>
      <c r="G101" s="818">
        <v>20</v>
      </c>
      <c r="H101" s="818">
        <v>20</v>
      </c>
      <c r="I101" s="818">
        <v>0</v>
      </c>
      <c r="J101" s="818">
        <v>0</v>
      </c>
      <c r="K101" s="819">
        <f t="shared" si="8"/>
        <v>0</v>
      </c>
    </row>
    <row r="102" spans="1:14" x14ac:dyDescent="0.25">
      <c r="A102" s="816" t="s">
        <v>948</v>
      </c>
      <c r="B102" s="816" t="s">
        <v>949</v>
      </c>
      <c r="C102" s="818">
        <v>0</v>
      </c>
      <c r="D102" s="818">
        <v>20</v>
      </c>
      <c r="E102" s="818">
        <v>20</v>
      </c>
      <c r="F102" s="818">
        <v>0</v>
      </c>
      <c r="G102" s="818">
        <v>20</v>
      </c>
      <c r="H102" s="818">
        <v>20</v>
      </c>
      <c r="I102" s="818">
        <v>0</v>
      </c>
      <c r="J102" s="818">
        <v>0</v>
      </c>
      <c r="K102" s="819">
        <f t="shared" si="8"/>
        <v>0</v>
      </c>
    </row>
    <row r="103" spans="1:14" x14ac:dyDescent="0.25">
      <c r="A103" s="816" t="s">
        <v>950</v>
      </c>
      <c r="B103" s="816" t="s">
        <v>951</v>
      </c>
      <c r="C103" s="818">
        <v>426775732.56</v>
      </c>
      <c r="D103" s="818">
        <v>425097586.38</v>
      </c>
      <c r="E103" s="818">
        <v>2177227.9500000002</v>
      </c>
      <c r="F103" s="818">
        <v>2158187.89</v>
      </c>
      <c r="G103" s="818">
        <v>428952960.50999999</v>
      </c>
      <c r="H103" s="818">
        <v>427255774.26999998</v>
      </c>
      <c r="I103" s="818">
        <v>1697186.24</v>
      </c>
      <c r="J103" s="818">
        <v>0</v>
      </c>
      <c r="K103" s="819">
        <f t="shared" si="8"/>
        <v>1697186.24</v>
      </c>
    </row>
    <row r="104" spans="1:14" x14ac:dyDescent="0.25">
      <c r="A104" s="816" t="s">
        <v>952</v>
      </c>
      <c r="B104" s="816" t="s">
        <v>953</v>
      </c>
      <c r="C104" s="818">
        <v>424287910.06</v>
      </c>
      <c r="D104" s="818">
        <v>422609764</v>
      </c>
      <c r="E104" s="818">
        <v>2177227.9500000002</v>
      </c>
      <c r="F104" s="818">
        <v>2158187.89</v>
      </c>
      <c r="G104" s="818">
        <v>426465138.00999999</v>
      </c>
      <c r="H104" s="818">
        <v>424767951.88999999</v>
      </c>
      <c r="I104" s="818">
        <v>1697186.12</v>
      </c>
      <c r="J104" s="818">
        <v>0</v>
      </c>
      <c r="K104" s="819">
        <f t="shared" si="8"/>
        <v>1697186.12</v>
      </c>
      <c r="L104" s="826" t="s">
        <v>954</v>
      </c>
      <c r="N104" s="819">
        <f>K104</f>
        <v>1697186.12</v>
      </c>
    </row>
    <row r="105" spans="1:14" x14ac:dyDescent="0.25">
      <c r="A105" s="816" t="s">
        <v>955</v>
      </c>
      <c r="B105" s="816" t="s">
        <v>956</v>
      </c>
      <c r="C105" s="818">
        <v>174541.52</v>
      </c>
      <c r="D105" s="818">
        <v>0</v>
      </c>
      <c r="E105" s="818">
        <v>0</v>
      </c>
      <c r="F105" s="818">
        <v>0</v>
      </c>
      <c r="G105" s="818">
        <v>174541.52</v>
      </c>
      <c r="H105" s="818">
        <v>0</v>
      </c>
      <c r="I105" s="818">
        <v>174541.52</v>
      </c>
      <c r="J105" s="818">
        <v>0</v>
      </c>
      <c r="K105" s="822">
        <f t="shared" si="8"/>
        <v>174541.52</v>
      </c>
      <c r="L105" s="826" t="s">
        <v>954</v>
      </c>
    </row>
    <row r="106" spans="1:14" x14ac:dyDescent="0.25">
      <c r="A106" s="816" t="s">
        <v>275</v>
      </c>
      <c r="B106" s="816" t="s">
        <v>957</v>
      </c>
      <c r="C106" s="818">
        <v>7984.6100000000006</v>
      </c>
      <c r="D106" s="818">
        <v>0</v>
      </c>
      <c r="E106" s="818">
        <v>0</v>
      </c>
      <c r="F106" s="818">
        <v>0</v>
      </c>
      <c r="G106" s="818">
        <v>7984.6100000000006</v>
      </c>
      <c r="H106" s="818">
        <v>0</v>
      </c>
      <c r="I106" s="818">
        <v>7984.6100000000006</v>
      </c>
      <c r="J106" s="818">
        <v>0</v>
      </c>
      <c r="K106" s="819">
        <f t="shared" si="8"/>
        <v>7984.6100000000006</v>
      </c>
    </row>
    <row r="107" spans="1:14" x14ac:dyDescent="0.25">
      <c r="A107" s="816" t="s">
        <v>276</v>
      </c>
      <c r="B107" s="816" t="s">
        <v>958</v>
      </c>
      <c r="C107" s="818">
        <v>205345508.23000002</v>
      </c>
      <c r="D107" s="818">
        <v>205345508.23000002</v>
      </c>
      <c r="E107" s="818">
        <v>0</v>
      </c>
      <c r="F107" s="818">
        <v>0</v>
      </c>
      <c r="G107" s="818">
        <v>205345508.23000002</v>
      </c>
      <c r="H107" s="818">
        <v>205345508.23000002</v>
      </c>
      <c r="I107" s="818">
        <v>0</v>
      </c>
      <c r="J107" s="818">
        <v>0</v>
      </c>
      <c r="K107" s="819">
        <f t="shared" si="8"/>
        <v>0</v>
      </c>
    </row>
    <row r="108" spans="1:14" x14ac:dyDescent="0.25">
      <c r="A108" s="816" t="s">
        <v>959</v>
      </c>
      <c r="B108" s="816" t="s">
        <v>960</v>
      </c>
      <c r="C108" s="818">
        <v>215950927.23000002</v>
      </c>
      <c r="D108" s="818">
        <v>214496901.19</v>
      </c>
      <c r="E108" s="818">
        <v>1920366.6500000001</v>
      </c>
      <c r="F108" s="818">
        <v>1861829.31</v>
      </c>
      <c r="G108" s="818">
        <v>217871293.88</v>
      </c>
      <c r="H108" s="818">
        <v>216358730.5</v>
      </c>
      <c r="I108" s="818">
        <v>1512563.3800000001</v>
      </c>
      <c r="J108" s="818">
        <v>0</v>
      </c>
      <c r="K108" s="819">
        <f t="shared" si="8"/>
        <v>1512563.3800000001</v>
      </c>
    </row>
    <row r="109" spans="1:14" x14ac:dyDescent="0.25">
      <c r="A109" s="816" t="s">
        <v>961</v>
      </c>
      <c r="B109" s="816" t="s">
        <v>962</v>
      </c>
      <c r="C109" s="818">
        <v>2581.3000000000002</v>
      </c>
      <c r="D109" s="818">
        <v>0</v>
      </c>
      <c r="E109" s="818">
        <v>0</v>
      </c>
      <c r="F109" s="818">
        <v>0</v>
      </c>
      <c r="G109" s="818">
        <v>2581.3000000000002</v>
      </c>
      <c r="H109" s="818">
        <v>0</v>
      </c>
      <c r="I109" s="818">
        <v>2581.3000000000002</v>
      </c>
      <c r="J109" s="818">
        <v>0</v>
      </c>
      <c r="K109" s="819">
        <f t="shared" si="8"/>
        <v>2581.3000000000002</v>
      </c>
    </row>
    <row r="110" spans="1:14" x14ac:dyDescent="0.25">
      <c r="A110" s="816" t="s">
        <v>963</v>
      </c>
      <c r="B110" s="816" t="s">
        <v>964</v>
      </c>
      <c r="C110" s="818">
        <v>2484821.12</v>
      </c>
      <c r="D110" s="818">
        <v>2341190.2800000003</v>
      </c>
      <c r="E110" s="818">
        <v>234361.30000000002</v>
      </c>
      <c r="F110" s="818">
        <v>278016.86</v>
      </c>
      <c r="G110" s="818">
        <v>2719182.42</v>
      </c>
      <c r="H110" s="818">
        <v>2619207.14</v>
      </c>
      <c r="I110" s="818">
        <v>99975.28</v>
      </c>
      <c r="J110" s="818">
        <v>0</v>
      </c>
      <c r="K110" s="819">
        <f t="shared" si="8"/>
        <v>99975.28</v>
      </c>
    </row>
    <row r="111" spans="1:14" x14ac:dyDescent="0.25">
      <c r="A111" s="816" t="s">
        <v>965</v>
      </c>
      <c r="B111" s="816" t="s">
        <v>966</v>
      </c>
      <c r="C111" s="818">
        <v>285409.39</v>
      </c>
      <c r="D111" s="818">
        <v>224164.28</v>
      </c>
      <c r="E111" s="818">
        <v>2500</v>
      </c>
      <c r="F111" s="818">
        <v>0</v>
      </c>
      <c r="G111" s="818">
        <v>287909.39</v>
      </c>
      <c r="H111" s="818">
        <v>224164.28</v>
      </c>
      <c r="I111" s="818">
        <v>63745.11</v>
      </c>
      <c r="J111" s="818">
        <v>0</v>
      </c>
      <c r="K111" s="819">
        <f t="shared" si="8"/>
        <v>63745.11</v>
      </c>
    </row>
    <row r="112" spans="1:14" x14ac:dyDescent="0.25">
      <c r="A112" s="816" t="s">
        <v>967</v>
      </c>
      <c r="B112" s="816" t="s">
        <v>968</v>
      </c>
      <c r="C112" s="818">
        <v>4149.76</v>
      </c>
      <c r="D112" s="818">
        <v>4100</v>
      </c>
      <c r="E112" s="818">
        <v>0</v>
      </c>
      <c r="F112" s="818">
        <v>0</v>
      </c>
      <c r="G112" s="818">
        <v>4149.76</v>
      </c>
      <c r="H112" s="818">
        <v>4100</v>
      </c>
      <c r="I112" s="818">
        <v>49.76</v>
      </c>
      <c r="J112" s="818">
        <v>0</v>
      </c>
      <c r="K112" s="819">
        <f t="shared" si="8"/>
        <v>49.76</v>
      </c>
    </row>
    <row r="113" spans="1:14" x14ac:dyDescent="0.25">
      <c r="A113" s="816" t="s">
        <v>969</v>
      </c>
      <c r="B113" s="816" t="s">
        <v>970</v>
      </c>
      <c r="C113" s="818">
        <v>206528.42</v>
      </c>
      <c r="D113" s="818">
        <v>197900.02000000002</v>
      </c>
      <c r="E113" s="818">
        <v>20000</v>
      </c>
      <c r="F113" s="818">
        <v>18341.72</v>
      </c>
      <c r="G113" s="818">
        <v>226528.42</v>
      </c>
      <c r="H113" s="818">
        <v>216241.74</v>
      </c>
      <c r="I113" s="818">
        <v>10286.68</v>
      </c>
      <c r="J113" s="818">
        <v>0</v>
      </c>
      <c r="K113" s="819">
        <f t="shared" si="8"/>
        <v>10286.68</v>
      </c>
    </row>
    <row r="114" spans="1:14" x14ac:dyDescent="0.25">
      <c r="A114" s="816" t="s">
        <v>971</v>
      </c>
      <c r="B114" s="816" t="s">
        <v>972</v>
      </c>
      <c r="C114" s="818">
        <v>2487822.5</v>
      </c>
      <c r="D114" s="818">
        <v>2487822.38</v>
      </c>
      <c r="E114" s="818">
        <v>0</v>
      </c>
      <c r="F114" s="818">
        <v>0</v>
      </c>
      <c r="G114" s="818">
        <v>2487822.5</v>
      </c>
      <c r="H114" s="818">
        <v>2487822.38</v>
      </c>
      <c r="I114" s="818">
        <v>0.12</v>
      </c>
      <c r="J114" s="818">
        <v>0</v>
      </c>
      <c r="K114" s="819">
        <f t="shared" si="8"/>
        <v>0.12</v>
      </c>
    </row>
    <row r="115" spans="1:14" x14ac:dyDescent="0.25">
      <c r="A115" s="816" t="s">
        <v>973</v>
      </c>
      <c r="B115" s="816" t="s">
        <v>974</v>
      </c>
      <c r="C115" s="818">
        <v>12177915.210000001</v>
      </c>
      <c r="D115" s="818">
        <v>11975222.24</v>
      </c>
      <c r="E115" s="818">
        <v>1449490.1400000001</v>
      </c>
      <c r="F115" s="818">
        <v>1429312.6</v>
      </c>
      <c r="G115" s="818">
        <v>13627405.35</v>
      </c>
      <c r="H115" s="818">
        <v>13404534.84</v>
      </c>
      <c r="I115" s="818">
        <v>222870.51</v>
      </c>
      <c r="J115" s="818">
        <v>0</v>
      </c>
      <c r="K115" s="819">
        <f t="shared" si="8"/>
        <v>222870.51</v>
      </c>
      <c r="L115" s="826" t="s">
        <v>954</v>
      </c>
      <c r="N115" s="819">
        <f>K115</f>
        <v>222870.51</v>
      </c>
    </row>
    <row r="116" spans="1:14" x14ac:dyDescent="0.25">
      <c r="A116" s="816" t="s">
        <v>975</v>
      </c>
      <c r="B116" s="816" t="s">
        <v>976</v>
      </c>
      <c r="C116" s="818">
        <v>12177915.210000001</v>
      </c>
      <c r="D116" s="818">
        <v>11975222.24</v>
      </c>
      <c r="E116" s="818">
        <v>1449490.1400000001</v>
      </c>
      <c r="F116" s="818">
        <v>1429312.6</v>
      </c>
      <c r="G116" s="818">
        <v>13627405.35</v>
      </c>
      <c r="H116" s="818">
        <v>13404534.84</v>
      </c>
      <c r="I116" s="818">
        <v>222870.51</v>
      </c>
      <c r="J116" s="818">
        <v>0</v>
      </c>
      <c r="K116" s="819">
        <f t="shared" si="8"/>
        <v>222870.51</v>
      </c>
    </row>
    <row r="117" spans="1:14" x14ac:dyDescent="0.25">
      <c r="A117" s="816" t="s">
        <v>977</v>
      </c>
      <c r="B117" s="816" t="s">
        <v>978</v>
      </c>
      <c r="C117" s="818">
        <v>139953.51999999999</v>
      </c>
      <c r="D117" s="818">
        <v>114901.13</v>
      </c>
      <c r="E117" s="818">
        <v>7505.1500000000005</v>
      </c>
      <c r="F117" s="818">
        <v>4619.6500000000005</v>
      </c>
      <c r="G117" s="818">
        <v>147458.67000000001</v>
      </c>
      <c r="H117" s="818">
        <v>119520.78</v>
      </c>
      <c r="I117" s="818">
        <v>27937.89</v>
      </c>
      <c r="J117" s="818">
        <v>0</v>
      </c>
      <c r="K117" s="819">
        <f t="shared" si="8"/>
        <v>27937.89</v>
      </c>
      <c r="L117" s="826" t="s">
        <v>954</v>
      </c>
      <c r="N117" s="819">
        <f>K117</f>
        <v>27937.89</v>
      </c>
    </row>
    <row r="118" spans="1:14" x14ac:dyDescent="0.25">
      <c r="A118" s="816" t="s">
        <v>979</v>
      </c>
      <c r="B118" s="816" t="s">
        <v>980</v>
      </c>
      <c r="C118" s="818">
        <v>126309.79000000001</v>
      </c>
      <c r="D118" s="818">
        <v>114901.13</v>
      </c>
      <c r="E118" s="818">
        <v>7505.1500000000005</v>
      </c>
      <c r="F118" s="818">
        <v>4619.6500000000005</v>
      </c>
      <c r="G118" s="818">
        <v>133814.94</v>
      </c>
      <c r="H118" s="818">
        <v>119520.78</v>
      </c>
      <c r="I118" s="818">
        <v>14294.16</v>
      </c>
      <c r="J118" s="818">
        <v>0</v>
      </c>
      <c r="K118" s="819">
        <f t="shared" si="8"/>
        <v>14294.16</v>
      </c>
    </row>
    <row r="119" spans="1:14" x14ac:dyDescent="0.25">
      <c r="A119" s="816" t="s">
        <v>981</v>
      </c>
      <c r="B119" s="816" t="s">
        <v>982</v>
      </c>
      <c r="C119" s="818">
        <v>13643.73</v>
      </c>
      <c r="D119" s="818">
        <v>0</v>
      </c>
      <c r="E119" s="818">
        <v>0</v>
      </c>
      <c r="F119" s="818">
        <v>0</v>
      </c>
      <c r="G119" s="818">
        <v>13643.73</v>
      </c>
      <c r="H119" s="818">
        <v>0</v>
      </c>
      <c r="I119" s="818">
        <v>13643.73</v>
      </c>
      <c r="J119" s="818">
        <v>0</v>
      </c>
      <c r="K119" s="819">
        <f t="shared" si="8"/>
        <v>13643.73</v>
      </c>
    </row>
    <row r="120" spans="1:14" x14ac:dyDescent="0.25">
      <c r="A120" s="816" t="s">
        <v>983</v>
      </c>
      <c r="B120" s="816" t="s">
        <v>984</v>
      </c>
      <c r="C120" s="818">
        <v>292138.52</v>
      </c>
      <c r="D120" s="818">
        <v>292138.52</v>
      </c>
      <c r="E120" s="818">
        <v>51904.4</v>
      </c>
      <c r="F120" s="818">
        <v>51904.4</v>
      </c>
      <c r="G120" s="818">
        <v>344042.92</v>
      </c>
      <c r="H120" s="818">
        <v>344042.92</v>
      </c>
      <c r="I120" s="818">
        <v>0</v>
      </c>
      <c r="J120" s="818">
        <v>0</v>
      </c>
      <c r="K120" s="819">
        <f t="shared" si="8"/>
        <v>0</v>
      </c>
      <c r="L120" s="826" t="s">
        <v>954</v>
      </c>
      <c r="N120" s="819">
        <f>K120</f>
        <v>0</v>
      </c>
    </row>
    <row r="121" spans="1:14" x14ac:dyDescent="0.25">
      <c r="A121" s="816" t="s">
        <v>985</v>
      </c>
      <c r="B121" s="816" t="s">
        <v>984</v>
      </c>
      <c r="C121" s="818">
        <v>292138.52</v>
      </c>
      <c r="D121" s="818">
        <v>292138.52</v>
      </c>
      <c r="E121" s="818">
        <v>51904.4</v>
      </c>
      <c r="F121" s="818">
        <v>51904.4</v>
      </c>
      <c r="G121" s="818">
        <v>344042.92</v>
      </c>
      <c r="H121" s="818">
        <v>344042.92</v>
      </c>
      <c r="I121" s="818">
        <v>0</v>
      </c>
      <c r="J121" s="818">
        <v>0</v>
      </c>
      <c r="K121" s="819">
        <f t="shared" si="8"/>
        <v>0</v>
      </c>
    </row>
    <row r="122" spans="1:14" x14ac:dyDescent="0.25">
      <c r="A122" s="816" t="s">
        <v>986</v>
      </c>
      <c r="B122" s="816" t="s">
        <v>987</v>
      </c>
      <c r="C122" s="818">
        <v>28593.63</v>
      </c>
      <c r="D122" s="818">
        <v>28593.63</v>
      </c>
      <c r="E122" s="818">
        <v>7590</v>
      </c>
      <c r="F122" s="818">
        <v>7590</v>
      </c>
      <c r="G122" s="818">
        <v>36183.629999999997</v>
      </c>
      <c r="H122" s="818">
        <v>36183.629999999997</v>
      </c>
      <c r="I122" s="818">
        <v>0</v>
      </c>
      <c r="J122" s="818">
        <v>0</v>
      </c>
      <c r="K122" s="819">
        <f t="shared" si="8"/>
        <v>0</v>
      </c>
    </row>
    <row r="123" spans="1:14" x14ac:dyDescent="0.25">
      <c r="A123" s="816" t="s">
        <v>988</v>
      </c>
      <c r="B123" s="816" t="s">
        <v>989</v>
      </c>
      <c r="C123" s="818">
        <v>321095.14</v>
      </c>
      <c r="D123" s="818">
        <v>286247.77</v>
      </c>
      <c r="E123" s="818">
        <v>60533</v>
      </c>
      <c r="F123" s="818">
        <v>51904.4</v>
      </c>
      <c r="G123" s="818">
        <v>381628.14</v>
      </c>
      <c r="H123" s="818">
        <v>338152.17</v>
      </c>
      <c r="I123" s="818">
        <v>43475.97</v>
      </c>
      <c r="J123" s="818">
        <v>0</v>
      </c>
      <c r="K123" s="819">
        <f t="shared" si="8"/>
        <v>43475.97</v>
      </c>
      <c r="L123" s="826" t="s">
        <v>954</v>
      </c>
      <c r="N123" s="819">
        <f t="shared" ref="N123:N124" si="12">K123</f>
        <v>43475.97</v>
      </c>
    </row>
    <row r="124" spans="1:14" x14ac:dyDescent="0.25">
      <c r="A124" s="816" t="s">
        <v>990</v>
      </c>
      <c r="B124" s="816" t="s">
        <v>991</v>
      </c>
      <c r="C124" s="818">
        <v>3881187.0300000003</v>
      </c>
      <c r="D124" s="818">
        <v>3881187.0300000003</v>
      </c>
      <c r="E124" s="818">
        <v>456925</v>
      </c>
      <c r="F124" s="818">
        <v>456925</v>
      </c>
      <c r="G124" s="818">
        <v>4338112.03</v>
      </c>
      <c r="H124" s="818">
        <v>4338112.03</v>
      </c>
      <c r="I124" s="818">
        <v>0</v>
      </c>
      <c r="J124" s="818">
        <v>0</v>
      </c>
      <c r="K124" s="819">
        <f t="shared" si="8"/>
        <v>0</v>
      </c>
      <c r="L124" s="826" t="s">
        <v>954</v>
      </c>
      <c r="N124" s="819">
        <f t="shared" si="12"/>
        <v>0</v>
      </c>
    </row>
    <row r="125" spans="1:14" x14ac:dyDescent="0.25">
      <c r="A125" s="816" t="s">
        <v>992</v>
      </c>
      <c r="B125" s="816" t="s">
        <v>993</v>
      </c>
      <c r="C125" s="818">
        <v>10761995.970000001</v>
      </c>
      <c r="D125" s="818">
        <v>10761995.970000001</v>
      </c>
      <c r="E125" s="818">
        <v>1644932.62</v>
      </c>
      <c r="F125" s="818">
        <v>1644932.62</v>
      </c>
      <c r="G125" s="818">
        <v>12406928.59</v>
      </c>
      <c r="H125" s="818">
        <v>12406928.59</v>
      </c>
      <c r="I125" s="818">
        <v>0</v>
      </c>
      <c r="J125" s="818">
        <v>0</v>
      </c>
      <c r="K125" s="819">
        <f>-H125</f>
        <v>-12406928.59</v>
      </c>
    </row>
    <row r="126" spans="1:14" x14ac:dyDescent="0.25">
      <c r="A126" s="816" t="s">
        <v>994</v>
      </c>
      <c r="B126" s="816" t="s">
        <v>995</v>
      </c>
      <c r="C126" s="818">
        <v>5463363.7700000005</v>
      </c>
      <c r="D126" s="818">
        <v>5463363.7700000005</v>
      </c>
      <c r="E126" s="818">
        <v>1150233.33</v>
      </c>
      <c r="F126" s="818">
        <v>1150233.33</v>
      </c>
      <c r="G126" s="818">
        <v>6613597.1000000006</v>
      </c>
      <c r="H126" s="818">
        <v>6613597.1000000006</v>
      </c>
      <c r="I126" s="818">
        <v>0</v>
      </c>
      <c r="J126" s="818">
        <v>0</v>
      </c>
      <c r="K126" s="819">
        <f t="shared" ref="K126:K172" si="13">-H126</f>
        <v>-6613597.1000000006</v>
      </c>
      <c r="L126" s="826" t="s">
        <v>996</v>
      </c>
      <c r="N126" s="819">
        <f t="shared" ref="N126:N128" si="14">K126</f>
        <v>-6613597.1000000006</v>
      </c>
    </row>
    <row r="127" spans="1:14" x14ac:dyDescent="0.25">
      <c r="A127" s="816" t="s">
        <v>997</v>
      </c>
      <c r="B127" s="816" t="s">
        <v>998</v>
      </c>
      <c r="C127" s="818">
        <v>5298632.2</v>
      </c>
      <c r="D127" s="818">
        <v>5298632.2</v>
      </c>
      <c r="E127" s="818">
        <v>494699.29000000004</v>
      </c>
      <c r="F127" s="818">
        <v>494699.29000000004</v>
      </c>
      <c r="G127" s="818">
        <v>5793331.4900000002</v>
      </c>
      <c r="H127" s="818">
        <v>5793331.4900000002</v>
      </c>
      <c r="I127" s="818">
        <v>0</v>
      </c>
      <c r="J127" s="818">
        <v>0</v>
      </c>
      <c r="K127" s="819">
        <f t="shared" si="13"/>
        <v>-5793331.4900000002</v>
      </c>
      <c r="L127" s="826" t="s">
        <v>999</v>
      </c>
      <c r="N127" s="819">
        <f t="shared" si="14"/>
        <v>-5793331.4900000002</v>
      </c>
    </row>
    <row r="128" spans="1:14" x14ac:dyDescent="0.25">
      <c r="A128" s="816" t="s">
        <v>1000</v>
      </c>
      <c r="B128" s="816" t="s">
        <v>1001</v>
      </c>
      <c r="C128" s="818">
        <v>211651.32</v>
      </c>
      <c r="D128" s="818">
        <v>211651.32</v>
      </c>
      <c r="E128" s="818">
        <v>29579.81</v>
      </c>
      <c r="F128" s="818">
        <v>29579.81</v>
      </c>
      <c r="G128" s="818">
        <v>241231.13</v>
      </c>
      <c r="H128" s="818">
        <v>241231.13</v>
      </c>
      <c r="I128" s="818">
        <v>0</v>
      </c>
      <c r="J128" s="818">
        <v>0</v>
      </c>
      <c r="K128" s="819">
        <f t="shared" si="13"/>
        <v>-241231.13</v>
      </c>
      <c r="L128" s="826" t="s">
        <v>1002</v>
      </c>
      <c r="N128" s="819">
        <f t="shared" si="14"/>
        <v>-241231.13</v>
      </c>
    </row>
    <row r="129" spans="1:14" x14ac:dyDescent="0.25">
      <c r="A129" s="816" t="s">
        <v>1003</v>
      </c>
      <c r="B129" s="816" t="s">
        <v>1004</v>
      </c>
      <c r="C129" s="818">
        <v>843.71</v>
      </c>
      <c r="D129" s="818">
        <v>843.71</v>
      </c>
      <c r="E129" s="818">
        <v>0</v>
      </c>
      <c r="F129" s="818">
        <v>0</v>
      </c>
      <c r="G129" s="818">
        <v>843.71</v>
      </c>
      <c r="H129" s="818">
        <v>843.71</v>
      </c>
      <c r="I129" s="818">
        <v>0</v>
      </c>
      <c r="J129" s="818">
        <v>0</v>
      </c>
      <c r="K129" s="819">
        <f t="shared" si="13"/>
        <v>-843.71</v>
      </c>
    </row>
    <row r="130" spans="1:14" x14ac:dyDescent="0.25">
      <c r="A130" s="816" t="s">
        <v>1005</v>
      </c>
      <c r="B130" s="816" t="s">
        <v>1006</v>
      </c>
      <c r="C130" s="818">
        <v>155782.12</v>
      </c>
      <c r="D130" s="818">
        <v>155782.12</v>
      </c>
      <c r="E130" s="818">
        <v>29279.81</v>
      </c>
      <c r="F130" s="818">
        <v>29279.81</v>
      </c>
      <c r="G130" s="818">
        <v>185061.93</v>
      </c>
      <c r="H130" s="818">
        <v>185061.93</v>
      </c>
      <c r="I130" s="818">
        <v>0</v>
      </c>
      <c r="J130" s="818">
        <v>0</v>
      </c>
      <c r="K130" s="819">
        <f t="shared" si="13"/>
        <v>-185061.93</v>
      </c>
    </row>
    <row r="131" spans="1:14" x14ac:dyDescent="0.25">
      <c r="A131" s="816" t="s">
        <v>1007</v>
      </c>
      <c r="B131" s="816" t="s">
        <v>1008</v>
      </c>
      <c r="C131" s="818">
        <v>55025.49</v>
      </c>
      <c r="D131" s="818">
        <v>55025.49</v>
      </c>
      <c r="E131" s="818">
        <v>300</v>
      </c>
      <c r="F131" s="818">
        <v>300</v>
      </c>
      <c r="G131" s="818">
        <v>55325.49</v>
      </c>
      <c r="H131" s="818">
        <v>55325.49</v>
      </c>
      <c r="I131" s="818">
        <v>0</v>
      </c>
      <c r="J131" s="818">
        <v>0</v>
      </c>
      <c r="K131" s="819">
        <f t="shared" si="13"/>
        <v>-55325.49</v>
      </c>
    </row>
    <row r="132" spans="1:14" x14ac:dyDescent="0.25">
      <c r="A132" s="816" t="s">
        <v>1009</v>
      </c>
      <c r="B132" s="816" t="s">
        <v>1010</v>
      </c>
      <c r="C132" s="818">
        <v>64341.03</v>
      </c>
      <c r="D132" s="818">
        <v>64341.03</v>
      </c>
      <c r="E132" s="818">
        <v>6010.3</v>
      </c>
      <c r="F132" s="818">
        <v>6010.3</v>
      </c>
      <c r="G132" s="818">
        <v>70351.33</v>
      </c>
      <c r="H132" s="818">
        <v>70351.33</v>
      </c>
      <c r="I132" s="818">
        <v>0</v>
      </c>
      <c r="J132" s="818">
        <v>0</v>
      </c>
      <c r="K132" s="819">
        <f t="shared" si="13"/>
        <v>-70351.33</v>
      </c>
      <c r="L132" s="826" t="s">
        <v>1002</v>
      </c>
      <c r="N132" s="819">
        <f t="shared" ref="N132:N134" si="15">K132</f>
        <v>-70351.33</v>
      </c>
    </row>
    <row r="133" spans="1:14" x14ac:dyDescent="0.25">
      <c r="A133" s="816" t="s">
        <v>1011</v>
      </c>
      <c r="B133" s="816" t="s">
        <v>1012</v>
      </c>
      <c r="C133" s="818">
        <v>40081.71</v>
      </c>
      <c r="D133" s="818">
        <v>40081.71</v>
      </c>
      <c r="E133" s="818">
        <v>0</v>
      </c>
      <c r="F133" s="818">
        <v>0</v>
      </c>
      <c r="G133" s="818">
        <v>40081.71</v>
      </c>
      <c r="H133" s="818">
        <v>40081.71</v>
      </c>
      <c r="I133" s="818">
        <v>0</v>
      </c>
      <c r="J133" s="818">
        <v>0</v>
      </c>
      <c r="K133" s="819">
        <f t="shared" si="13"/>
        <v>-40081.71</v>
      </c>
      <c r="L133" s="826" t="s">
        <v>1002</v>
      </c>
      <c r="N133" s="819">
        <f t="shared" si="15"/>
        <v>-40081.71</v>
      </c>
    </row>
    <row r="134" spans="1:14" x14ac:dyDescent="0.25">
      <c r="A134" s="816" t="s">
        <v>1013</v>
      </c>
      <c r="B134" s="816" t="s">
        <v>1014</v>
      </c>
      <c r="C134" s="818">
        <v>87.36</v>
      </c>
      <c r="D134" s="818">
        <v>87.36</v>
      </c>
      <c r="E134" s="818">
        <v>0</v>
      </c>
      <c r="F134" s="818">
        <v>0</v>
      </c>
      <c r="G134" s="818">
        <v>87.36</v>
      </c>
      <c r="H134" s="818">
        <v>87.36</v>
      </c>
      <c r="I134" s="818">
        <v>0</v>
      </c>
      <c r="J134" s="818">
        <v>0</v>
      </c>
      <c r="K134" s="819">
        <f t="shared" si="13"/>
        <v>-87.36</v>
      </c>
      <c r="L134" s="826" t="s">
        <v>1040</v>
      </c>
      <c r="N134" s="819">
        <f t="shared" si="15"/>
        <v>-87.36</v>
      </c>
    </row>
    <row r="135" spans="1:14" x14ac:dyDescent="0.25">
      <c r="A135" s="816" t="s">
        <v>1015</v>
      </c>
      <c r="B135" s="816" t="s">
        <v>1016</v>
      </c>
      <c r="C135" s="818">
        <v>2702162.36</v>
      </c>
      <c r="D135" s="818">
        <v>2702162.36</v>
      </c>
      <c r="E135" s="818">
        <v>165287.59</v>
      </c>
      <c r="F135" s="818">
        <v>165287.59</v>
      </c>
      <c r="G135" s="818">
        <v>2867449.95</v>
      </c>
      <c r="H135" s="818">
        <v>2867449.95</v>
      </c>
      <c r="I135" s="818">
        <v>0</v>
      </c>
      <c r="J135" s="818">
        <v>0</v>
      </c>
      <c r="K135" s="819">
        <f t="shared" si="13"/>
        <v>-2867449.95</v>
      </c>
    </row>
    <row r="136" spans="1:14" x14ac:dyDescent="0.25">
      <c r="A136" s="816" t="s">
        <v>1017</v>
      </c>
      <c r="B136" s="816" t="s">
        <v>1018</v>
      </c>
      <c r="C136" s="818">
        <v>1681850.52</v>
      </c>
      <c r="D136" s="818">
        <v>1681850.52</v>
      </c>
      <c r="E136" s="818">
        <v>28014.670000000002</v>
      </c>
      <c r="F136" s="818">
        <v>28014.670000000002</v>
      </c>
      <c r="G136" s="818">
        <v>1709865.19</v>
      </c>
      <c r="H136" s="818">
        <v>1709865.19</v>
      </c>
      <c r="I136" s="818">
        <v>0</v>
      </c>
      <c r="J136" s="818">
        <v>0</v>
      </c>
      <c r="K136" s="819">
        <f t="shared" si="13"/>
        <v>-1709865.19</v>
      </c>
      <c r="L136" s="826" t="s">
        <v>1019</v>
      </c>
      <c r="N136" s="819">
        <f t="shared" ref="N136:N142" si="16">K136</f>
        <v>-1709865.19</v>
      </c>
    </row>
    <row r="137" spans="1:14" x14ac:dyDescent="0.25">
      <c r="A137" s="816" t="s">
        <v>1020</v>
      </c>
      <c r="B137" s="816" t="s">
        <v>1021</v>
      </c>
      <c r="C137" s="818">
        <v>1020311.84</v>
      </c>
      <c r="D137" s="818">
        <v>1020311.84</v>
      </c>
      <c r="E137" s="818">
        <v>137272.92000000001</v>
      </c>
      <c r="F137" s="818">
        <v>137272.92000000001</v>
      </c>
      <c r="G137" s="818">
        <v>1157584.76</v>
      </c>
      <c r="H137" s="818">
        <v>1157584.76</v>
      </c>
      <c r="I137" s="818">
        <v>0</v>
      </c>
      <c r="J137" s="818">
        <v>0</v>
      </c>
      <c r="K137" s="819">
        <f t="shared" si="13"/>
        <v>-1157584.76</v>
      </c>
      <c r="L137" s="826" t="s">
        <v>1022</v>
      </c>
      <c r="N137" s="819">
        <f t="shared" si="16"/>
        <v>-1157584.76</v>
      </c>
    </row>
    <row r="138" spans="1:14" x14ac:dyDescent="0.25">
      <c r="A138" s="816" t="s">
        <v>1023</v>
      </c>
      <c r="B138" s="816" t="s">
        <v>1024</v>
      </c>
      <c r="C138" s="818">
        <v>-27854.91</v>
      </c>
      <c r="D138" s="818">
        <v>-27854.91</v>
      </c>
      <c r="E138" s="818">
        <v>-4502.7</v>
      </c>
      <c r="F138" s="818">
        <v>-4502.7</v>
      </c>
      <c r="G138" s="818">
        <v>-32357.61</v>
      </c>
      <c r="H138" s="818">
        <v>-32357.61</v>
      </c>
      <c r="I138" s="818">
        <v>0</v>
      </c>
      <c r="J138" s="818">
        <v>0</v>
      </c>
      <c r="K138" s="819">
        <f t="shared" si="13"/>
        <v>32357.61</v>
      </c>
      <c r="L138" s="826" t="s">
        <v>1025</v>
      </c>
      <c r="N138" s="819">
        <f t="shared" si="16"/>
        <v>32357.61</v>
      </c>
    </row>
    <row r="139" spans="1:14" x14ac:dyDescent="0.25">
      <c r="A139" s="816" t="s">
        <v>1026</v>
      </c>
      <c r="B139" s="816" t="s">
        <v>1027</v>
      </c>
      <c r="C139" s="818">
        <v>107139.43000000001</v>
      </c>
      <c r="D139" s="818">
        <v>107139.43000000001</v>
      </c>
      <c r="E139" s="818">
        <v>6252.01</v>
      </c>
      <c r="F139" s="818">
        <v>6252.01</v>
      </c>
      <c r="G139" s="818">
        <v>113391.44</v>
      </c>
      <c r="H139" s="818">
        <v>113391.44</v>
      </c>
      <c r="I139" s="818">
        <v>0</v>
      </c>
      <c r="J139" s="818">
        <v>0</v>
      </c>
      <c r="K139" s="819">
        <f t="shared" si="13"/>
        <v>-113391.44</v>
      </c>
      <c r="L139" s="826" t="s">
        <v>1028</v>
      </c>
      <c r="N139" s="819">
        <f t="shared" si="16"/>
        <v>-113391.44</v>
      </c>
    </row>
    <row r="140" spans="1:14" x14ac:dyDescent="0.25">
      <c r="A140" s="816" t="s">
        <v>1029</v>
      </c>
      <c r="B140" s="816" t="s">
        <v>1030</v>
      </c>
      <c r="C140" s="818">
        <v>821890.14</v>
      </c>
      <c r="D140" s="818">
        <v>821890.14</v>
      </c>
      <c r="E140" s="818">
        <v>95703.27</v>
      </c>
      <c r="F140" s="818">
        <v>95703.27</v>
      </c>
      <c r="G140" s="818">
        <v>917593.41</v>
      </c>
      <c r="H140" s="818">
        <v>917593.41</v>
      </c>
      <c r="I140" s="818">
        <v>0</v>
      </c>
      <c r="J140" s="818">
        <v>0</v>
      </c>
      <c r="K140" s="819">
        <f t="shared" si="13"/>
        <v>-917593.41</v>
      </c>
      <c r="L140" s="826" t="s">
        <v>1031</v>
      </c>
      <c r="N140" s="819">
        <f t="shared" si="16"/>
        <v>-917593.41</v>
      </c>
    </row>
    <row r="141" spans="1:14" x14ac:dyDescent="0.25">
      <c r="A141" s="816" t="s">
        <v>1032</v>
      </c>
      <c r="B141" s="816" t="s">
        <v>1033</v>
      </c>
      <c r="C141" s="818">
        <v>162478.84</v>
      </c>
      <c r="D141" s="818">
        <v>162478.84</v>
      </c>
      <c r="E141" s="818">
        <v>11310</v>
      </c>
      <c r="F141" s="818">
        <v>11310</v>
      </c>
      <c r="G141" s="818">
        <v>173788.84</v>
      </c>
      <c r="H141" s="818">
        <v>173788.84</v>
      </c>
      <c r="I141" s="818">
        <v>0</v>
      </c>
      <c r="J141" s="818">
        <v>0</v>
      </c>
      <c r="K141" s="819">
        <f t="shared" si="13"/>
        <v>-173788.84</v>
      </c>
      <c r="L141" s="826" t="s">
        <v>1028</v>
      </c>
      <c r="N141" s="819">
        <f t="shared" si="16"/>
        <v>-173788.84</v>
      </c>
    </row>
    <row r="142" spans="1:14" x14ac:dyDescent="0.25">
      <c r="A142" s="816" t="s">
        <v>1034</v>
      </c>
      <c r="B142" s="816" t="s">
        <v>1035</v>
      </c>
      <c r="C142" s="818">
        <v>6219.9000000000005</v>
      </c>
      <c r="D142" s="818">
        <v>6219.9000000000005</v>
      </c>
      <c r="E142" s="818">
        <v>10153.450000000001</v>
      </c>
      <c r="F142" s="818">
        <v>10153.450000000001</v>
      </c>
      <c r="G142" s="818">
        <v>16373.35</v>
      </c>
      <c r="H142" s="818">
        <v>16373.35</v>
      </c>
      <c r="I142" s="818">
        <v>0</v>
      </c>
      <c r="J142" s="818">
        <v>0</v>
      </c>
      <c r="K142" s="819">
        <f t="shared" si="13"/>
        <v>-16373.35</v>
      </c>
      <c r="L142" s="826" t="s">
        <v>1028</v>
      </c>
      <c r="N142" s="819">
        <f t="shared" si="16"/>
        <v>-16373.35</v>
      </c>
    </row>
    <row r="143" spans="1:14" x14ac:dyDescent="0.25">
      <c r="A143" s="816" t="s">
        <v>1036</v>
      </c>
      <c r="B143" s="816" t="s">
        <v>1037</v>
      </c>
      <c r="C143" s="818">
        <v>55341.56</v>
      </c>
      <c r="D143" s="818">
        <v>55341.56</v>
      </c>
      <c r="E143" s="818">
        <v>12616.59</v>
      </c>
      <c r="F143" s="818">
        <v>12616.59</v>
      </c>
      <c r="G143" s="818">
        <v>67958.149999999994</v>
      </c>
      <c r="H143" s="818">
        <v>67958.149999999994</v>
      </c>
      <c r="I143" s="818">
        <v>0</v>
      </c>
      <c r="J143" s="818">
        <v>0</v>
      </c>
      <c r="K143" s="819">
        <f t="shared" si="13"/>
        <v>-67958.149999999994</v>
      </c>
    </row>
    <row r="144" spans="1:14" x14ac:dyDescent="0.25">
      <c r="A144" s="816" t="s">
        <v>1038</v>
      </c>
      <c r="B144" s="816" t="s">
        <v>1039</v>
      </c>
      <c r="C144" s="818">
        <v>27134.07</v>
      </c>
      <c r="D144" s="818">
        <v>27134.07</v>
      </c>
      <c r="E144" s="818">
        <v>1017.2900000000001</v>
      </c>
      <c r="F144" s="818">
        <v>1017.2900000000001</v>
      </c>
      <c r="G144" s="818">
        <v>28151.360000000001</v>
      </c>
      <c r="H144" s="818">
        <v>28151.360000000001</v>
      </c>
      <c r="I144" s="818">
        <v>0</v>
      </c>
      <c r="J144" s="818">
        <v>0</v>
      </c>
      <c r="K144" s="819">
        <f t="shared" si="13"/>
        <v>-28151.360000000001</v>
      </c>
      <c r="L144" s="826" t="s">
        <v>1040</v>
      </c>
      <c r="N144" s="819">
        <f t="shared" ref="N144:N154" si="17">K144</f>
        <v>-28151.360000000001</v>
      </c>
    </row>
    <row r="145" spans="1:14" x14ac:dyDescent="0.25">
      <c r="A145" s="816" t="s">
        <v>1041</v>
      </c>
      <c r="B145" s="816" t="s">
        <v>1042</v>
      </c>
      <c r="C145" s="818">
        <v>28207.49</v>
      </c>
      <c r="D145" s="818">
        <v>28207.49</v>
      </c>
      <c r="E145" s="818">
        <v>11599.300000000001</v>
      </c>
      <c r="F145" s="818">
        <v>11599.300000000001</v>
      </c>
      <c r="G145" s="818">
        <v>39806.79</v>
      </c>
      <c r="H145" s="818">
        <v>39806.79</v>
      </c>
      <c r="I145" s="818">
        <v>0</v>
      </c>
      <c r="J145" s="818">
        <v>0</v>
      </c>
      <c r="K145" s="819">
        <f t="shared" si="13"/>
        <v>-39806.79</v>
      </c>
      <c r="L145" s="826" t="s">
        <v>1028</v>
      </c>
      <c r="N145" s="819">
        <f t="shared" si="17"/>
        <v>-39806.79</v>
      </c>
    </row>
    <row r="146" spans="1:14" x14ac:dyDescent="0.25">
      <c r="A146" s="816" t="s">
        <v>1043</v>
      </c>
      <c r="B146" s="816" t="s">
        <v>1044</v>
      </c>
      <c r="C146" s="818">
        <v>604039.29</v>
      </c>
      <c r="D146" s="818">
        <v>604039.29</v>
      </c>
      <c r="E146" s="818">
        <v>58652.39</v>
      </c>
      <c r="F146" s="818">
        <v>58652.39</v>
      </c>
      <c r="G146" s="818">
        <v>662691.68000000005</v>
      </c>
      <c r="H146" s="818">
        <v>662691.68000000005</v>
      </c>
      <c r="I146" s="818">
        <v>0</v>
      </c>
      <c r="J146" s="818">
        <v>0</v>
      </c>
      <c r="K146" s="819">
        <f t="shared" si="13"/>
        <v>-662691.68000000005</v>
      </c>
      <c r="L146" s="826" t="s">
        <v>1045</v>
      </c>
      <c r="N146" s="819">
        <f t="shared" si="17"/>
        <v>-662691.68000000005</v>
      </c>
    </row>
    <row r="147" spans="1:14" x14ac:dyDescent="0.25">
      <c r="A147" s="816" t="s">
        <v>1046</v>
      </c>
      <c r="B147" s="816" t="s">
        <v>1047</v>
      </c>
      <c r="C147" s="818">
        <v>95290.8</v>
      </c>
      <c r="D147" s="818">
        <v>95290.8</v>
      </c>
      <c r="E147" s="818">
        <v>18186.689999999999</v>
      </c>
      <c r="F147" s="818">
        <v>18186.689999999999</v>
      </c>
      <c r="G147" s="818">
        <v>113477.49</v>
      </c>
      <c r="H147" s="818">
        <v>113477.49</v>
      </c>
      <c r="I147" s="818">
        <v>0</v>
      </c>
      <c r="J147" s="818">
        <v>0</v>
      </c>
      <c r="K147" s="819">
        <f t="shared" si="13"/>
        <v>-113477.49</v>
      </c>
      <c r="L147" s="826" t="s">
        <v>1040</v>
      </c>
      <c r="N147" s="819">
        <f t="shared" si="17"/>
        <v>-113477.49</v>
      </c>
    </row>
    <row r="148" spans="1:14" x14ac:dyDescent="0.25">
      <c r="A148" s="816" t="s">
        <v>1048</v>
      </c>
      <c r="B148" s="816" t="s">
        <v>1049</v>
      </c>
      <c r="C148" s="818">
        <v>103707.31</v>
      </c>
      <c r="D148" s="818">
        <v>103707.31</v>
      </c>
      <c r="E148" s="818">
        <v>9361.7100000000009</v>
      </c>
      <c r="F148" s="818">
        <v>9361.7100000000009</v>
      </c>
      <c r="G148" s="818">
        <v>113069.02</v>
      </c>
      <c r="H148" s="818">
        <v>113069.02</v>
      </c>
      <c r="I148" s="818">
        <v>0</v>
      </c>
      <c r="J148" s="818">
        <v>0</v>
      </c>
      <c r="K148" s="819">
        <f t="shared" si="13"/>
        <v>-113069.02</v>
      </c>
      <c r="L148" s="826" t="s">
        <v>1040</v>
      </c>
      <c r="N148" s="819">
        <f t="shared" si="17"/>
        <v>-113069.02</v>
      </c>
    </row>
    <row r="149" spans="1:14" x14ac:dyDescent="0.25">
      <c r="A149" s="816" t="s">
        <v>1050</v>
      </c>
      <c r="B149" s="816" t="s">
        <v>1051</v>
      </c>
      <c r="C149" s="818">
        <v>70358.59</v>
      </c>
      <c r="D149" s="818">
        <v>70358.59</v>
      </c>
      <c r="E149" s="818">
        <v>3431.01</v>
      </c>
      <c r="F149" s="818">
        <v>3431.01</v>
      </c>
      <c r="G149" s="818">
        <v>73789.600000000006</v>
      </c>
      <c r="H149" s="818">
        <v>73789.600000000006</v>
      </c>
      <c r="I149" s="818">
        <v>0</v>
      </c>
      <c r="J149" s="818">
        <v>0</v>
      </c>
      <c r="K149" s="819">
        <f t="shared" si="13"/>
        <v>-73789.600000000006</v>
      </c>
      <c r="L149" s="826" t="s">
        <v>1040</v>
      </c>
      <c r="N149" s="819">
        <f t="shared" si="17"/>
        <v>-73789.600000000006</v>
      </c>
    </row>
    <row r="150" spans="1:14" x14ac:dyDescent="0.25">
      <c r="A150" s="816" t="s">
        <v>1052</v>
      </c>
      <c r="B150" s="816" t="s">
        <v>1053</v>
      </c>
      <c r="C150" s="818">
        <v>3329994.52</v>
      </c>
      <c r="D150" s="818">
        <v>3329994.52</v>
      </c>
      <c r="E150" s="818">
        <v>487195.22000000003</v>
      </c>
      <c r="F150" s="818">
        <v>487195.22000000003</v>
      </c>
      <c r="G150" s="818">
        <v>3817189.74</v>
      </c>
      <c r="H150" s="818">
        <v>3817189.74</v>
      </c>
      <c r="I150" s="818">
        <v>0</v>
      </c>
      <c r="J150" s="818">
        <v>0</v>
      </c>
      <c r="K150" s="819">
        <f t="shared" si="13"/>
        <v>-3817189.74</v>
      </c>
      <c r="L150" s="826" t="s">
        <v>1040</v>
      </c>
      <c r="N150" s="819">
        <f t="shared" si="17"/>
        <v>-3817189.74</v>
      </c>
    </row>
    <row r="151" spans="1:14" x14ac:dyDescent="0.25">
      <c r="A151" s="816" t="s">
        <v>1054</v>
      </c>
      <c r="B151" s="816" t="s">
        <v>1055</v>
      </c>
      <c r="C151" s="818">
        <v>29359.48</v>
      </c>
      <c r="D151" s="818">
        <v>29359.48</v>
      </c>
      <c r="E151" s="818">
        <v>1475.57</v>
      </c>
      <c r="F151" s="818">
        <v>1475.57</v>
      </c>
      <c r="G151" s="818">
        <v>30835.05</v>
      </c>
      <c r="H151" s="818">
        <v>30835.05</v>
      </c>
      <c r="I151" s="818">
        <v>0</v>
      </c>
      <c r="J151" s="818">
        <v>0</v>
      </c>
      <c r="K151" s="819">
        <f t="shared" si="13"/>
        <v>-30835.05</v>
      </c>
      <c r="L151" s="826" t="s">
        <v>1040</v>
      </c>
      <c r="N151" s="819">
        <f t="shared" si="17"/>
        <v>-30835.05</v>
      </c>
    </row>
    <row r="152" spans="1:14" x14ac:dyDescent="0.25">
      <c r="A152" s="816" t="s">
        <v>1056</v>
      </c>
      <c r="B152" s="816" t="s">
        <v>1057</v>
      </c>
      <c r="C152" s="818">
        <v>516848</v>
      </c>
      <c r="D152" s="818">
        <v>516848</v>
      </c>
      <c r="E152" s="818">
        <v>52847</v>
      </c>
      <c r="F152" s="818">
        <v>52847</v>
      </c>
      <c r="G152" s="818">
        <v>569695</v>
      </c>
      <c r="H152" s="818">
        <v>569695</v>
      </c>
      <c r="I152" s="818">
        <v>0</v>
      </c>
      <c r="J152" s="818">
        <v>0</v>
      </c>
      <c r="K152" s="819">
        <f t="shared" si="13"/>
        <v>-569695</v>
      </c>
      <c r="L152" s="826" t="s">
        <v>1058</v>
      </c>
      <c r="N152" s="819">
        <f t="shared" si="17"/>
        <v>-569695</v>
      </c>
    </row>
    <row r="153" spans="1:14" x14ac:dyDescent="0.25">
      <c r="A153" s="816" t="s">
        <v>1059</v>
      </c>
      <c r="B153" s="816" t="s">
        <v>1060</v>
      </c>
      <c r="C153" s="818">
        <v>28593.63</v>
      </c>
      <c r="D153" s="818">
        <v>28593.63</v>
      </c>
      <c r="E153" s="818">
        <v>7590</v>
      </c>
      <c r="F153" s="818">
        <v>7590</v>
      </c>
      <c r="G153" s="818">
        <v>36183.629999999997</v>
      </c>
      <c r="H153" s="818">
        <v>36183.629999999997</v>
      </c>
      <c r="I153" s="818">
        <v>0</v>
      </c>
      <c r="J153" s="818">
        <v>0</v>
      </c>
      <c r="K153" s="819">
        <f t="shared" si="13"/>
        <v>-36183.629999999997</v>
      </c>
      <c r="L153" s="826" t="s">
        <v>1183</v>
      </c>
      <c r="N153" s="819">
        <f t="shared" si="17"/>
        <v>-36183.629999999997</v>
      </c>
    </row>
    <row r="154" spans="1:14" x14ac:dyDescent="0.25">
      <c r="A154" s="816" t="s">
        <v>1061</v>
      </c>
      <c r="B154" s="816" t="s">
        <v>1062</v>
      </c>
      <c r="C154" s="818">
        <v>117676</v>
      </c>
      <c r="D154" s="818">
        <v>117676</v>
      </c>
      <c r="E154" s="818">
        <v>12037</v>
      </c>
      <c r="F154" s="818">
        <v>12037</v>
      </c>
      <c r="G154" s="818">
        <v>129713</v>
      </c>
      <c r="H154" s="818">
        <v>129713</v>
      </c>
      <c r="I154" s="818">
        <v>0</v>
      </c>
      <c r="J154" s="818">
        <v>0</v>
      </c>
      <c r="K154" s="819">
        <f t="shared" si="13"/>
        <v>-129713</v>
      </c>
      <c r="L154" s="826" t="s">
        <v>1184</v>
      </c>
      <c r="N154" s="819">
        <f t="shared" si="17"/>
        <v>-129713</v>
      </c>
    </row>
    <row r="155" spans="1:14" x14ac:dyDescent="0.25">
      <c r="A155" s="816" t="s">
        <v>1063</v>
      </c>
      <c r="B155" s="816" t="s">
        <v>1064</v>
      </c>
      <c r="C155" s="818">
        <v>81611</v>
      </c>
      <c r="D155" s="818">
        <v>81611</v>
      </c>
      <c r="E155" s="818">
        <v>8350</v>
      </c>
      <c r="F155" s="818">
        <v>8350</v>
      </c>
      <c r="G155" s="818">
        <v>89961</v>
      </c>
      <c r="H155" s="818">
        <v>89961</v>
      </c>
      <c r="I155" s="818">
        <v>0</v>
      </c>
      <c r="J155" s="818">
        <v>0</v>
      </c>
      <c r="K155" s="819">
        <f t="shared" si="13"/>
        <v>-89961</v>
      </c>
    </row>
    <row r="156" spans="1:14" x14ac:dyDescent="0.25">
      <c r="A156" s="816" t="s">
        <v>1065</v>
      </c>
      <c r="B156" s="816" t="s">
        <v>1066</v>
      </c>
      <c r="C156" s="818">
        <v>2583</v>
      </c>
      <c r="D156" s="818">
        <v>2583</v>
      </c>
      <c r="E156" s="818">
        <v>264</v>
      </c>
      <c r="F156" s="818">
        <v>264</v>
      </c>
      <c r="G156" s="818">
        <v>2847</v>
      </c>
      <c r="H156" s="818">
        <v>2847</v>
      </c>
      <c r="I156" s="818">
        <v>0</v>
      </c>
      <c r="J156" s="818">
        <v>0</v>
      </c>
      <c r="K156" s="819">
        <f t="shared" si="13"/>
        <v>-2847</v>
      </c>
    </row>
    <row r="157" spans="1:14" x14ac:dyDescent="0.25">
      <c r="A157" s="816" t="s">
        <v>1067</v>
      </c>
      <c r="B157" s="816" t="s">
        <v>1068</v>
      </c>
      <c r="C157" s="818">
        <v>26877</v>
      </c>
      <c r="D157" s="818">
        <v>26877</v>
      </c>
      <c r="E157" s="818">
        <v>2748</v>
      </c>
      <c r="F157" s="818">
        <v>2748</v>
      </c>
      <c r="G157" s="818">
        <v>29625</v>
      </c>
      <c r="H157" s="818">
        <v>29625</v>
      </c>
      <c r="I157" s="818">
        <v>0</v>
      </c>
      <c r="J157" s="818">
        <v>0</v>
      </c>
      <c r="K157" s="819">
        <f t="shared" si="13"/>
        <v>-29625</v>
      </c>
    </row>
    <row r="158" spans="1:14" x14ac:dyDescent="0.25">
      <c r="A158" s="816" t="s">
        <v>1069</v>
      </c>
      <c r="B158" s="816" t="s">
        <v>1070</v>
      </c>
      <c r="C158" s="818">
        <v>919</v>
      </c>
      <c r="D158" s="818">
        <v>919</v>
      </c>
      <c r="E158" s="818">
        <v>94</v>
      </c>
      <c r="F158" s="818">
        <v>94</v>
      </c>
      <c r="G158" s="818">
        <v>1013</v>
      </c>
      <c r="H158" s="818">
        <v>1013</v>
      </c>
      <c r="I158" s="818">
        <v>0</v>
      </c>
      <c r="J158" s="818">
        <v>0</v>
      </c>
      <c r="K158" s="819">
        <f t="shared" si="13"/>
        <v>-1013</v>
      </c>
    </row>
    <row r="159" spans="1:14" x14ac:dyDescent="0.25">
      <c r="A159" s="816" t="s">
        <v>1071</v>
      </c>
      <c r="B159" s="816" t="s">
        <v>1072</v>
      </c>
      <c r="C159" s="818">
        <v>4394</v>
      </c>
      <c r="D159" s="818">
        <v>4394</v>
      </c>
      <c r="E159" s="818">
        <v>449</v>
      </c>
      <c r="F159" s="818">
        <v>449</v>
      </c>
      <c r="G159" s="818">
        <v>4843</v>
      </c>
      <c r="H159" s="818">
        <v>4843</v>
      </c>
      <c r="I159" s="818">
        <v>0</v>
      </c>
      <c r="J159" s="818">
        <v>0</v>
      </c>
      <c r="K159" s="819">
        <f t="shared" si="13"/>
        <v>-4843</v>
      </c>
    </row>
    <row r="160" spans="1:14" x14ac:dyDescent="0.25">
      <c r="A160" s="816" t="s">
        <v>1073</v>
      </c>
      <c r="B160" s="816" t="s">
        <v>1074</v>
      </c>
      <c r="C160" s="818">
        <v>1292</v>
      </c>
      <c r="D160" s="818">
        <v>1292</v>
      </c>
      <c r="E160" s="818">
        <v>132</v>
      </c>
      <c r="F160" s="818">
        <v>132</v>
      </c>
      <c r="G160" s="818">
        <v>1424</v>
      </c>
      <c r="H160" s="818">
        <v>1424</v>
      </c>
      <c r="I160" s="818">
        <v>0</v>
      </c>
      <c r="J160" s="818">
        <v>0</v>
      </c>
      <c r="K160" s="819">
        <f t="shared" si="13"/>
        <v>-1424</v>
      </c>
    </row>
    <row r="161" spans="1:14" x14ac:dyDescent="0.25">
      <c r="A161" s="816" t="s">
        <v>1075</v>
      </c>
      <c r="B161" s="816" t="s">
        <v>1076</v>
      </c>
      <c r="C161" s="818">
        <v>36680.090000000004</v>
      </c>
      <c r="D161" s="818">
        <v>36680.090000000004</v>
      </c>
      <c r="E161" s="818">
        <v>2009.56</v>
      </c>
      <c r="F161" s="818">
        <v>2009.56</v>
      </c>
      <c r="G161" s="818">
        <v>38689.65</v>
      </c>
      <c r="H161" s="818">
        <v>38689.65</v>
      </c>
      <c r="I161" s="818">
        <v>0</v>
      </c>
      <c r="J161" s="818">
        <v>0</v>
      </c>
      <c r="K161" s="819">
        <f t="shared" si="13"/>
        <v>-38689.65</v>
      </c>
      <c r="L161" s="826" t="s">
        <v>1040</v>
      </c>
      <c r="N161" s="819">
        <f>K161</f>
        <v>-38689.65</v>
      </c>
    </row>
    <row r="162" spans="1:14" x14ac:dyDescent="0.25">
      <c r="A162" s="816" t="s">
        <v>1077</v>
      </c>
      <c r="B162" s="816" t="s">
        <v>1078</v>
      </c>
      <c r="C162" s="818">
        <v>26502.47</v>
      </c>
      <c r="D162" s="818">
        <v>26502.47</v>
      </c>
      <c r="E162" s="818">
        <v>0</v>
      </c>
      <c r="F162" s="818">
        <v>0</v>
      </c>
      <c r="G162" s="818">
        <v>26502.47</v>
      </c>
      <c r="H162" s="818">
        <v>26502.47</v>
      </c>
      <c r="I162" s="818">
        <v>0</v>
      </c>
      <c r="J162" s="818">
        <v>0</v>
      </c>
      <c r="K162" s="819">
        <f t="shared" si="13"/>
        <v>-26502.47</v>
      </c>
    </row>
    <row r="163" spans="1:14" x14ac:dyDescent="0.25">
      <c r="A163" s="816" t="s">
        <v>1079</v>
      </c>
      <c r="B163" s="816" t="s">
        <v>1080</v>
      </c>
      <c r="C163" s="818">
        <v>800</v>
      </c>
      <c r="D163" s="818">
        <v>800</v>
      </c>
      <c r="E163" s="818">
        <v>400</v>
      </c>
      <c r="F163" s="818">
        <v>400</v>
      </c>
      <c r="G163" s="818">
        <v>1200</v>
      </c>
      <c r="H163" s="818">
        <v>1200</v>
      </c>
      <c r="I163" s="818">
        <v>0</v>
      </c>
      <c r="J163" s="818">
        <v>0</v>
      </c>
      <c r="K163" s="819">
        <f t="shared" si="13"/>
        <v>-1200</v>
      </c>
    </row>
    <row r="164" spans="1:14" x14ac:dyDescent="0.25">
      <c r="A164" s="816" t="s">
        <v>1081</v>
      </c>
      <c r="B164" s="816" t="s">
        <v>1082</v>
      </c>
      <c r="C164" s="818">
        <v>9377.6200000000008</v>
      </c>
      <c r="D164" s="818">
        <v>9377.6200000000008</v>
      </c>
      <c r="E164" s="818">
        <v>1609.56</v>
      </c>
      <c r="F164" s="818">
        <v>1609.56</v>
      </c>
      <c r="G164" s="818">
        <v>10987.18</v>
      </c>
      <c r="H164" s="818">
        <v>10987.18</v>
      </c>
      <c r="I164" s="818">
        <v>0</v>
      </c>
      <c r="J164" s="818">
        <v>0</v>
      </c>
      <c r="K164" s="819">
        <f t="shared" si="13"/>
        <v>-10987.18</v>
      </c>
    </row>
    <row r="165" spans="1:14" x14ac:dyDescent="0.25">
      <c r="A165" s="816" t="s">
        <v>1083</v>
      </c>
      <c r="B165" s="816" t="s">
        <v>1084</v>
      </c>
      <c r="C165" s="818">
        <v>224881.16</v>
      </c>
      <c r="D165" s="818">
        <v>224881.16</v>
      </c>
      <c r="E165" s="818">
        <v>2355.21</v>
      </c>
      <c r="F165" s="818">
        <v>2355.21</v>
      </c>
      <c r="G165" s="818">
        <v>227236.37</v>
      </c>
      <c r="H165" s="818">
        <v>227236.37</v>
      </c>
      <c r="I165" s="818">
        <v>0</v>
      </c>
      <c r="J165" s="818">
        <v>0</v>
      </c>
      <c r="K165" s="819">
        <f t="shared" si="13"/>
        <v>-227236.37</v>
      </c>
      <c r="L165" s="826" t="s">
        <v>1185</v>
      </c>
      <c r="N165" s="819">
        <f t="shared" ref="N165:N167" si="18">K165</f>
        <v>-227236.37</v>
      </c>
    </row>
    <row r="166" spans="1:14" x14ac:dyDescent="0.25">
      <c r="A166" s="816" t="s">
        <v>1086</v>
      </c>
      <c r="B166" s="816" t="s">
        <v>1087</v>
      </c>
      <c r="C166" s="818">
        <v>19484.29</v>
      </c>
      <c r="D166" s="818">
        <v>19484.29</v>
      </c>
      <c r="E166" s="818">
        <v>1144.6000000000001</v>
      </c>
      <c r="F166" s="818">
        <v>1144.6000000000001</v>
      </c>
      <c r="G166" s="818">
        <v>20628.89</v>
      </c>
      <c r="H166" s="818">
        <v>20628.89</v>
      </c>
      <c r="I166" s="818">
        <v>0</v>
      </c>
      <c r="J166" s="818">
        <v>0</v>
      </c>
      <c r="K166" s="819">
        <f t="shared" si="13"/>
        <v>-20628.89</v>
      </c>
      <c r="L166" s="826" t="s">
        <v>1088</v>
      </c>
      <c r="N166" s="819">
        <f t="shared" si="18"/>
        <v>-20628.89</v>
      </c>
    </row>
    <row r="167" spans="1:14" x14ac:dyDescent="0.25">
      <c r="A167" s="816" t="s">
        <v>1089</v>
      </c>
      <c r="B167" s="816" t="s">
        <v>1090</v>
      </c>
      <c r="C167" s="818">
        <v>252242.52000000002</v>
      </c>
      <c r="D167" s="818">
        <v>252242.52000000002</v>
      </c>
      <c r="E167" s="818">
        <v>25663.040000000001</v>
      </c>
      <c r="F167" s="818">
        <v>25663.040000000001</v>
      </c>
      <c r="G167" s="818">
        <v>277905.56</v>
      </c>
      <c r="H167" s="818">
        <v>277905.56</v>
      </c>
      <c r="I167" s="818">
        <v>0</v>
      </c>
      <c r="J167" s="818">
        <v>0</v>
      </c>
      <c r="K167" s="819">
        <f t="shared" si="13"/>
        <v>-277905.56</v>
      </c>
      <c r="L167" s="826" t="s">
        <v>1091</v>
      </c>
      <c r="N167" s="819">
        <f t="shared" si="18"/>
        <v>-277905.56</v>
      </c>
    </row>
    <row r="168" spans="1:14" x14ac:dyDescent="0.25">
      <c r="A168" s="816" t="s">
        <v>1092</v>
      </c>
      <c r="B168" s="816" t="s">
        <v>1093</v>
      </c>
      <c r="C168" s="818">
        <v>10360.99</v>
      </c>
      <c r="D168" s="818">
        <v>10360.99</v>
      </c>
      <c r="E168" s="818">
        <v>823.24</v>
      </c>
      <c r="F168" s="818">
        <v>823.24</v>
      </c>
      <c r="G168" s="818">
        <v>11184.23</v>
      </c>
      <c r="H168" s="818">
        <v>11184.23</v>
      </c>
      <c r="I168" s="818">
        <v>0</v>
      </c>
      <c r="J168" s="818">
        <v>0</v>
      </c>
      <c r="K168" s="819">
        <f t="shared" si="13"/>
        <v>-11184.23</v>
      </c>
    </row>
    <row r="169" spans="1:14" x14ac:dyDescent="0.25">
      <c r="A169" s="816" t="s">
        <v>1094</v>
      </c>
      <c r="B169" s="816" t="s">
        <v>1095</v>
      </c>
      <c r="C169" s="818">
        <v>206682.76</v>
      </c>
      <c r="D169" s="818">
        <v>206682.76</v>
      </c>
      <c r="E169" s="818">
        <v>20548.61</v>
      </c>
      <c r="F169" s="818">
        <v>20548.61</v>
      </c>
      <c r="G169" s="818">
        <v>227231.37</v>
      </c>
      <c r="H169" s="818">
        <v>227231.37</v>
      </c>
      <c r="I169" s="818">
        <v>0</v>
      </c>
      <c r="J169" s="818">
        <v>0</v>
      </c>
      <c r="K169" s="819">
        <f t="shared" si="13"/>
        <v>-227231.37</v>
      </c>
    </row>
    <row r="170" spans="1:14" x14ac:dyDescent="0.25">
      <c r="A170" s="816" t="s">
        <v>1096</v>
      </c>
      <c r="B170" s="816" t="s">
        <v>1097</v>
      </c>
      <c r="C170" s="818">
        <v>18722.48</v>
      </c>
      <c r="D170" s="818">
        <v>18722.48</v>
      </c>
      <c r="E170" s="818">
        <v>2815.9700000000003</v>
      </c>
      <c r="F170" s="818">
        <v>2815.9700000000003</v>
      </c>
      <c r="G170" s="818">
        <v>21538.45</v>
      </c>
      <c r="H170" s="818">
        <v>21538.45</v>
      </c>
      <c r="I170" s="818">
        <v>0</v>
      </c>
      <c r="J170" s="818">
        <v>0</v>
      </c>
      <c r="K170" s="819">
        <f t="shared" si="13"/>
        <v>-21538.45</v>
      </c>
    </row>
    <row r="171" spans="1:14" x14ac:dyDescent="0.25">
      <c r="A171" s="816" t="s">
        <v>1098</v>
      </c>
      <c r="B171" s="816" t="s">
        <v>1099</v>
      </c>
      <c r="C171" s="818">
        <v>16476.29</v>
      </c>
      <c r="D171" s="818">
        <v>16476.29</v>
      </c>
      <c r="E171" s="818">
        <v>1475.22</v>
      </c>
      <c r="F171" s="818">
        <v>1475.22</v>
      </c>
      <c r="G171" s="818">
        <v>17951.510000000002</v>
      </c>
      <c r="H171" s="818">
        <v>17951.510000000002</v>
      </c>
      <c r="I171" s="818">
        <v>0</v>
      </c>
      <c r="J171" s="818">
        <v>0</v>
      </c>
      <c r="K171" s="819">
        <f t="shared" si="13"/>
        <v>-17951.510000000002</v>
      </c>
    </row>
    <row r="172" spans="1:14" x14ac:dyDescent="0.25">
      <c r="A172" s="816" t="s">
        <v>1100</v>
      </c>
      <c r="B172" s="816" t="s">
        <v>1101</v>
      </c>
      <c r="C172" s="818">
        <v>146317</v>
      </c>
      <c r="D172" s="818">
        <v>146317</v>
      </c>
      <c r="E172" s="818">
        <v>80504</v>
      </c>
      <c r="F172" s="818">
        <v>80504</v>
      </c>
      <c r="G172" s="818">
        <v>226821</v>
      </c>
      <c r="H172" s="818">
        <v>226821</v>
      </c>
      <c r="I172" s="818">
        <v>0</v>
      </c>
      <c r="J172" s="818">
        <v>0</v>
      </c>
      <c r="K172" s="819">
        <f t="shared" si="13"/>
        <v>-226821</v>
      </c>
      <c r="L172" s="826" t="s">
        <v>1102</v>
      </c>
      <c r="N172" s="819">
        <f t="shared" ref="N172:N176" si="19">K172</f>
        <v>-226821</v>
      </c>
    </row>
    <row r="173" spans="1:14" x14ac:dyDescent="0.25">
      <c r="A173" s="816" t="s">
        <v>1103</v>
      </c>
      <c r="B173" s="816" t="s">
        <v>1104</v>
      </c>
      <c r="C173" s="818">
        <v>5436423.0300000003</v>
      </c>
      <c r="D173" s="818">
        <v>5436423.0300000003</v>
      </c>
      <c r="E173" s="818">
        <v>753652.32000000007</v>
      </c>
      <c r="F173" s="818">
        <v>753652.32000000007</v>
      </c>
      <c r="G173" s="818">
        <v>6190075.3500000006</v>
      </c>
      <c r="H173" s="818">
        <v>6190075.3500000006</v>
      </c>
      <c r="I173" s="818">
        <v>0</v>
      </c>
      <c r="J173" s="818">
        <v>0</v>
      </c>
      <c r="K173" s="819">
        <f>H173</f>
        <v>6190075.3500000006</v>
      </c>
      <c r="L173" s="826" t="s">
        <v>1105</v>
      </c>
      <c r="N173" s="819">
        <f t="shared" si="19"/>
        <v>6190075.3500000006</v>
      </c>
    </row>
    <row r="174" spans="1:14" x14ac:dyDescent="0.25">
      <c r="A174" s="816" t="s">
        <v>1106</v>
      </c>
      <c r="B174" s="816" t="s">
        <v>1107</v>
      </c>
      <c r="C174" s="818">
        <v>8928220.8599999994</v>
      </c>
      <c r="D174" s="818">
        <v>8928220.8599999994</v>
      </c>
      <c r="E174" s="818">
        <v>964656</v>
      </c>
      <c r="F174" s="818">
        <v>964656</v>
      </c>
      <c r="G174" s="818">
        <v>9892876.8599999994</v>
      </c>
      <c r="H174" s="818">
        <v>9892876.8599999994</v>
      </c>
      <c r="I174" s="818">
        <v>0</v>
      </c>
      <c r="J174" s="818">
        <v>0</v>
      </c>
      <c r="K174" s="819">
        <f t="shared" ref="K174:K190" si="20">H174</f>
        <v>9892876.8599999994</v>
      </c>
      <c r="L174" s="826" t="s">
        <v>1108</v>
      </c>
      <c r="N174" s="819">
        <f t="shared" si="19"/>
        <v>9892876.8599999994</v>
      </c>
    </row>
    <row r="175" spans="1:14" x14ac:dyDescent="0.25">
      <c r="A175" s="816" t="s">
        <v>1109</v>
      </c>
      <c r="B175" s="816" t="s">
        <v>1110</v>
      </c>
      <c r="C175" s="818">
        <v>1572380.61</v>
      </c>
      <c r="D175" s="818">
        <v>1572380.61</v>
      </c>
      <c r="E175" s="818">
        <v>132374.23000000001</v>
      </c>
      <c r="F175" s="818">
        <v>132374.23000000001</v>
      </c>
      <c r="G175" s="818">
        <v>1704754.84</v>
      </c>
      <c r="H175" s="818">
        <v>1704754.84</v>
      </c>
      <c r="I175" s="818">
        <v>0</v>
      </c>
      <c r="J175" s="818">
        <v>0</v>
      </c>
      <c r="K175" s="819">
        <f t="shared" si="20"/>
        <v>1704754.84</v>
      </c>
      <c r="L175" s="826" t="s">
        <v>1111</v>
      </c>
      <c r="N175" s="819">
        <f t="shared" si="19"/>
        <v>1704754.84</v>
      </c>
    </row>
    <row r="176" spans="1:14" x14ac:dyDescent="0.25">
      <c r="A176" s="816" t="s">
        <v>1112</v>
      </c>
      <c r="B176" s="816" t="s">
        <v>1113</v>
      </c>
      <c r="C176" s="818">
        <v>76288.479999999996</v>
      </c>
      <c r="D176" s="818">
        <v>76288.479999999996</v>
      </c>
      <c r="E176" s="818">
        <v>4086.1800000000003</v>
      </c>
      <c r="F176" s="818">
        <v>4086.1800000000003</v>
      </c>
      <c r="G176" s="818">
        <v>80374.66</v>
      </c>
      <c r="H176" s="818">
        <v>80374.66</v>
      </c>
      <c r="I176" s="818">
        <v>0</v>
      </c>
      <c r="J176" s="818">
        <v>0</v>
      </c>
      <c r="K176" s="819">
        <f t="shared" si="20"/>
        <v>80374.66</v>
      </c>
      <c r="L176" s="826" t="s">
        <v>1114</v>
      </c>
      <c r="N176" s="819">
        <f t="shared" si="19"/>
        <v>80374.66</v>
      </c>
    </row>
    <row r="177" spans="1:14" x14ac:dyDescent="0.25">
      <c r="A177" s="816" t="s">
        <v>1115</v>
      </c>
      <c r="B177" s="816" t="s">
        <v>1116</v>
      </c>
      <c r="C177" s="818">
        <v>4403028.68</v>
      </c>
      <c r="D177" s="818">
        <v>4403028.68</v>
      </c>
      <c r="E177" s="818">
        <v>203876.33000000002</v>
      </c>
      <c r="F177" s="818">
        <v>203876.33000000002</v>
      </c>
      <c r="G177" s="818">
        <v>4606905.01</v>
      </c>
      <c r="H177" s="818">
        <v>4606905.01</v>
      </c>
      <c r="I177" s="818">
        <v>0</v>
      </c>
      <c r="J177" s="818">
        <v>0</v>
      </c>
      <c r="K177" s="819"/>
    </row>
    <row r="178" spans="1:14" x14ac:dyDescent="0.25">
      <c r="A178" s="816" t="s">
        <v>1117</v>
      </c>
      <c r="B178" s="816" t="s">
        <v>1118</v>
      </c>
      <c r="C178" s="818">
        <v>2139528.61</v>
      </c>
      <c r="D178" s="818">
        <v>2139528.61</v>
      </c>
      <c r="E178" s="818">
        <v>34898.879999999997</v>
      </c>
      <c r="F178" s="818">
        <v>34898.879999999997</v>
      </c>
      <c r="G178" s="818">
        <v>2174427.4900000002</v>
      </c>
      <c r="H178" s="818">
        <v>2174427.4900000002</v>
      </c>
      <c r="I178" s="818">
        <v>0</v>
      </c>
      <c r="J178" s="818">
        <v>0</v>
      </c>
      <c r="K178" s="819">
        <f t="shared" si="20"/>
        <v>2174427.4900000002</v>
      </c>
      <c r="L178" s="826" t="s">
        <v>1119</v>
      </c>
      <c r="N178" s="819">
        <f t="shared" ref="N178:N184" si="21">K178</f>
        <v>2174427.4900000002</v>
      </c>
    </row>
    <row r="179" spans="1:14" x14ac:dyDescent="0.25">
      <c r="A179" s="816" t="s">
        <v>1120</v>
      </c>
      <c r="B179" s="816" t="s">
        <v>1121</v>
      </c>
      <c r="C179" s="818">
        <v>1524272.7</v>
      </c>
      <c r="D179" s="818">
        <v>1524272.7</v>
      </c>
      <c r="E179" s="818">
        <v>168977.45</v>
      </c>
      <c r="F179" s="818">
        <v>168977.45</v>
      </c>
      <c r="G179" s="818">
        <v>1693250.1500000001</v>
      </c>
      <c r="H179" s="818">
        <v>1693250.1500000001</v>
      </c>
      <c r="I179" s="818">
        <v>0</v>
      </c>
      <c r="J179" s="818">
        <v>0</v>
      </c>
      <c r="K179" s="819">
        <f t="shared" si="20"/>
        <v>1693250.1500000001</v>
      </c>
      <c r="L179" s="826" t="s">
        <v>1122</v>
      </c>
      <c r="N179" s="819">
        <f t="shared" si="21"/>
        <v>1693250.1500000001</v>
      </c>
    </row>
    <row r="180" spans="1:14" x14ac:dyDescent="0.25">
      <c r="A180" s="816" t="s">
        <v>1123</v>
      </c>
      <c r="B180" s="816" t="s">
        <v>1124</v>
      </c>
      <c r="C180" s="818">
        <v>739227.37</v>
      </c>
      <c r="D180" s="818">
        <v>739227.37</v>
      </c>
      <c r="E180" s="818">
        <v>0</v>
      </c>
      <c r="F180" s="818">
        <v>0</v>
      </c>
      <c r="G180" s="818">
        <v>739227.37</v>
      </c>
      <c r="H180" s="818">
        <v>739227.37</v>
      </c>
      <c r="I180" s="818">
        <v>0</v>
      </c>
      <c r="J180" s="818">
        <v>0</v>
      </c>
      <c r="K180" s="819">
        <f t="shared" si="20"/>
        <v>739227.37</v>
      </c>
      <c r="L180" s="826" t="s">
        <v>1119</v>
      </c>
      <c r="N180" s="819">
        <f t="shared" si="21"/>
        <v>739227.37</v>
      </c>
    </row>
    <row r="181" spans="1:14" x14ac:dyDescent="0.25">
      <c r="A181" s="816" t="s">
        <v>1125</v>
      </c>
      <c r="B181" s="816" t="s">
        <v>1126</v>
      </c>
      <c r="C181" s="818">
        <v>21911</v>
      </c>
      <c r="D181" s="818">
        <v>21911</v>
      </c>
      <c r="E181" s="818">
        <v>0</v>
      </c>
      <c r="F181" s="818">
        <v>0</v>
      </c>
      <c r="G181" s="818">
        <v>21911</v>
      </c>
      <c r="H181" s="818">
        <v>21911</v>
      </c>
      <c r="I181" s="818">
        <v>0</v>
      </c>
      <c r="J181" s="818">
        <v>0</v>
      </c>
      <c r="K181" s="819">
        <f t="shared" si="20"/>
        <v>21911</v>
      </c>
      <c r="L181" s="826" t="s">
        <v>1114</v>
      </c>
      <c r="N181" s="819">
        <f t="shared" si="21"/>
        <v>21911</v>
      </c>
    </row>
    <row r="182" spans="1:14" x14ac:dyDescent="0.25">
      <c r="A182" s="816" t="s">
        <v>1127</v>
      </c>
      <c r="B182" s="816" t="s">
        <v>1128</v>
      </c>
      <c r="C182" s="818">
        <v>-34640.840000000004</v>
      </c>
      <c r="D182" s="818">
        <v>-34640.840000000004</v>
      </c>
      <c r="E182" s="818">
        <v>0</v>
      </c>
      <c r="F182" s="818">
        <v>0</v>
      </c>
      <c r="G182" s="818">
        <v>-34640.840000000004</v>
      </c>
      <c r="H182" s="818">
        <v>-34640.840000000004</v>
      </c>
      <c r="I182" s="818">
        <v>0</v>
      </c>
      <c r="J182" s="818">
        <v>0</v>
      </c>
      <c r="K182" s="819">
        <f t="shared" si="20"/>
        <v>-34640.840000000004</v>
      </c>
      <c r="L182" s="826" t="s">
        <v>1128</v>
      </c>
      <c r="N182" s="819">
        <f t="shared" si="21"/>
        <v>-34640.840000000004</v>
      </c>
    </row>
    <row r="183" spans="1:14" x14ac:dyDescent="0.25">
      <c r="A183" s="816" t="s">
        <v>1129</v>
      </c>
      <c r="B183" s="816" t="s">
        <v>1130</v>
      </c>
      <c r="C183" s="818">
        <v>2229318.14</v>
      </c>
      <c r="D183" s="818">
        <v>2229318.14</v>
      </c>
      <c r="E183" s="818">
        <v>406508.78</v>
      </c>
      <c r="F183" s="818">
        <v>406508.78</v>
      </c>
      <c r="G183" s="818">
        <v>2635826.92</v>
      </c>
      <c r="H183" s="818">
        <v>2635826.92</v>
      </c>
      <c r="I183" s="818">
        <v>0</v>
      </c>
      <c r="J183" s="818">
        <v>0</v>
      </c>
      <c r="K183" s="819">
        <f t="shared" si="20"/>
        <v>2635826.92</v>
      </c>
      <c r="L183" s="826" t="s">
        <v>1131</v>
      </c>
      <c r="N183" s="819">
        <f t="shared" si="21"/>
        <v>2635826.92</v>
      </c>
    </row>
    <row r="184" spans="1:14" x14ac:dyDescent="0.25">
      <c r="A184" s="816" t="s">
        <v>1132</v>
      </c>
      <c r="B184" s="816" t="s">
        <v>1114</v>
      </c>
      <c r="C184" s="818">
        <v>144266.45000000001</v>
      </c>
      <c r="D184" s="818">
        <v>144266.45000000001</v>
      </c>
      <c r="E184" s="818">
        <v>1883.08</v>
      </c>
      <c r="F184" s="818">
        <v>1883.08</v>
      </c>
      <c r="G184" s="818">
        <v>146149.53</v>
      </c>
      <c r="H184" s="818">
        <v>146149.53</v>
      </c>
      <c r="I184" s="818">
        <v>0</v>
      </c>
      <c r="J184" s="818">
        <v>0</v>
      </c>
      <c r="K184" s="819">
        <f t="shared" si="20"/>
        <v>146149.53</v>
      </c>
      <c r="L184" s="826" t="s">
        <v>1114</v>
      </c>
      <c r="N184" s="819">
        <f t="shared" si="21"/>
        <v>146149.53</v>
      </c>
    </row>
    <row r="185" spans="1:14" x14ac:dyDescent="0.25">
      <c r="A185" s="816" t="s">
        <v>1133</v>
      </c>
      <c r="B185" s="816" t="s">
        <v>1134</v>
      </c>
      <c r="C185" s="818">
        <v>135564.85</v>
      </c>
      <c r="D185" s="818">
        <v>135564.85</v>
      </c>
      <c r="E185" s="818">
        <v>0</v>
      </c>
      <c r="F185" s="818">
        <v>0</v>
      </c>
      <c r="G185" s="818">
        <v>135564.85</v>
      </c>
      <c r="H185" s="818">
        <v>135564.85</v>
      </c>
      <c r="I185" s="818">
        <v>0</v>
      </c>
      <c r="J185" s="818">
        <v>0</v>
      </c>
      <c r="K185" s="819">
        <f t="shared" si="20"/>
        <v>135564.85</v>
      </c>
    </row>
    <row r="186" spans="1:14" x14ac:dyDescent="0.25">
      <c r="A186" s="816" t="s">
        <v>1135</v>
      </c>
      <c r="B186" s="816" t="s">
        <v>1136</v>
      </c>
      <c r="C186" s="818">
        <v>8701.6</v>
      </c>
      <c r="D186" s="818">
        <v>8701.6</v>
      </c>
      <c r="E186" s="818">
        <v>1883.08</v>
      </c>
      <c r="F186" s="818">
        <v>1883.08</v>
      </c>
      <c r="G186" s="818">
        <v>10584.68</v>
      </c>
      <c r="H186" s="818">
        <v>10584.68</v>
      </c>
      <c r="I186" s="818">
        <v>0</v>
      </c>
      <c r="J186" s="818">
        <v>0</v>
      </c>
      <c r="K186" s="819">
        <f t="shared" si="20"/>
        <v>10584.68</v>
      </c>
    </row>
    <row r="187" spans="1:14" x14ac:dyDescent="0.25">
      <c r="A187" s="816" t="s">
        <v>1137</v>
      </c>
      <c r="B187" s="816" t="s">
        <v>1138</v>
      </c>
      <c r="C187" s="818">
        <v>170483.44</v>
      </c>
      <c r="D187" s="818">
        <v>170483.44</v>
      </c>
      <c r="E187" s="818">
        <v>19559.830000000002</v>
      </c>
      <c r="F187" s="818">
        <v>19559.830000000002</v>
      </c>
      <c r="G187" s="818">
        <v>190043.27</v>
      </c>
      <c r="H187" s="818">
        <v>190043.27</v>
      </c>
      <c r="I187" s="818">
        <v>0</v>
      </c>
      <c r="J187" s="818">
        <v>0</v>
      </c>
      <c r="K187" s="819">
        <f t="shared" si="20"/>
        <v>190043.27</v>
      </c>
      <c r="L187" s="826" t="s">
        <v>1182</v>
      </c>
      <c r="N187" s="819">
        <f t="shared" ref="N187:N190" si="22">K187</f>
        <v>190043.27</v>
      </c>
    </row>
    <row r="188" spans="1:14" x14ac:dyDescent="0.25">
      <c r="A188" s="816" t="s">
        <v>1140</v>
      </c>
      <c r="B188" s="816" t="s">
        <v>1141</v>
      </c>
      <c r="C188" s="818">
        <v>4119.29</v>
      </c>
      <c r="D188" s="818">
        <v>4119.29</v>
      </c>
      <c r="E188" s="818">
        <v>6.97</v>
      </c>
      <c r="F188" s="818">
        <v>6.97</v>
      </c>
      <c r="G188" s="818">
        <v>4126.26</v>
      </c>
      <c r="H188" s="818">
        <v>4126.26</v>
      </c>
      <c r="I188" s="818">
        <v>0</v>
      </c>
      <c r="J188" s="818">
        <v>0</v>
      </c>
      <c r="K188" s="819">
        <f t="shared" si="20"/>
        <v>4126.26</v>
      </c>
      <c r="L188" s="826" t="s">
        <v>1142</v>
      </c>
      <c r="N188" s="819">
        <f t="shared" si="22"/>
        <v>4126.26</v>
      </c>
    </row>
    <row r="189" spans="1:14" x14ac:dyDescent="0.25">
      <c r="A189" s="816" t="s">
        <v>1143</v>
      </c>
      <c r="B189" s="816" t="s">
        <v>1144</v>
      </c>
      <c r="C189" s="818">
        <v>-61.730000000000004</v>
      </c>
      <c r="D189" s="818">
        <v>-61.730000000000004</v>
      </c>
      <c r="E189" s="818">
        <v>0</v>
      </c>
      <c r="F189" s="818">
        <v>0</v>
      </c>
      <c r="G189" s="818">
        <v>-61.730000000000004</v>
      </c>
      <c r="H189" s="818">
        <v>-61.730000000000004</v>
      </c>
      <c r="I189" s="818">
        <v>0</v>
      </c>
      <c r="J189" s="818">
        <v>0</v>
      </c>
      <c r="K189" s="819">
        <f t="shared" si="20"/>
        <v>-61.730000000000004</v>
      </c>
      <c r="L189" s="826" t="s">
        <v>1139</v>
      </c>
      <c r="N189" s="819">
        <f t="shared" si="22"/>
        <v>-61.730000000000004</v>
      </c>
    </row>
    <row r="190" spans="1:14" x14ac:dyDescent="0.25">
      <c r="A190" s="816" t="s">
        <v>1145</v>
      </c>
      <c r="B190" s="816" t="s">
        <v>1146</v>
      </c>
      <c r="C190" s="818">
        <v>17601.29</v>
      </c>
      <c r="D190" s="818">
        <v>17601.29</v>
      </c>
      <c r="E190" s="818">
        <v>1600.22</v>
      </c>
      <c r="F190" s="818">
        <v>1600.22</v>
      </c>
      <c r="G190" s="818">
        <v>19201.510000000002</v>
      </c>
      <c r="H190" s="818">
        <v>19201.510000000002</v>
      </c>
      <c r="I190" s="818">
        <v>0</v>
      </c>
      <c r="J190" s="818">
        <v>0</v>
      </c>
      <c r="K190" s="819">
        <f t="shared" si="20"/>
        <v>19201.510000000002</v>
      </c>
      <c r="L190" s="826" t="s">
        <v>1180</v>
      </c>
      <c r="N190" s="819">
        <f t="shared" si="22"/>
        <v>19201.510000000002</v>
      </c>
    </row>
    <row r="191" spans="1:14" x14ac:dyDescent="0.25">
      <c r="A191" s="816" t="s">
        <v>162</v>
      </c>
      <c r="B191" s="816" t="s">
        <v>1147</v>
      </c>
      <c r="C191" s="818">
        <v>602404750.12</v>
      </c>
      <c r="D191" s="818">
        <v>602404750.12</v>
      </c>
      <c r="E191" s="818">
        <v>19800903.879999999</v>
      </c>
      <c r="F191" s="818">
        <v>19800903.879999999</v>
      </c>
      <c r="G191" s="818">
        <v>622205654</v>
      </c>
      <c r="H191" s="818">
        <v>622205654</v>
      </c>
      <c r="I191" s="818">
        <v>18132382.289999999</v>
      </c>
      <c r="J191" s="818">
        <v>18132382.289999999</v>
      </c>
      <c r="K191" s="640">
        <f>SUBTOTAL(9,K9:K190)</f>
        <v>-7050998.4499999983</v>
      </c>
      <c r="N191" s="819">
        <f>SUM(N9:N124)</f>
        <v>-174541.64000000022</v>
      </c>
    </row>
  </sheetData>
  <autoFilter ref="A8:L8"/>
  <mergeCells count="13">
    <mergeCell ref="A5:G5"/>
    <mergeCell ref="H5:J5"/>
    <mergeCell ref="A1:G1"/>
    <mergeCell ref="H1:J1"/>
    <mergeCell ref="A2:G2"/>
    <mergeCell ref="H2:J2"/>
    <mergeCell ref="A3:J4"/>
    <mergeCell ref="A6:J6"/>
    <mergeCell ref="A7:B7"/>
    <mergeCell ref="C7:D7"/>
    <mergeCell ref="E7:F7"/>
    <mergeCell ref="G7:H7"/>
    <mergeCell ref="I7:J7"/>
  </mergeCell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92"/>
  <sheetViews>
    <sheetView topLeftCell="A5" workbookViewId="0">
      <pane xSplit="2" ySplit="4" topLeftCell="D170" activePane="bottomRight" state="frozen"/>
      <selection activeCell="D30" sqref="D30"/>
      <selection pane="topRight" activeCell="D30" sqref="D30"/>
      <selection pane="bottomLeft" activeCell="D30" sqref="D30"/>
      <selection pane="bottomRight" activeCell="D30" sqref="D30"/>
    </sheetView>
  </sheetViews>
  <sheetFormatPr defaultRowHeight="13.2" x14ac:dyDescent="0.25"/>
  <cols>
    <col min="1" max="1" width="8.6640625" style="820" customWidth="1"/>
    <col min="2" max="2" width="28.6640625" style="820" customWidth="1"/>
    <col min="3" max="4" width="15.6640625" style="820" customWidth="1"/>
    <col min="5" max="6" width="14.6640625" style="820" customWidth="1"/>
    <col min="7" max="8" width="15.6640625" style="820" customWidth="1"/>
    <col min="9" max="9" width="14.6640625" style="820" customWidth="1"/>
    <col min="10" max="10" width="13.6640625" style="820" customWidth="1"/>
    <col min="11" max="11" width="11.33203125" style="820" customWidth="1"/>
    <col min="12" max="256" width="8.88671875" style="820"/>
    <col min="257" max="257" width="8.6640625" style="820" customWidth="1"/>
    <col min="258" max="258" width="28.6640625" style="820" customWidth="1"/>
    <col min="259" max="260" width="15.6640625" style="820" customWidth="1"/>
    <col min="261" max="262" width="14.6640625" style="820" customWidth="1"/>
    <col min="263" max="264" width="15.6640625" style="820" customWidth="1"/>
    <col min="265" max="265" width="14.6640625" style="820" customWidth="1"/>
    <col min="266" max="266" width="13.6640625" style="820" customWidth="1"/>
    <col min="267" max="267" width="10.77734375" style="820" bestFit="1" customWidth="1"/>
    <col min="268" max="512" width="8.88671875" style="820"/>
    <col min="513" max="513" width="8.6640625" style="820" customWidth="1"/>
    <col min="514" max="514" width="28.6640625" style="820" customWidth="1"/>
    <col min="515" max="516" width="15.6640625" style="820" customWidth="1"/>
    <col min="517" max="518" width="14.6640625" style="820" customWidth="1"/>
    <col min="519" max="520" width="15.6640625" style="820" customWidth="1"/>
    <col min="521" max="521" width="14.6640625" style="820" customWidth="1"/>
    <col min="522" max="522" width="13.6640625" style="820" customWidth="1"/>
    <col min="523" max="523" width="10.77734375" style="820" bestFit="1" customWidth="1"/>
    <col min="524" max="768" width="8.88671875" style="820"/>
    <col min="769" max="769" width="8.6640625" style="820" customWidth="1"/>
    <col min="770" max="770" width="28.6640625" style="820" customWidth="1"/>
    <col min="771" max="772" width="15.6640625" style="820" customWidth="1"/>
    <col min="773" max="774" width="14.6640625" style="820" customWidth="1"/>
    <col min="775" max="776" width="15.6640625" style="820" customWidth="1"/>
    <col min="777" max="777" width="14.6640625" style="820" customWidth="1"/>
    <col min="778" max="778" width="13.6640625" style="820" customWidth="1"/>
    <col min="779" max="779" width="10.77734375" style="820" bestFit="1" customWidth="1"/>
    <col min="780" max="1024" width="8.88671875" style="820"/>
    <col min="1025" max="1025" width="8.6640625" style="820" customWidth="1"/>
    <col min="1026" max="1026" width="28.6640625" style="820" customWidth="1"/>
    <col min="1027" max="1028" width="15.6640625" style="820" customWidth="1"/>
    <col min="1029" max="1030" width="14.6640625" style="820" customWidth="1"/>
    <col min="1031" max="1032" width="15.6640625" style="820" customWidth="1"/>
    <col min="1033" max="1033" width="14.6640625" style="820" customWidth="1"/>
    <col min="1034" max="1034" width="13.6640625" style="820" customWidth="1"/>
    <col min="1035" max="1035" width="10.77734375" style="820" bestFit="1" customWidth="1"/>
    <col min="1036" max="1280" width="8.88671875" style="820"/>
    <col min="1281" max="1281" width="8.6640625" style="820" customWidth="1"/>
    <col min="1282" max="1282" width="28.6640625" style="820" customWidth="1"/>
    <col min="1283" max="1284" width="15.6640625" style="820" customWidth="1"/>
    <col min="1285" max="1286" width="14.6640625" style="820" customWidth="1"/>
    <col min="1287" max="1288" width="15.6640625" style="820" customWidth="1"/>
    <col min="1289" max="1289" width="14.6640625" style="820" customWidth="1"/>
    <col min="1290" max="1290" width="13.6640625" style="820" customWidth="1"/>
    <col min="1291" max="1291" width="10.77734375" style="820" bestFit="1" customWidth="1"/>
    <col min="1292" max="1536" width="8.88671875" style="820"/>
    <col min="1537" max="1537" width="8.6640625" style="820" customWidth="1"/>
    <col min="1538" max="1538" width="28.6640625" style="820" customWidth="1"/>
    <col min="1539" max="1540" width="15.6640625" style="820" customWidth="1"/>
    <col min="1541" max="1542" width="14.6640625" style="820" customWidth="1"/>
    <col min="1543" max="1544" width="15.6640625" style="820" customWidth="1"/>
    <col min="1545" max="1545" width="14.6640625" style="820" customWidth="1"/>
    <col min="1546" max="1546" width="13.6640625" style="820" customWidth="1"/>
    <col min="1547" max="1547" width="10.77734375" style="820" bestFit="1" customWidth="1"/>
    <col min="1548" max="1792" width="8.88671875" style="820"/>
    <col min="1793" max="1793" width="8.6640625" style="820" customWidth="1"/>
    <col min="1794" max="1794" width="28.6640625" style="820" customWidth="1"/>
    <col min="1795" max="1796" width="15.6640625" style="820" customWidth="1"/>
    <col min="1797" max="1798" width="14.6640625" style="820" customWidth="1"/>
    <col min="1799" max="1800" width="15.6640625" style="820" customWidth="1"/>
    <col min="1801" max="1801" width="14.6640625" style="820" customWidth="1"/>
    <col min="1802" max="1802" width="13.6640625" style="820" customWidth="1"/>
    <col min="1803" max="1803" width="10.77734375" style="820" bestFit="1" customWidth="1"/>
    <col min="1804" max="2048" width="8.88671875" style="820"/>
    <col min="2049" max="2049" width="8.6640625" style="820" customWidth="1"/>
    <col min="2050" max="2050" width="28.6640625" style="820" customWidth="1"/>
    <col min="2051" max="2052" width="15.6640625" style="820" customWidth="1"/>
    <col min="2053" max="2054" width="14.6640625" style="820" customWidth="1"/>
    <col min="2055" max="2056" width="15.6640625" style="820" customWidth="1"/>
    <col min="2057" max="2057" width="14.6640625" style="820" customWidth="1"/>
    <col min="2058" max="2058" width="13.6640625" style="820" customWidth="1"/>
    <col min="2059" max="2059" width="10.77734375" style="820" bestFit="1" customWidth="1"/>
    <col min="2060" max="2304" width="8.88671875" style="820"/>
    <col min="2305" max="2305" width="8.6640625" style="820" customWidth="1"/>
    <col min="2306" max="2306" width="28.6640625" style="820" customWidth="1"/>
    <col min="2307" max="2308" width="15.6640625" style="820" customWidth="1"/>
    <col min="2309" max="2310" width="14.6640625" style="820" customWidth="1"/>
    <col min="2311" max="2312" width="15.6640625" style="820" customWidth="1"/>
    <col min="2313" max="2313" width="14.6640625" style="820" customWidth="1"/>
    <col min="2314" max="2314" width="13.6640625" style="820" customWidth="1"/>
    <col min="2315" max="2315" width="10.77734375" style="820" bestFit="1" customWidth="1"/>
    <col min="2316" max="2560" width="8.88671875" style="820"/>
    <col min="2561" max="2561" width="8.6640625" style="820" customWidth="1"/>
    <col min="2562" max="2562" width="28.6640625" style="820" customWidth="1"/>
    <col min="2563" max="2564" width="15.6640625" style="820" customWidth="1"/>
    <col min="2565" max="2566" width="14.6640625" style="820" customWidth="1"/>
    <col min="2567" max="2568" width="15.6640625" style="820" customWidth="1"/>
    <col min="2569" max="2569" width="14.6640625" style="820" customWidth="1"/>
    <col min="2570" max="2570" width="13.6640625" style="820" customWidth="1"/>
    <col min="2571" max="2571" width="10.77734375" style="820" bestFit="1" customWidth="1"/>
    <col min="2572" max="2816" width="8.88671875" style="820"/>
    <col min="2817" max="2817" width="8.6640625" style="820" customWidth="1"/>
    <col min="2818" max="2818" width="28.6640625" style="820" customWidth="1"/>
    <col min="2819" max="2820" width="15.6640625" style="820" customWidth="1"/>
    <col min="2821" max="2822" width="14.6640625" style="820" customWidth="1"/>
    <col min="2823" max="2824" width="15.6640625" style="820" customWidth="1"/>
    <col min="2825" max="2825" width="14.6640625" style="820" customWidth="1"/>
    <col min="2826" max="2826" width="13.6640625" style="820" customWidth="1"/>
    <col min="2827" max="2827" width="10.77734375" style="820" bestFit="1" customWidth="1"/>
    <col min="2828" max="3072" width="8.88671875" style="820"/>
    <col min="3073" max="3073" width="8.6640625" style="820" customWidth="1"/>
    <col min="3074" max="3074" width="28.6640625" style="820" customWidth="1"/>
    <col min="3075" max="3076" width="15.6640625" style="820" customWidth="1"/>
    <col min="3077" max="3078" width="14.6640625" style="820" customWidth="1"/>
    <col min="3079" max="3080" width="15.6640625" style="820" customWidth="1"/>
    <col min="3081" max="3081" width="14.6640625" style="820" customWidth="1"/>
    <col min="3082" max="3082" width="13.6640625" style="820" customWidth="1"/>
    <col min="3083" max="3083" width="10.77734375" style="820" bestFit="1" customWidth="1"/>
    <col min="3084" max="3328" width="8.88671875" style="820"/>
    <col min="3329" max="3329" width="8.6640625" style="820" customWidth="1"/>
    <col min="3330" max="3330" width="28.6640625" style="820" customWidth="1"/>
    <col min="3331" max="3332" width="15.6640625" style="820" customWidth="1"/>
    <col min="3333" max="3334" width="14.6640625" style="820" customWidth="1"/>
    <col min="3335" max="3336" width="15.6640625" style="820" customWidth="1"/>
    <col min="3337" max="3337" width="14.6640625" style="820" customWidth="1"/>
    <col min="3338" max="3338" width="13.6640625" style="820" customWidth="1"/>
    <col min="3339" max="3339" width="10.77734375" style="820" bestFit="1" customWidth="1"/>
    <col min="3340" max="3584" width="8.88671875" style="820"/>
    <col min="3585" max="3585" width="8.6640625" style="820" customWidth="1"/>
    <col min="3586" max="3586" width="28.6640625" style="820" customWidth="1"/>
    <col min="3587" max="3588" width="15.6640625" style="820" customWidth="1"/>
    <col min="3589" max="3590" width="14.6640625" style="820" customWidth="1"/>
    <col min="3591" max="3592" width="15.6640625" style="820" customWidth="1"/>
    <col min="3593" max="3593" width="14.6640625" style="820" customWidth="1"/>
    <col min="3594" max="3594" width="13.6640625" style="820" customWidth="1"/>
    <col min="3595" max="3595" width="10.77734375" style="820" bestFit="1" customWidth="1"/>
    <col min="3596" max="3840" width="8.88671875" style="820"/>
    <col min="3841" max="3841" width="8.6640625" style="820" customWidth="1"/>
    <col min="3842" max="3842" width="28.6640625" style="820" customWidth="1"/>
    <col min="3843" max="3844" width="15.6640625" style="820" customWidth="1"/>
    <col min="3845" max="3846" width="14.6640625" style="820" customWidth="1"/>
    <col min="3847" max="3848" width="15.6640625" style="820" customWidth="1"/>
    <col min="3849" max="3849" width="14.6640625" style="820" customWidth="1"/>
    <col min="3850" max="3850" width="13.6640625" style="820" customWidth="1"/>
    <col min="3851" max="3851" width="10.77734375" style="820" bestFit="1" customWidth="1"/>
    <col min="3852" max="4096" width="8.88671875" style="820"/>
    <col min="4097" max="4097" width="8.6640625" style="820" customWidth="1"/>
    <col min="4098" max="4098" width="28.6640625" style="820" customWidth="1"/>
    <col min="4099" max="4100" width="15.6640625" style="820" customWidth="1"/>
    <col min="4101" max="4102" width="14.6640625" style="820" customWidth="1"/>
    <col min="4103" max="4104" width="15.6640625" style="820" customWidth="1"/>
    <col min="4105" max="4105" width="14.6640625" style="820" customWidth="1"/>
    <col min="4106" max="4106" width="13.6640625" style="820" customWidth="1"/>
    <col min="4107" max="4107" width="10.77734375" style="820" bestFit="1" customWidth="1"/>
    <col min="4108" max="4352" width="8.88671875" style="820"/>
    <col min="4353" max="4353" width="8.6640625" style="820" customWidth="1"/>
    <col min="4354" max="4354" width="28.6640625" style="820" customWidth="1"/>
    <col min="4355" max="4356" width="15.6640625" style="820" customWidth="1"/>
    <col min="4357" max="4358" width="14.6640625" style="820" customWidth="1"/>
    <col min="4359" max="4360" width="15.6640625" style="820" customWidth="1"/>
    <col min="4361" max="4361" width="14.6640625" style="820" customWidth="1"/>
    <col min="4362" max="4362" width="13.6640625" style="820" customWidth="1"/>
    <col min="4363" max="4363" width="10.77734375" style="820" bestFit="1" customWidth="1"/>
    <col min="4364" max="4608" width="8.88671875" style="820"/>
    <col min="4609" max="4609" width="8.6640625" style="820" customWidth="1"/>
    <col min="4610" max="4610" width="28.6640625" style="820" customWidth="1"/>
    <col min="4611" max="4612" width="15.6640625" style="820" customWidth="1"/>
    <col min="4613" max="4614" width="14.6640625" style="820" customWidth="1"/>
    <col min="4615" max="4616" width="15.6640625" style="820" customWidth="1"/>
    <col min="4617" max="4617" width="14.6640625" style="820" customWidth="1"/>
    <col min="4618" max="4618" width="13.6640625" style="820" customWidth="1"/>
    <col min="4619" max="4619" width="10.77734375" style="820" bestFit="1" customWidth="1"/>
    <col min="4620" max="4864" width="8.88671875" style="820"/>
    <col min="4865" max="4865" width="8.6640625" style="820" customWidth="1"/>
    <col min="4866" max="4866" width="28.6640625" style="820" customWidth="1"/>
    <col min="4867" max="4868" width="15.6640625" style="820" customWidth="1"/>
    <col min="4869" max="4870" width="14.6640625" style="820" customWidth="1"/>
    <col min="4871" max="4872" width="15.6640625" style="820" customWidth="1"/>
    <col min="4873" max="4873" width="14.6640625" style="820" customWidth="1"/>
    <col min="4874" max="4874" width="13.6640625" style="820" customWidth="1"/>
    <col min="4875" max="4875" width="10.77734375" style="820" bestFit="1" customWidth="1"/>
    <col min="4876" max="5120" width="8.88671875" style="820"/>
    <col min="5121" max="5121" width="8.6640625" style="820" customWidth="1"/>
    <col min="5122" max="5122" width="28.6640625" style="820" customWidth="1"/>
    <col min="5123" max="5124" width="15.6640625" style="820" customWidth="1"/>
    <col min="5125" max="5126" width="14.6640625" style="820" customWidth="1"/>
    <col min="5127" max="5128" width="15.6640625" style="820" customWidth="1"/>
    <col min="5129" max="5129" width="14.6640625" style="820" customWidth="1"/>
    <col min="5130" max="5130" width="13.6640625" style="820" customWidth="1"/>
    <col min="5131" max="5131" width="10.77734375" style="820" bestFit="1" customWidth="1"/>
    <col min="5132" max="5376" width="8.88671875" style="820"/>
    <col min="5377" max="5377" width="8.6640625" style="820" customWidth="1"/>
    <col min="5378" max="5378" width="28.6640625" style="820" customWidth="1"/>
    <col min="5379" max="5380" width="15.6640625" style="820" customWidth="1"/>
    <col min="5381" max="5382" width="14.6640625" style="820" customWidth="1"/>
    <col min="5383" max="5384" width="15.6640625" style="820" customWidth="1"/>
    <col min="5385" max="5385" width="14.6640625" style="820" customWidth="1"/>
    <col min="5386" max="5386" width="13.6640625" style="820" customWidth="1"/>
    <col min="5387" max="5387" width="10.77734375" style="820" bestFit="1" customWidth="1"/>
    <col min="5388" max="5632" width="8.88671875" style="820"/>
    <col min="5633" max="5633" width="8.6640625" style="820" customWidth="1"/>
    <col min="5634" max="5634" width="28.6640625" style="820" customWidth="1"/>
    <col min="5635" max="5636" width="15.6640625" style="820" customWidth="1"/>
    <col min="5637" max="5638" width="14.6640625" style="820" customWidth="1"/>
    <col min="5639" max="5640" width="15.6640625" style="820" customWidth="1"/>
    <col min="5641" max="5641" width="14.6640625" style="820" customWidth="1"/>
    <col min="5642" max="5642" width="13.6640625" style="820" customWidth="1"/>
    <col min="5643" max="5643" width="10.77734375" style="820" bestFit="1" customWidth="1"/>
    <col min="5644" max="5888" width="8.88671875" style="820"/>
    <col min="5889" max="5889" width="8.6640625" style="820" customWidth="1"/>
    <col min="5890" max="5890" width="28.6640625" style="820" customWidth="1"/>
    <col min="5891" max="5892" width="15.6640625" style="820" customWidth="1"/>
    <col min="5893" max="5894" width="14.6640625" style="820" customWidth="1"/>
    <col min="5895" max="5896" width="15.6640625" style="820" customWidth="1"/>
    <col min="5897" max="5897" width="14.6640625" style="820" customWidth="1"/>
    <col min="5898" max="5898" width="13.6640625" style="820" customWidth="1"/>
    <col min="5899" max="5899" width="10.77734375" style="820" bestFit="1" customWidth="1"/>
    <col min="5900" max="6144" width="8.88671875" style="820"/>
    <col min="6145" max="6145" width="8.6640625" style="820" customWidth="1"/>
    <col min="6146" max="6146" width="28.6640625" style="820" customWidth="1"/>
    <col min="6147" max="6148" width="15.6640625" style="820" customWidth="1"/>
    <col min="6149" max="6150" width="14.6640625" style="820" customWidth="1"/>
    <col min="6151" max="6152" width="15.6640625" style="820" customWidth="1"/>
    <col min="6153" max="6153" width="14.6640625" style="820" customWidth="1"/>
    <col min="6154" max="6154" width="13.6640625" style="820" customWidth="1"/>
    <col min="6155" max="6155" width="10.77734375" style="820" bestFit="1" customWidth="1"/>
    <col min="6156" max="6400" width="8.88671875" style="820"/>
    <col min="6401" max="6401" width="8.6640625" style="820" customWidth="1"/>
    <col min="6402" max="6402" width="28.6640625" style="820" customWidth="1"/>
    <col min="6403" max="6404" width="15.6640625" style="820" customWidth="1"/>
    <col min="6405" max="6406" width="14.6640625" style="820" customWidth="1"/>
    <col min="6407" max="6408" width="15.6640625" style="820" customWidth="1"/>
    <col min="6409" max="6409" width="14.6640625" style="820" customWidth="1"/>
    <col min="6410" max="6410" width="13.6640625" style="820" customWidth="1"/>
    <col min="6411" max="6411" width="10.77734375" style="820" bestFit="1" customWidth="1"/>
    <col min="6412" max="6656" width="8.88671875" style="820"/>
    <col min="6657" max="6657" width="8.6640625" style="820" customWidth="1"/>
    <col min="6658" max="6658" width="28.6640625" style="820" customWidth="1"/>
    <col min="6659" max="6660" width="15.6640625" style="820" customWidth="1"/>
    <col min="6661" max="6662" width="14.6640625" style="820" customWidth="1"/>
    <col min="6663" max="6664" width="15.6640625" style="820" customWidth="1"/>
    <col min="6665" max="6665" width="14.6640625" style="820" customWidth="1"/>
    <col min="6666" max="6666" width="13.6640625" style="820" customWidth="1"/>
    <col min="6667" max="6667" width="10.77734375" style="820" bestFit="1" customWidth="1"/>
    <col min="6668" max="6912" width="8.88671875" style="820"/>
    <col min="6913" max="6913" width="8.6640625" style="820" customWidth="1"/>
    <col min="6914" max="6914" width="28.6640625" style="820" customWidth="1"/>
    <col min="6915" max="6916" width="15.6640625" style="820" customWidth="1"/>
    <col min="6917" max="6918" width="14.6640625" style="820" customWidth="1"/>
    <col min="6919" max="6920" width="15.6640625" style="820" customWidth="1"/>
    <col min="6921" max="6921" width="14.6640625" style="820" customWidth="1"/>
    <col min="6922" max="6922" width="13.6640625" style="820" customWidth="1"/>
    <col min="6923" max="6923" width="10.77734375" style="820" bestFit="1" customWidth="1"/>
    <col min="6924" max="7168" width="8.88671875" style="820"/>
    <col min="7169" max="7169" width="8.6640625" style="820" customWidth="1"/>
    <col min="7170" max="7170" width="28.6640625" style="820" customWidth="1"/>
    <col min="7171" max="7172" width="15.6640625" style="820" customWidth="1"/>
    <col min="7173" max="7174" width="14.6640625" style="820" customWidth="1"/>
    <col min="7175" max="7176" width="15.6640625" style="820" customWidth="1"/>
    <col min="7177" max="7177" width="14.6640625" style="820" customWidth="1"/>
    <col min="7178" max="7178" width="13.6640625" style="820" customWidth="1"/>
    <col min="7179" max="7179" width="10.77734375" style="820" bestFit="1" customWidth="1"/>
    <col min="7180" max="7424" width="8.88671875" style="820"/>
    <col min="7425" max="7425" width="8.6640625" style="820" customWidth="1"/>
    <col min="7426" max="7426" width="28.6640625" style="820" customWidth="1"/>
    <col min="7427" max="7428" width="15.6640625" style="820" customWidth="1"/>
    <col min="7429" max="7430" width="14.6640625" style="820" customWidth="1"/>
    <col min="7431" max="7432" width="15.6640625" style="820" customWidth="1"/>
    <col min="7433" max="7433" width="14.6640625" style="820" customWidth="1"/>
    <col min="7434" max="7434" width="13.6640625" style="820" customWidth="1"/>
    <col min="7435" max="7435" width="10.77734375" style="820" bestFit="1" customWidth="1"/>
    <col min="7436" max="7680" width="8.88671875" style="820"/>
    <col min="7681" max="7681" width="8.6640625" style="820" customWidth="1"/>
    <col min="7682" max="7682" width="28.6640625" style="820" customWidth="1"/>
    <col min="7683" max="7684" width="15.6640625" style="820" customWidth="1"/>
    <col min="7685" max="7686" width="14.6640625" style="820" customWidth="1"/>
    <col min="7687" max="7688" width="15.6640625" style="820" customWidth="1"/>
    <col min="7689" max="7689" width="14.6640625" style="820" customWidth="1"/>
    <col min="7690" max="7690" width="13.6640625" style="820" customWidth="1"/>
    <col min="7691" max="7691" width="10.77734375" style="820" bestFit="1" customWidth="1"/>
    <col min="7692" max="7936" width="8.88671875" style="820"/>
    <col min="7937" max="7937" width="8.6640625" style="820" customWidth="1"/>
    <col min="7938" max="7938" width="28.6640625" style="820" customWidth="1"/>
    <col min="7939" max="7940" width="15.6640625" style="820" customWidth="1"/>
    <col min="7941" max="7942" width="14.6640625" style="820" customWidth="1"/>
    <col min="7943" max="7944" width="15.6640625" style="820" customWidth="1"/>
    <col min="7945" max="7945" width="14.6640625" style="820" customWidth="1"/>
    <col min="7946" max="7946" width="13.6640625" style="820" customWidth="1"/>
    <col min="7947" max="7947" width="10.77734375" style="820" bestFit="1" customWidth="1"/>
    <col min="7948" max="8192" width="8.88671875" style="820"/>
    <col min="8193" max="8193" width="8.6640625" style="820" customWidth="1"/>
    <col min="8194" max="8194" width="28.6640625" style="820" customWidth="1"/>
    <col min="8195" max="8196" width="15.6640625" style="820" customWidth="1"/>
    <col min="8197" max="8198" width="14.6640625" style="820" customWidth="1"/>
    <col min="8199" max="8200" width="15.6640625" style="820" customWidth="1"/>
    <col min="8201" max="8201" width="14.6640625" style="820" customWidth="1"/>
    <col min="8202" max="8202" width="13.6640625" style="820" customWidth="1"/>
    <col min="8203" max="8203" width="10.77734375" style="820" bestFit="1" customWidth="1"/>
    <col min="8204" max="8448" width="8.88671875" style="820"/>
    <col min="8449" max="8449" width="8.6640625" style="820" customWidth="1"/>
    <col min="8450" max="8450" width="28.6640625" style="820" customWidth="1"/>
    <col min="8451" max="8452" width="15.6640625" style="820" customWidth="1"/>
    <col min="8453" max="8454" width="14.6640625" style="820" customWidth="1"/>
    <col min="8455" max="8456" width="15.6640625" style="820" customWidth="1"/>
    <col min="8457" max="8457" width="14.6640625" style="820" customWidth="1"/>
    <col min="8458" max="8458" width="13.6640625" style="820" customWidth="1"/>
    <col min="8459" max="8459" width="10.77734375" style="820" bestFit="1" customWidth="1"/>
    <col min="8460" max="8704" width="8.88671875" style="820"/>
    <col min="8705" max="8705" width="8.6640625" style="820" customWidth="1"/>
    <col min="8706" max="8706" width="28.6640625" style="820" customWidth="1"/>
    <col min="8707" max="8708" width="15.6640625" style="820" customWidth="1"/>
    <col min="8709" max="8710" width="14.6640625" style="820" customWidth="1"/>
    <col min="8711" max="8712" width="15.6640625" style="820" customWidth="1"/>
    <col min="8713" max="8713" width="14.6640625" style="820" customWidth="1"/>
    <col min="8714" max="8714" width="13.6640625" style="820" customWidth="1"/>
    <col min="8715" max="8715" width="10.77734375" style="820" bestFit="1" customWidth="1"/>
    <col min="8716" max="8960" width="8.88671875" style="820"/>
    <col min="8961" max="8961" width="8.6640625" style="820" customWidth="1"/>
    <col min="8962" max="8962" width="28.6640625" style="820" customWidth="1"/>
    <col min="8963" max="8964" width="15.6640625" style="820" customWidth="1"/>
    <col min="8965" max="8966" width="14.6640625" style="820" customWidth="1"/>
    <col min="8967" max="8968" width="15.6640625" style="820" customWidth="1"/>
    <col min="8969" max="8969" width="14.6640625" style="820" customWidth="1"/>
    <col min="8970" max="8970" width="13.6640625" style="820" customWidth="1"/>
    <col min="8971" max="8971" width="10.77734375" style="820" bestFit="1" customWidth="1"/>
    <col min="8972" max="9216" width="8.88671875" style="820"/>
    <col min="9217" max="9217" width="8.6640625" style="820" customWidth="1"/>
    <col min="9218" max="9218" width="28.6640625" style="820" customWidth="1"/>
    <col min="9219" max="9220" width="15.6640625" style="820" customWidth="1"/>
    <col min="9221" max="9222" width="14.6640625" style="820" customWidth="1"/>
    <col min="9223" max="9224" width="15.6640625" style="820" customWidth="1"/>
    <col min="9225" max="9225" width="14.6640625" style="820" customWidth="1"/>
    <col min="9226" max="9226" width="13.6640625" style="820" customWidth="1"/>
    <col min="9227" max="9227" width="10.77734375" style="820" bestFit="1" customWidth="1"/>
    <col min="9228" max="9472" width="8.88671875" style="820"/>
    <col min="9473" max="9473" width="8.6640625" style="820" customWidth="1"/>
    <col min="9474" max="9474" width="28.6640625" style="820" customWidth="1"/>
    <col min="9475" max="9476" width="15.6640625" style="820" customWidth="1"/>
    <col min="9477" max="9478" width="14.6640625" style="820" customWidth="1"/>
    <col min="9479" max="9480" width="15.6640625" style="820" customWidth="1"/>
    <col min="9481" max="9481" width="14.6640625" style="820" customWidth="1"/>
    <col min="9482" max="9482" width="13.6640625" style="820" customWidth="1"/>
    <col min="9483" max="9483" width="10.77734375" style="820" bestFit="1" customWidth="1"/>
    <col min="9484" max="9728" width="8.88671875" style="820"/>
    <col min="9729" max="9729" width="8.6640625" style="820" customWidth="1"/>
    <col min="9730" max="9730" width="28.6640625" style="820" customWidth="1"/>
    <col min="9731" max="9732" width="15.6640625" style="820" customWidth="1"/>
    <col min="9733" max="9734" width="14.6640625" style="820" customWidth="1"/>
    <col min="9735" max="9736" width="15.6640625" style="820" customWidth="1"/>
    <col min="9737" max="9737" width="14.6640625" style="820" customWidth="1"/>
    <col min="9738" max="9738" width="13.6640625" style="820" customWidth="1"/>
    <col min="9739" max="9739" width="10.77734375" style="820" bestFit="1" customWidth="1"/>
    <col min="9740" max="9984" width="8.88671875" style="820"/>
    <col min="9985" max="9985" width="8.6640625" style="820" customWidth="1"/>
    <col min="9986" max="9986" width="28.6640625" style="820" customWidth="1"/>
    <col min="9987" max="9988" width="15.6640625" style="820" customWidth="1"/>
    <col min="9989" max="9990" width="14.6640625" style="820" customWidth="1"/>
    <col min="9991" max="9992" width="15.6640625" style="820" customWidth="1"/>
    <col min="9993" max="9993" width="14.6640625" style="820" customWidth="1"/>
    <col min="9994" max="9994" width="13.6640625" style="820" customWidth="1"/>
    <col min="9995" max="9995" width="10.77734375" style="820" bestFit="1" customWidth="1"/>
    <col min="9996" max="10240" width="8.88671875" style="820"/>
    <col min="10241" max="10241" width="8.6640625" style="820" customWidth="1"/>
    <col min="10242" max="10242" width="28.6640625" style="820" customWidth="1"/>
    <col min="10243" max="10244" width="15.6640625" style="820" customWidth="1"/>
    <col min="10245" max="10246" width="14.6640625" style="820" customWidth="1"/>
    <col min="10247" max="10248" width="15.6640625" style="820" customWidth="1"/>
    <col min="10249" max="10249" width="14.6640625" style="820" customWidth="1"/>
    <col min="10250" max="10250" width="13.6640625" style="820" customWidth="1"/>
    <col min="10251" max="10251" width="10.77734375" style="820" bestFit="1" customWidth="1"/>
    <col min="10252" max="10496" width="8.88671875" style="820"/>
    <col min="10497" max="10497" width="8.6640625" style="820" customWidth="1"/>
    <col min="10498" max="10498" width="28.6640625" style="820" customWidth="1"/>
    <col min="10499" max="10500" width="15.6640625" style="820" customWidth="1"/>
    <col min="10501" max="10502" width="14.6640625" style="820" customWidth="1"/>
    <col min="10503" max="10504" width="15.6640625" style="820" customWidth="1"/>
    <col min="10505" max="10505" width="14.6640625" style="820" customWidth="1"/>
    <col min="10506" max="10506" width="13.6640625" style="820" customWidth="1"/>
    <col min="10507" max="10507" width="10.77734375" style="820" bestFit="1" customWidth="1"/>
    <col min="10508" max="10752" width="8.88671875" style="820"/>
    <col min="10753" max="10753" width="8.6640625" style="820" customWidth="1"/>
    <col min="10754" max="10754" width="28.6640625" style="820" customWidth="1"/>
    <col min="10755" max="10756" width="15.6640625" style="820" customWidth="1"/>
    <col min="10757" max="10758" width="14.6640625" style="820" customWidth="1"/>
    <col min="10759" max="10760" width="15.6640625" style="820" customWidth="1"/>
    <col min="10761" max="10761" width="14.6640625" style="820" customWidth="1"/>
    <col min="10762" max="10762" width="13.6640625" style="820" customWidth="1"/>
    <col min="10763" max="10763" width="10.77734375" style="820" bestFit="1" customWidth="1"/>
    <col min="10764" max="11008" width="8.88671875" style="820"/>
    <col min="11009" max="11009" width="8.6640625" style="820" customWidth="1"/>
    <col min="11010" max="11010" width="28.6640625" style="820" customWidth="1"/>
    <col min="11011" max="11012" width="15.6640625" style="820" customWidth="1"/>
    <col min="11013" max="11014" width="14.6640625" style="820" customWidth="1"/>
    <col min="11015" max="11016" width="15.6640625" style="820" customWidth="1"/>
    <col min="11017" max="11017" width="14.6640625" style="820" customWidth="1"/>
    <col min="11018" max="11018" width="13.6640625" style="820" customWidth="1"/>
    <col min="11019" max="11019" width="10.77734375" style="820" bestFit="1" customWidth="1"/>
    <col min="11020" max="11264" width="8.88671875" style="820"/>
    <col min="11265" max="11265" width="8.6640625" style="820" customWidth="1"/>
    <col min="11266" max="11266" width="28.6640625" style="820" customWidth="1"/>
    <col min="11267" max="11268" width="15.6640625" style="820" customWidth="1"/>
    <col min="11269" max="11270" width="14.6640625" style="820" customWidth="1"/>
    <col min="11271" max="11272" width="15.6640625" style="820" customWidth="1"/>
    <col min="11273" max="11273" width="14.6640625" style="820" customWidth="1"/>
    <col min="11274" max="11274" width="13.6640625" style="820" customWidth="1"/>
    <col min="11275" max="11275" width="10.77734375" style="820" bestFit="1" customWidth="1"/>
    <col min="11276" max="11520" width="8.88671875" style="820"/>
    <col min="11521" max="11521" width="8.6640625" style="820" customWidth="1"/>
    <col min="11522" max="11522" width="28.6640625" style="820" customWidth="1"/>
    <col min="11523" max="11524" width="15.6640625" style="820" customWidth="1"/>
    <col min="11525" max="11526" width="14.6640625" style="820" customWidth="1"/>
    <col min="11527" max="11528" width="15.6640625" style="820" customWidth="1"/>
    <col min="11529" max="11529" width="14.6640625" style="820" customWidth="1"/>
    <col min="11530" max="11530" width="13.6640625" style="820" customWidth="1"/>
    <col min="11531" max="11531" width="10.77734375" style="820" bestFit="1" customWidth="1"/>
    <col min="11532" max="11776" width="8.88671875" style="820"/>
    <col min="11777" max="11777" width="8.6640625" style="820" customWidth="1"/>
    <col min="11778" max="11778" width="28.6640625" style="820" customWidth="1"/>
    <col min="11779" max="11780" width="15.6640625" style="820" customWidth="1"/>
    <col min="11781" max="11782" width="14.6640625" style="820" customWidth="1"/>
    <col min="11783" max="11784" width="15.6640625" style="820" customWidth="1"/>
    <col min="11785" max="11785" width="14.6640625" style="820" customWidth="1"/>
    <col min="11786" max="11786" width="13.6640625" style="820" customWidth="1"/>
    <col min="11787" max="11787" width="10.77734375" style="820" bestFit="1" customWidth="1"/>
    <col min="11788" max="12032" width="8.88671875" style="820"/>
    <col min="12033" max="12033" width="8.6640625" style="820" customWidth="1"/>
    <col min="12034" max="12034" width="28.6640625" style="820" customWidth="1"/>
    <col min="12035" max="12036" width="15.6640625" style="820" customWidth="1"/>
    <col min="12037" max="12038" width="14.6640625" style="820" customWidth="1"/>
    <col min="12039" max="12040" width="15.6640625" style="820" customWidth="1"/>
    <col min="12041" max="12041" width="14.6640625" style="820" customWidth="1"/>
    <col min="12042" max="12042" width="13.6640625" style="820" customWidth="1"/>
    <col min="12043" max="12043" width="10.77734375" style="820" bestFit="1" customWidth="1"/>
    <col min="12044" max="12288" width="8.88671875" style="820"/>
    <col min="12289" max="12289" width="8.6640625" style="820" customWidth="1"/>
    <col min="12290" max="12290" width="28.6640625" style="820" customWidth="1"/>
    <col min="12291" max="12292" width="15.6640625" style="820" customWidth="1"/>
    <col min="12293" max="12294" width="14.6640625" style="820" customWidth="1"/>
    <col min="12295" max="12296" width="15.6640625" style="820" customWidth="1"/>
    <col min="12297" max="12297" width="14.6640625" style="820" customWidth="1"/>
    <col min="12298" max="12298" width="13.6640625" style="820" customWidth="1"/>
    <col min="12299" max="12299" width="10.77734375" style="820" bestFit="1" customWidth="1"/>
    <col min="12300" max="12544" width="8.88671875" style="820"/>
    <col min="12545" max="12545" width="8.6640625" style="820" customWidth="1"/>
    <col min="12546" max="12546" width="28.6640625" style="820" customWidth="1"/>
    <col min="12547" max="12548" width="15.6640625" style="820" customWidth="1"/>
    <col min="12549" max="12550" width="14.6640625" style="820" customWidth="1"/>
    <col min="12551" max="12552" width="15.6640625" style="820" customWidth="1"/>
    <col min="12553" max="12553" width="14.6640625" style="820" customWidth="1"/>
    <col min="12554" max="12554" width="13.6640625" style="820" customWidth="1"/>
    <col min="12555" max="12555" width="10.77734375" style="820" bestFit="1" customWidth="1"/>
    <col min="12556" max="12800" width="8.88671875" style="820"/>
    <col min="12801" max="12801" width="8.6640625" style="820" customWidth="1"/>
    <col min="12802" max="12802" width="28.6640625" style="820" customWidth="1"/>
    <col min="12803" max="12804" width="15.6640625" style="820" customWidth="1"/>
    <col min="12805" max="12806" width="14.6640625" style="820" customWidth="1"/>
    <col min="12807" max="12808" width="15.6640625" style="820" customWidth="1"/>
    <col min="12809" max="12809" width="14.6640625" style="820" customWidth="1"/>
    <col min="12810" max="12810" width="13.6640625" style="820" customWidth="1"/>
    <col min="12811" max="12811" width="10.77734375" style="820" bestFit="1" customWidth="1"/>
    <col min="12812" max="13056" width="8.88671875" style="820"/>
    <col min="13057" max="13057" width="8.6640625" style="820" customWidth="1"/>
    <col min="13058" max="13058" width="28.6640625" style="820" customWidth="1"/>
    <col min="13059" max="13060" width="15.6640625" style="820" customWidth="1"/>
    <col min="13061" max="13062" width="14.6640625" style="820" customWidth="1"/>
    <col min="13063" max="13064" width="15.6640625" style="820" customWidth="1"/>
    <col min="13065" max="13065" width="14.6640625" style="820" customWidth="1"/>
    <col min="13066" max="13066" width="13.6640625" style="820" customWidth="1"/>
    <col min="13067" max="13067" width="10.77734375" style="820" bestFit="1" customWidth="1"/>
    <col min="13068" max="13312" width="8.88671875" style="820"/>
    <col min="13313" max="13313" width="8.6640625" style="820" customWidth="1"/>
    <col min="13314" max="13314" width="28.6640625" style="820" customWidth="1"/>
    <col min="13315" max="13316" width="15.6640625" style="820" customWidth="1"/>
    <col min="13317" max="13318" width="14.6640625" style="820" customWidth="1"/>
    <col min="13319" max="13320" width="15.6640625" style="820" customWidth="1"/>
    <col min="13321" max="13321" width="14.6640625" style="820" customWidth="1"/>
    <col min="13322" max="13322" width="13.6640625" style="820" customWidth="1"/>
    <col min="13323" max="13323" width="10.77734375" style="820" bestFit="1" customWidth="1"/>
    <col min="13324" max="13568" width="8.88671875" style="820"/>
    <col min="13569" max="13569" width="8.6640625" style="820" customWidth="1"/>
    <col min="13570" max="13570" width="28.6640625" style="820" customWidth="1"/>
    <col min="13571" max="13572" width="15.6640625" style="820" customWidth="1"/>
    <col min="13573" max="13574" width="14.6640625" style="820" customWidth="1"/>
    <col min="13575" max="13576" width="15.6640625" style="820" customWidth="1"/>
    <col min="13577" max="13577" width="14.6640625" style="820" customWidth="1"/>
    <col min="13578" max="13578" width="13.6640625" style="820" customWidth="1"/>
    <col min="13579" max="13579" width="10.77734375" style="820" bestFit="1" customWidth="1"/>
    <col min="13580" max="13824" width="8.88671875" style="820"/>
    <col min="13825" max="13825" width="8.6640625" style="820" customWidth="1"/>
    <col min="13826" max="13826" width="28.6640625" style="820" customWidth="1"/>
    <col min="13827" max="13828" width="15.6640625" style="820" customWidth="1"/>
    <col min="13829" max="13830" width="14.6640625" style="820" customWidth="1"/>
    <col min="13831" max="13832" width="15.6640625" style="820" customWidth="1"/>
    <col min="13833" max="13833" width="14.6640625" style="820" customWidth="1"/>
    <col min="13834" max="13834" width="13.6640625" style="820" customWidth="1"/>
    <col min="13835" max="13835" width="10.77734375" style="820" bestFit="1" customWidth="1"/>
    <col min="13836" max="14080" width="8.88671875" style="820"/>
    <col min="14081" max="14081" width="8.6640625" style="820" customWidth="1"/>
    <col min="14082" max="14082" width="28.6640625" style="820" customWidth="1"/>
    <col min="14083" max="14084" width="15.6640625" style="820" customWidth="1"/>
    <col min="14085" max="14086" width="14.6640625" style="820" customWidth="1"/>
    <col min="14087" max="14088" width="15.6640625" style="820" customWidth="1"/>
    <col min="14089" max="14089" width="14.6640625" style="820" customWidth="1"/>
    <col min="14090" max="14090" width="13.6640625" style="820" customWidth="1"/>
    <col min="14091" max="14091" width="10.77734375" style="820" bestFit="1" customWidth="1"/>
    <col min="14092" max="14336" width="8.88671875" style="820"/>
    <col min="14337" max="14337" width="8.6640625" style="820" customWidth="1"/>
    <col min="14338" max="14338" width="28.6640625" style="820" customWidth="1"/>
    <col min="14339" max="14340" width="15.6640625" style="820" customWidth="1"/>
    <col min="14341" max="14342" width="14.6640625" style="820" customWidth="1"/>
    <col min="14343" max="14344" width="15.6640625" style="820" customWidth="1"/>
    <col min="14345" max="14345" width="14.6640625" style="820" customWidth="1"/>
    <col min="14346" max="14346" width="13.6640625" style="820" customWidth="1"/>
    <col min="14347" max="14347" width="10.77734375" style="820" bestFit="1" customWidth="1"/>
    <col min="14348" max="14592" width="8.88671875" style="820"/>
    <col min="14593" max="14593" width="8.6640625" style="820" customWidth="1"/>
    <col min="14594" max="14594" width="28.6640625" style="820" customWidth="1"/>
    <col min="14595" max="14596" width="15.6640625" style="820" customWidth="1"/>
    <col min="14597" max="14598" width="14.6640625" style="820" customWidth="1"/>
    <col min="14599" max="14600" width="15.6640625" style="820" customWidth="1"/>
    <col min="14601" max="14601" width="14.6640625" style="820" customWidth="1"/>
    <col min="14602" max="14602" width="13.6640625" style="820" customWidth="1"/>
    <col min="14603" max="14603" width="10.77734375" style="820" bestFit="1" customWidth="1"/>
    <col min="14604" max="14848" width="8.88671875" style="820"/>
    <col min="14849" max="14849" width="8.6640625" style="820" customWidth="1"/>
    <col min="14850" max="14850" width="28.6640625" style="820" customWidth="1"/>
    <col min="14851" max="14852" width="15.6640625" style="820" customWidth="1"/>
    <col min="14853" max="14854" width="14.6640625" style="820" customWidth="1"/>
    <col min="14855" max="14856" width="15.6640625" style="820" customWidth="1"/>
    <col min="14857" max="14857" width="14.6640625" style="820" customWidth="1"/>
    <col min="14858" max="14858" width="13.6640625" style="820" customWidth="1"/>
    <col min="14859" max="14859" width="10.77734375" style="820" bestFit="1" customWidth="1"/>
    <col min="14860" max="15104" width="8.88671875" style="820"/>
    <col min="15105" max="15105" width="8.6640625" style="820" customWidth="1"/>
    <col min="15106" max="15106" width="28.6640625" style="820" customWidth="1"/>
    <col min="15107" max="15108" width="15.6640625" style="820" customWidth="1"/>
    <col min="15109" max="15110" width="14.6640625" style="820" customWidth="1"/>
    <col min="15111" max="15112" width="15.6640625" style="820" customWidth="1"/>
    <col min="15113" max="15113" width="14.6640625" style="820" customWidth="1"/>
    <col min="15114" max="15114" width="13.6640625" style="820" customWidth="1"/>
    <col min="15115" max="15115" width="10.77734375" style="820" bestFit="1" customWidth="1"/>
    <col min="15116" max="15360" width="8.88671875" style="820"/>
    <col min="15361" max="15361" width="8.6640625" style="820" customWidth="1"/>
    <col min="15362" max="15362" width="28.6640625" style="820" customWidth="1"/>
    <col min="15363" max="15364" width="15.6640625" style="820" customWidth="1"/>
    <col min="15365" max="15366" width="14.6640625" style="820" customWidth="1"/>
    <col min="15367" max="15368" width="15.6640625" style="820" customWidth="1"/>
    <col min="15369" max="15369" width="14.6640625" style="820" customWidth="1"/>
    <col min="15370" max="15370" width="13.6640625" style="820" customWidth="1"/>
    <col min="15371" max="15371" width="10.77734375" style="820" bestFit="1" customWidth="1"/>
    <col min="15372" max="15616" width="8.88671875" style="820"/>
    <col min="15617" max="15617" width="8.6640625" style="820" customWidth="1"/>
    <col min="15618" max="15618" width="28.6640625" style="820" customWidth="1"/>
    <col min="15619" max="15620" width="15.6640625" style="820" customWidth="1"/>
    <col min="15621" max="15622" width="14.6640625" style="820" customWidth="1"/>
    <col min="15623" max="15624" width="15.6640625" style="820" customWidth="1"/>
    <col min="15625" max="15625" width="14.6640625" style="820" customWidth="1"/>
    <col min="15626" max="15626" width="13.6640625" style="820" customWidth="1"/>
    <col min="15627" max="15627" width="10.77734375" style="820" bestFit="1" customWidth="1"/>
    <col min="15628" max="15872" width="8.88671875" style="820"/>
    <col min="15873" max="15873" width="8.6640625" style="820" customWidth="1"/>
    <col min="15874" max="15874" width="28.6640625" style="820" customWidth="1"/>
    <col min="15875" max="15876" width="15.6640625" style="820" customWidth="1"/>
    <col min="15877" max="15878" width="14.6640625" style="820" customWidth="1"/>
    <col min="15879" max="15880" width="15.6640625" style="820" customWidth="1"/>
    <col min="15881" max="15881" width="14.6640625" style="820" customWidth="1"/>
    <col min="15882" max="15882" width="13.6640625" style="820" customWidth="1"/>
    <col min="15883" max="15883" width="10.77734375" style="820" bestFit="1" customWidth="1"/>
    <col min="15884" max="16128" width="8.88671875" style="820"/>
    <col min="16129" max="16129" width="8.6640625" style="820" customWidth="1"/>
    <col min="16130" max="16130" width="28.6640625" style="820" customWidth="1"/>
    <col min="16131" max="16132" width="15.6640625" style="820" customWidth="1"/>
    <col min="16133" max="16134" width="14.6640625" style="820" customWidth="1"/>
    <col min="16135" max="16136" width="15.6640625" style="820" customWidth="1"/>
    <col min="16137" max="16137" width="14.6640625" style="820" customWidth="1"/>
    <col min="16138" max="16138" width="13.6640625" style="820" customWidth="1"/>
    <col min="16139" max="16139" width="10.77734375" style="820" bestFit="1" customWidth="1"/>
    <col min="16140" max="16384" width="8.88671875" style="820"/>
  </cols>
  <sheetData>
    <row r="1" spans="1:12" x14ac:dyDescent="0.25">
      <c r="A1" s="931" t="s">
        <v>726</v>
      </c>
      <c r="B1" s="932"/>
      <c r="C1" s="932"/>
      <c r="D1" s="932"/>
      <c r="E1" s="932"/>
      <c r="F1" s="932"/>
      <c r="G1" s="932"/>
      <c r="H1" s="934" t="s">
        <v>1148</v>
      </c>
      <c r="I1" s="932"/>
      <c r="J1" s="932"/>
    </row>
    <row r="2" spans="1:12" x14ac:dyDescent="0.25">
      <c r="A2" s="931" t="s">
        <v>728</v>
      </c>
      <c r="B2" s="932"/>
      <c r="C2" s="932"/>
      <c r="D2" s="932"/>
      <c r="E2" s="932"/>
      <c r="F2" s="932"/>
      <c r="G2" s="932"/>
      <c r="H2" s="934" t="s">
        <v>729</v>
      </c>
      <c r="I2" s="932"/>
      <c r="J2" s="932"/>
    </row>
    <row r="3" spans="1:12" x14ac:dyDescent="0.25">
      <c r="A3" s="935" t="s">
        <v>730</v>
      </c>
      <c r="B3" s="932"/>
      <c r="C3" s="932"/>
      <c r="D3" s="932"/>
      <c r="E3" s="932"/>
      <c r="F3" s="932"/>
      <c r="G3" s="932"/>
      <c r="H3" s="932"/>
      <c r="I3" s="932"/>
      <c r="J3" s="932"/>
    </row>
    <row r="4" spans="1:12" x14ac:dyDescent="0.25">
      <c r="A4" s="932"/>
      <c r="B4" s="932"/>
      <c r="C4" s="932"/>
      <c r="D4" s="932"/>
      <c r="E4" s="932"/>
      <c r="F4" s="932"/>
      <c r="G4" s="932"/>
      <c r="H4" s="932"/>
      <c r="I4" s="932"/>
      <c r="J4" s="932"/>
    </row>
    <row r="5" spans="1:12" x14ac:dyDescent="0.25">
      <c r="A5" s="931" t="s">
        <v>731</v>
      </c>
      <c r="B5" s="932"/>
      <c r="C5" s="932"/>
      <c r="D5" s="932"/>
      <c r="E5" s="932"/>
      <c r="F5" s="932"/>
      <c r="G5" s="932"/>
      <c r="H5" s="934" t="s">
        <v>732</v>
      </c>
      <c r="I5" s="932"/>
      <c r="J5" s="932"/>
    </row>
    <row r="6" spans="1:12" x14ac:dyDescent="0.25">
      <c r="A6" s="931" t="s">
        <v>1149</v>
      </c>
      <c r="B6" s="932"/>
      <c r="C6" s="932"/>
      <c r="D6" s="932"/>
      <c r="E6" s="932"/>
      <c r="F6" s="932"/>
      <c r="G6" s="932"/>
      <c r="H6" s="932"/>
      <c r="I6" s="932"/>
      <c r="J6" s="932"/>
    </row>
    <row r="7" spans="1:12" x14ac:dyDescent="0.25">
      <c r="A7" s="933" t="s">
        <v>734</v>
      </c>
      <c r="B7" s="932"/>
      <c r="C7" s="933" t="s">
        <v>735</v>
      </c>
      <c r="D7" s="932"/>
      <c r="E7" s="933" t="s">
        <v>736</v>
      </c>
      <c r="F7" s="932"/>
      <c r="G7" s="933" t="s">
        <v>737</v>
      </c>
      <c r="H7" s="932"/>
      <c r="I7" s="933" t="s">
        <v>738</v>
      </c>
      <c r="J7" s="932"/>
    </row>
    <row r="8" spans="1:12" x14ac:dyDescent="0.25">
      <c r="A8" s="823" t="s">
        <v>739</v>
      </c>
      <c r="B8" s="823" t="s">
        <v>429</v>
      </c>
      <c r="C8" s="824" t="s">
        <v>176</v>
      </c>
      <c r="D8" s="824" t="s">
        <v>177</v>
      </c>
      <c r="E8" s="824" t="s">
        <v>176</v>
      </c>
      <c r="F8" s="824" t="s">
        <v>177</v>
      </c>
      <c r="G8" s="824" t="s">
        <v>176</v>
      </c>
      <c r="H8" s="824" t="s">
        <v>177</v>
      </c>
      <c r="I8" s="824" t="s">
        <v>740</v>
      </c>
      <c r="J8" s="824" t="s">
        <v>741</v>
      </c>
      <c r="L8" s="815" t="s">
        <v>429</v>
      </c>
    </row>
    <row r="9" spans="1:12" x14ac:dyDescent="0.25">
      <c r="A9" s="823" t="s">
        <v>742</v>
      </c>
      <c r="B9" s="823" t="s">
        <v>743</v>
      </c>
      <c r="C9" s="825">
        <v>0</v>
      </c>
      <c r="D9" s="825">
        <v>200000</v>
      </c>
      <c r="E9" s="825">
        <v>0</v>
      </c>
      <c r="F9" s="825">
        <v>0</v>
      </c>
      <c r="G9" s="825">
        <v>0</v>
      </c>
      <c r="H9" s="825">
        <v>200000</v>
      </c>
      <c r="I9" s="825">
        <v>0</v>
      </c>
      <c r="J9" s="825">
        <v>200000</v>
      </c>
      <c r="K9" s="819">
        <f>I9-J9</f>
        <v>-200000</v>
      </c>
      <c r="L9" s="820" t="s">
        <v>744</v>
      </c>
    </row>
    <row r="10" spans="1:12" x14ac:dyDescent="0.25">
      <c r="A10" s="823" t="s">
        <v>745</v>
      </c>
      <c r="B10" s="823" t="s">
        <v>746</v>
      </c>
      <c r="C10" s="825">
        <v>0</v>
      </c>
      <c r="D10" s="825">
        <v>200000</v>
      </c>
      <c r="E10" s="825">
        <v>0</v>
      </c>
      <c r="F10" s="825">
        <v>0</v>
      </c>
      <c r="G10" s="825">
        <v>0</v>
      </c>
      <c r="H10" s="825">
        <v>200000</v>
      </c>
      <c r="I10" s="825">
        <v>0</v>
      </c>
      <c r="J10" s="825">
        <v>200000</v>
      </c>
      <c r="K10" s="819">
        <f t="shared" ref="K10:K73" si="0">I10-J10</f>
        <v>-200000</v>
      </c>
    </row>
    <row r="11" spans="1:12" x14ac:dyDescent="0.25">
      <c r="A11" s="823" t="s">
        <v>747</v>
      </c>
      <c r="B11" s="823" t="s">
        <v>748</v>
      </c>
      <c r="C11" s="825">
        <v>0</v>
      </c>
      <c r="D11" s="825">
        <v>595453.24</v>
      </c>
      <c r="E11" s="825">
        <v>0</v>
      </c>
      <c r="F11" s="825">
        <v>0</v>
      </c>
      <c r="G11" s="825">
        <v>0</v>
      </c>
      <c r="H11" s="825">
        <v>595453.24</v>
      </c>
      <c r="I11" s="825">
        <v>0</v>
      </c>
      <c r="J11" s="825">
        <v>595453.24</v>
      </c>
      <c r="K11" s="819">
        <f t="shared" si="0"/>
        <v>-595453.24</v>
      </c>
    </row>
    <row r="12" spans="1:12" x14ac:dyDescent="0.25">
      <c r="A12" s="823" t="s">
        <v>749</v>
      </c>
      <c r="B12" s="823" t="s">
        <v>750</v>
      </c>
      <c r="C12" s="825">
        <v>0</v>
      </c>
      <c r="D12" s="825">
        <v>40000</v>
      </c>
      <c r="E12" s="825">
        <v>0</v>
      </c>
      <c r="F12" s="825">
        <v>0</v>
      </c>
      <c r="G12" s="825">
        <v>0</v>
      </c>
      <c r="H12" s="825">
        <v>40000</v>
      </c>
      <c r="I12" s="825">
        <v>0</v>
      </c>
      <c r="J12" s="825">
        <v>40000</v>
      </c>
      <c r="K12" s="819">
        <f t="shared" si="0"/>
        <v>-40000</v>
      </c>
      <c r="L12" s="820" t="s">
        <v>751</v>
      </c>
    </row>
    <row r="13" spans="1:12" x14ac:dyDescent="0.25">
      <c r="A13" s="823" t="s">
        <v>752</v>
      </c>
      <c r="B13" s="823" t="s">
        <v>753</v>
      </c>
      <c r="C13" s="825">
        <v>0</v>
      </c>
      <c r="D13" s="825">
        <v>555453.24</v>
      </c>
      <c r="E13" s="825">
        <v>0</v>
      </c>
      <c r="F13" s="825">
        <v>0</v>
      </c>
      <c r="G13" s="825">
        <v>0</v>
      </c>
      <c r="H13" s="825">
        <v>555453.24</v>
      </c>
      <c r="I13" s="825">
        <v>0</v>
      </c>
      <c r="J13" s="825">
        <v>555453.24</v>
      </c>
      <c r="K13" s="819">
        <f t="shared" si="0"/>
        <v>-555453.24</v>
      </c>
      <c r="L13" s="820" t="s">
        <v>754</v>
      </c>
    </row>
    <row r="14" spans="1:12" x14ac:dyDescent="0.25">
      <c r="A14" s="823" t="s">
        <v>755</v>
      </c>
      <c r="B14" s="823" t="s">
        <v>756</v>
      </c>
      <c r="C14" s="825">
        <v>2150000</v>
      </c>
      <c r="D14" s="825">
        <v>4452122.51</v>
      </c>
      <c r="E14" s="825">
        <v>1182926.8700000001</v>
      </c>
      <c r="F14" s="825">
        <v>0</v>
      </c>
      <c r="G14" s="825">
        <v>3332926.87</v>
      </c>
      <c r="H14" s="825">
        <v>4452122.51</v>
      </c>
      <c r="I14" s="825">
        <v>0</v>
      </c>
      <c r="J14" s="825">
        <v>1119195.6400000001</v>
      </c>
      <c r="K14" s="819">
        <f t="shared" si="0"/>
        <v>-1119195.6400000001</v>
      </c>
      <c r="L14" s="820" t="s">
        <v>757</v>
      </c>
    </row>
    <row r="15" spans="1:12" x14ac:dyDescent="0.25">
      <c r="A15" s="823" t="s">
        <v>758</v>
      </c>
      <c r="B15" s="823" t="s">
        <v>756</v>
      </c>
      <c r="C15" s="825">
        <v>2150000</v>
      </c>
      <c r="D15" s="825">
        <v>4452122.51</v>
      </c>
      <c r="E15" s="825">
        <v>1182926.8700000001</v>
      </c>
      <c r="F15" s="825">
        <v>0</v>
      </c>
      <c r="G15" s="825">
        <v>3332926.87</v>
      </c>
      <c r="H15" s="825">
        <v>4452122.51</v>
      </c>
      <c r="I15" s="825">
        <v>0</v>
      </c>
      <c r="J15" s="825">
        <v>1119195.6400000001</v>
      </c>
      <c r="K15" s="819">
        <f t="shared" si="0"/>
        <v>-1119195.6400000001</v>
      </c>
    </row>
    <row r="16" spans="1:12" x14ac:dyDescent="0.25">
      <c r="A16" s="823" t="s">
        <v>759</v>
      </c>
      <c r="B16" s="823" t="s">
        <v>760</v>
      </c>
      <c r="C16" s="825">
        <v>40802530.810000002</v>
      </c>
      <c r="D16" s="825">
        <v>44102499.450000003</v>
      </c>
      <c r="E16" s="825">
        <v>2593447.71</v>
      </c>
      <c r="F16" s="825">
        <v>1292230.3500000001</v>
      </c>
      <c r="G16" s="825">
        <v>43395978.520000003</v>
      </c>
      <c r="H16" s="825">
        <v>45394729.800000004</v>
      </c>
      <c r="I16" s="825">
        <v>0</v>
      </c>
      <c r="J16" s="825">
        <v>1998751.28</v>
      </c>
      <c r="K16" s="819">
        <f t="shared" si="0"/>
        <v>-1998751.28</v>
      </c>
    </row>
    <row r="17" spans="1:12" x14ac:dyDescent="0.25">
      <c r="A17" s="823" t="s">
        <v>761</v>
      </c>
      <c r="B17" s="823" t="s">
        <v>762</v>
      </c>
      <c r="C17" s="825">
        <v>39675632.509999998</v>
      </c>
      <c r="D17" s="825">
        <v>42975601.149999999</v>
      </c>
      <c r="E17" s="825">
        <v>2593447.71</v>
      </c>
      <c r="F17" s="825">
        <v>1292230.3500000001</v>
      </c>
      <c r="G17" s="825">
        <v>42269080.219999999</v>
      </c>
      <c r="H17" s="825">
        <v>44267831.5</v>
      </c>
      <c r="I17" s="825">
        <v>0</v>
      </c>
      <c r="J17" s="825">
        <v>1998751.28</v>
      </c>
      <c r="K17" s="819">
        <f t="shared" si="0"/>
        <v>-1998751.28</v>
      </c>
      <c r="L17" s="820" t="s">
        <v>763</v>
      </c>
    </row>
    <row r="18" spans="1:12" x14ac:dyDescent="0.25">
      <c r="A18" s="823" t="s">
        <v>764</v>
      </c>
      <c r="B18" s="823" t="s">
        <v>765</v>
      </c>
      <c r="C18" s="825">
        <v>1126898.3</v>
      </c>
      <c r="D18" s="825">
        <v>1126898.3</v>
      </c>
      <c r="E18" s="825">
        <v>0</v>
      </c>
      <c r="F18" s="825">
        <v>0</v>
      </c>
      <c r="G18" s="825">
        <v>1126898.3</v>
      </c>
      <c r="H18" s="825">
        <v>1126898.3</v>
      </c>
      <c r="I18" s="825">
        <v>0</v>
      </c>
      <c r="J18" s="825">
        <v>0</v>
      </c>
      <c r="K18" s="819">
        <f t="shared" si="0"/>
        <v>0</v>
      </c>
      <c r="L18" s="820" t="s">
        <v>763</v>
      </c>
    </row>
    <row r="19" spans="1:12" x14ac:dyDescent="0.25">
      <c r="A19" s="823" t="s">
        <v>766</v>
      </c>
      <c r="B19" s="823" t="s">
        <v>767</v>
      </c>
      <c r="C19" s="825">
        <v>1126898.3</v>
      </c>
      <c r="D19" s="825">
        <v>1126898.3</v>
      </c>
      <c r="E19" s="825">
        <v>0</v>
      </c>
      <c r="F19" s="825">
        <v>0</v>
      </c>
      <c r="G19" s="825">
        <v>1126898.3</v>
      </c>
      <c r="H19" s="825">
        <v>1126898.3</v>
      </c>
      <c r="I19" s="825">
        <v>0</v>
      </c>
      <c r="J19" s="825">
        <v>0</v>
      </c>
      <c r="K19" s="819">
        <f t="shared" si="0"/>
        <v>0</v>
      </c>
    </row>
    <row r="20" spans="1:12" x14ac:dyDescent="0.25">
      <c r="A20" s="823" t="s">
        <v>1150</v>
      </c>
      <c r="B20" s="823" t="s">
        <v>1151</v>
      </c>
      <c r="C20" s="825">
        <v>1126898.3</v>
      </c>
      <c r="D20" s="825">
        <v>1126898.3</v>
      </c>
      <c r="E20" s="825">
        <v>0</v>
      </c>
      <c r="F20" s="825">
        <v>0</v>
      </c>
      <c r="G20" s="825">
        <v>1126898.3</v>
      </c>
      <c r="H20" s="825">
        <v>1126898.3</v>
      </c>
      <c r="I20" s="825">
        <v>0</v>
      </c>
      <c r="J20" s="825">
        <v>0</v>
      </c>
      <c r="K20" s="819">
        <f t="shared" si="0"/>
        <v>0</v>
      </c>
      <c r="L20" s="820" t="s">
        <v>770</v>
      </c>
    </row>
    <row r="21" spans="1:12" x14ac:dyDescent="0.25">
      <c r="A21" s="823" t="s">
        <v>771</v>
      </c>
      <c r="B21" s="823" t="s">
        <v>772</v>
      </c>
      <c r="C21" s="825">
        <v>153023.75</v>
      </c>
      <c r="D21" s="825">
        <v>266059.08</v>
      </c>
      <c r="E21" s="825">
        <v>15536.54</v>
      </c>
      <c r="F21" s="825">
        <v>0</v>
      </c>
      <c r="G21" s="825">
        <v>168560.29</v>
      </c>
      <c r="H21" s="825">
        <v>266059.08</v>
      </c>
      <c r="I21" s="825">
        <v>0</v>
      </c>
      <c r="J21" s="825">
        <v>97498.790000000008</v>
      </c>
      <c r="K21" s="819">
        <f t="shared" si="0"/>
        <v>-97498.790000000008</v>
      </c>
    </row>
    <row r="22" spans="1:12" x14ac:dyDescent="0.25">
      <c r="A22" s="823" t="s">
        <v>773</v>
      </c>
      <c r="B22" s="823" t="s">
        <v>774</v>
      </c>
      <c r="C22" s="825">
        <v>12417.31</v>
      </c>
      <c r="D22" s="825">
        <v>31272.06</v>
      </c>
      <c r="E22" s="825">
        <v>1177.6000000000001</v>
      </c>
      <c r="F22" s="825">
        <v>0</v>
      </c>
      <c r="G22" s="825">
        <v>13594.91</v>
      </c>
      <c r="H22" s="825">
        <v>31272.06</v>
      </c>
      <c r="I22" s="825">
        <v>0</v>
      </c>
      <c r="J22" s="825">
        <v>17677.150000000001</v>
      </c>
      <c r="K22" s="819">
        <f t="shared" si="0"/>
        <v>-17677.150000000001</v>
      </c>
      <c r="L22" s="821" t="s">
        <v>775</v>
      </c>
    </row>
    <row r="23" spans="1:12" x14ac:dyDescent="0.25">
      <c r="A23" s="823" t="s">
        <v>776</v>
      </c>
      <c r="B23" s="823" t="s">
        <v>777</v>
      </c>
      <c r="C23" s="825">
        <v>140606.44</v>
      </c>
      <c r="D23" s="825">
        <v>234787.02000000002</v>
      </c>
      <c r="E23" s="825">
        <v>14358.94</v>
      </c>
      <c r="F23" s="825">
        <v>0</v>
      </c>
      <c r="G23" s="825">
        <v>154965.38</v>
      </c>
      <c r="H23" s="825">
        <v>234787.02000000002</v>
      </c>
      <c r="I23" s="825">
        <v>0</v>
      </c>
      <c r="J23" s="825">
        <v>79821.64</v>
      </c>
      <c r="K23" s="819">
        <f t="shared" si="0"/>
        <v>-79821.64</v>
      </c>
      <c r="L23" s="821" t="s">
        <v>775</v>
      </c>
    </row>
    <row r="24" spans="1:12" x14ac:dyDescent="0.25">
      <c r="A24" s="823" t="s">
        <v>778</v>
      </c>
      <c r="B24" s="823" t="s">
        <v>779</v>
      </c>
      <c r="C24" s="825">
        <v>16766.189999999999</v>
      </c>
      <c r="D24" s="825">
        <v>0</v>
      </c>
      <c r="E24" s="825">
        <v>0</v>
      </c>
      <c r="F24" s="825">
        <v>0</v>
      </c>
      <c r="G24" s="825">
        <v>16766.189999999999</v>
      </c>
      <c r="H24" s="825">
        <v>0</v>
      </c>
      <c r="I24" s="825">
        <v>16766.189999999999</v>
      </c>
      <c r="J24" s="825">
        <v>0</v>
      </c>
      <c r="K24" s="819">
        <f t="shared" si="0"/>
        <v>16766.189999999999</v>
      </c>
      <c r="L24" s="821" t="s">
        <v>780</v>
      </c>
    </row>
    <row r="25" spans="1:12" x14ac:dyDescent="0.25">
      <c r="A25" s="823" t="s">
        <v>781</v>
      </c>
      <c r="B25" s="823" t="s">
        <v>782</v>
      </c>
      <c r="C25" s="825">
        <v>4923</v>
      </c>
      <c r="D25" s="825">
        <v>0</v>
      </c>
      <c r="E25" s="825">
        <v>0</v>
      </c>
      <c r="F25" s="825">
        <v>0</v>
      </c>
      <c r="G25" s="825">
        <v>4923</v>
      </c>
      <c r="H25" s="825">
        <v>0</v>
      </c>
      <c r="I25" s="825">
        <v>4923</v>
      </c>
      <c r="J25" s="825">
        <v>0</v>
      </c>
      <c r="K25" s="819">
        <f t="shared" si="0"/>
        <v>4923</v>
      </c>
      <c r="L25" s="821" t="s">
        <v>780</v>
      </c>
    </row>
    <row r="26" spans="1:12" x14ac:dyDescent="0.25">
      <c r="A26" s="823" t="s">
        <v>783</v>
      </c>
      <c r="B26" s="823" t="s">
        <v>784</v>
      </c>
      <c r="C26" s="825">
        <v>4500</v>
      </c>
      <c r="D26" s="825">
        <v>0</v>
      </c>
      <c r="E26" s="825">
        <v>0</v>
      </c>
      <c r="F26" s="825">
        <v>0</v>
      </c>
      <c r="G26" s="825">
        <v>4500</v>
      </c>
      <c r="H26" s="825">
        <v>0</v>
      </c>
      <c r="I26" s="825">
        <v>4500</v>
      </c>
      <c r="J26" s="825">
        <v>0</v>
      </c>
      <c r="K26" s="819">
        <f t="shared" si="0"/>
        <v>4500</v>
      </c>
      <c r="L26" s="821" t="s">
        <v>780</v>
      </c>
    </row>
    <row r="27" spans="1:12" x14ac:dyDescent="0.25">
      <c r="A27" s="823" t="s">
        <v>785</v>
      </c>
      <c r="B27" s="823" t="s">
        <v>786</v>
      </c>
      <c r="C27" s="825">
        <v>20000</v>
      </c>
      <c r="D27" s="825">
        <v>0</v>
      </c>
      <c r="E27" s="825">
        <v>0</v>
      </c>
      <c r="F27" s="825">
        <v>0</v>
      </c>
      <c r="G27" s="825">
        <v>20000</v>
      </c>
      <c r="H27" s="825">
        <v>0</v>
      </c>
      <c r="I27" s="825">
        <v>20000</v>
      </c>
      <c r="J27" s="825">
        <v>0</v>
      </c>
      <c r="K27" s="819">
        <f t="shared" si="0"/>
        <v>20000</v>
      </c>
      <c r="L27" s="820" t="s">
        <v>787</v>
      </c>
    </row>
    <row r="28" spans="1:12" x14ac:dyDescent="0.25">
      <c r="A28" s="823" t="s">
        <v>788</v>
      </c>
      <c r="B28" s="823" t="s">
        <v>786</v>
      </c>
      <c r="C28" s="825">
        <v>20000</v>
      </c>
      <c r="D28" s="825">
        <v>0</v>
      </c>
      <c r="E28" s="825">
        <v>0</v>
      </c>
      <c r="F28" s="825">
        <v>0</v>
      </c>
      <c r="G28" s="825">
        <v>20000</v>
      </c>
      <c r="H28" s="825">
        <v>0</v>
      </c>
      <c r="I28" s="825">
        <v>20000</v>
      </c>
      <c r="J28" s="825">
        <v>0</v>
      </c>
      <c r="K28" s="819">
        <f t="shared" si="0"/>
        <v>20000</v>
      </c>
    </row>
    <row r="29" spans="1:12" x14ac:dyDescent="0.25">
      <c r="A29" s="823" t="s">
        <v>789</v>
      </c>
      <c r="B29" s="823" t="s">
        <v>790</v>
      </c>
      <c r="C29" s="825">
        <v>2280549.89</v>
      </c>
      <c r="D29" s="825">
        <v>225900.28</v>
      </c>
      <c r="E29" s="825">
        <v>0</v>
      </c>
      <c r="F29" s="825">
        <v>0</v>
      </c>
      <c r="G29" s="825">
        <v>2280549.89</v>
      </c>
      <c r="H29" s="825">
        <v>225900.28</v>
      </c>
      <c r="I29" s="825">
        <v>2054649.61</v>
      </c>
      <c r="J29" s="825">
        <v>0</v>
      </c>
      <c r="K29" s="819">
        <f t="shared" si="0"/>
        <v>2054649.61</v>
      </c>
      <c r="L29" s="820" t="s">
        <v>791</v>
      </c>
    </row>
    <row r="30" spans="1:12" x14ac:dyDescent="0.25">
      <c r="A30" s="823" t="s">
        <v>792</v>
      </c>
      <c r="B30" s="823" t="s">
        <v>793</v>
      </c>
      <c r="C30" s="825">
        <v>141120.4</v>
      </c>
      <c r="D30" s="825">
        <v>0</v>
      </c>
      <c r="E30" s="825">
        <v>0</v>
      </c>
      <c r="F30" s="825">
        <v>0</v>
      </c>
      <c r="G30" s="825">
        <v>141120.4</v>
      </c>
      <c r="H30" s="825">
        <v>0</v>
      </c>
      <c r="I30" s="825">
        <v>141120.4</v>
      </c>
      <c r="J30" s="825">
        <v>0</v>
      </c>
      <c r="K30" s="819">
        <f t="shared" si="0"/>
        <v>141120.4</v>
      </c>
    </row>
    <row r="31" spans="1:12" x14ac:dyDescent="0.25">
      <c r="A31" s="823" t="s">
        <v>794</v>
      </c>
      <c r="B31" s="823" t="s">
        <v>795</v>
      </c>
      <c r="C31" s="825">
        <v>45133.66</v>
      </c>
      <c r="D31" s="825">
        <v>0</v>
      </c>
      <c r="E31" s="825">
        <v>0</v>
      </c>
      <c r="F31" s="825">
        <v>0</v>
      </c>
      <c r="G31" s="825">
        <v>45133.66</v>
      </c>
      <c r="H31" s="825">
        <v>0</v>
      </c>
      <c r="I31" s="825">
        <v>45133.66</v>
      </c>
      <c r="J31" s="825">
        <v>0</v>
      </c>
      <c r="K31" s="819">
        <f t="shared" si="0"/>
        <v>45133.66</v>
      </c>
      <c r="L31" s="820" t="s">
        <v>791</v>
      </c>
    </row>
    <row r="32" spans="1:12" x14ac:dyDescent="0.25">
      <c r="A32" s="823" t="s">
        <v>796</v>
      </c>
      <c r="B32" s="823" t="s">
        <v>797</v>
      </c>
      <c r="C32" s="825">
        <v>49240</v>
      </c>
      <c r="D32" s="825">
        <v>0</v>
      </c>
      <c r="E32" s="825">
        <v>0</v>
      </c>
      <c r="F32" s="825">
        <v>0</v>
      </c>
      <c r="G32" s="825">
        <v>49240</v>
      </c>
      <c r="H32" s="825">
        <v>0</v>
      </c>
      <c r="I32" s="825">
        <v>49240</v>
      </c>
      <c r="J32" s="825">
        <v>0</v>
      </c>
      <c r="K32" s="819">
        <f t="shared" si="0"/>
        <v>49240</v>
      </c>
    </row>
    <row r="33" spans="1:12" x14ac:dyDescent="0.25">
      <c r="A33" s="823" t="s">
        <v>798</v>
      </c>
      <c r="B33" s="823" t="s">
        <v>799</v>
      </c>
      <c r="C33" s="825">
        <v>2090189.49</v>
      </c>
      <c r="D33" s="825">
        <v>225900.28</v>
      </c>
      <c r="E33" s="825">
        <v>0</v>
      </c>
      <c r="F33" s="825">
        <v>0</v>
      </c>
      <c r="G33" s="825">
        <v>2090189.49</v>
      </c>
      <c r="H33" s="825">
        <v>225900.28</v>
      </c>
      <c r="I33" s="825">
        <v>1864289.21</v>
      </c>
      <c r="J33" s="825">
        <v>0</v>
      </c>
      <c r="K33" s="819">
        <f t="shared" si="0"/>
        <v>1864289.21</v>
      </c>
    </row>
    <row r="34" spans="1:12" x14ac:dyDescent="0.25">
      <c r="A34" s="823" t="s">
        <v>800</v>
      </c>
      <c r="B34" s="823" t="s">
        <v>801</v>
      </c>
      <c r="C34" s="825">
        <v>207402.93</v>
      </c>
      <c r="D34" s="825">
        <v>0</v>
      </c>
      <c r="E34" s="825">
        <v>0</v>
      </c>
      <c r="F34" s="825">
        <v>0</v>
      </c>
      <c r="G34" s="825">
        <v>207402.93</v>
      </c>
      <c r="H34" s="825">
        <v>0</v>
      </c>
      <c r="I34" s="825">
        <v>207402.93</v>
      </c>
      <c r="J34" s="825">
        <v>0</v>
      </c>
      <c r="K34" s="819">
        <f t="shared" si="0"/>
        <v>207402.93</v>
      </c>
      <c r="L34" s="820" t="s">
        <v>802</v>
      </c>
    </row>
    <row r="35" spans="1:12" x14ac:dyDescent="0.25">
      <c r="A35" s="823" t="s">
        <v>803</v>
      </c>
      <c r="B35" s="823" t="s">
        <v>804</v>
      </c>
      <c r="C35" s="825">
        <v>74168.5</v>
      </c>
      <c r="D35" s="825">
        <v>59810</v>
      </c>
      <c r="E35" s="825">
        <v>0</v>
      </c>
      <c r="F35" s="825">
        <v>0</v>
      </c>
      <c r="G35" s="825">
        <v>74168.5</v>
      </c>
      <c r="H35" s="825">
        <v>59810</v>
      </c>
      <c r="I35" s="825">
        <v>14358.5</v>
      </c>
      <c r="J35" s="825">
        <v>0</v>
      </c>
      <c r="K35" s="819">
        <f t="shared" si="0"/>
        <v>14358.5</v>
      </c>
      <c r="L35" s="826" t="s">
        <v>1190</v>
      </c>
    </row>
    <row r="36" spans="1:12" x14ac:dyDescent="0.25">
      <c r="A36" s="823" t="s">
        <v>805</v>
      </c>
      <c r="B36" s="823" t="s">
        <v>806</v>
      </c>
      <c r="C36" s="825">
        <v>284702.7</v>
      </c>
      <c r="D36" s="825">
        <v>0</v>
      </c>
      <c r="E36" s="825">
        <v>0</v>
      </c>
      <c r="F36" s="825">
        <v>0</v>
      </c>
      <c r="G36" s="825">
        <v>284702.7</v>
      </c>
      <c r="H36" s="825">
        <v>0</v>
      </c>
      <c r="I36" s="825">
        <v>284702.7</v>
      </c>
      <c r="J36" s="825">
        <v>0</v>
      </c>
      <c r="K36" s="819">
        <f t="shared" si="0"/>
        <v>284702.7</v>
      </c>
      <c r="L36" s="820" t="s">
        <v>868</v>
      </c>
    </row>
    <row r="37" spans="1:12" x14ac:dyDescent="0.25">
      <c r="A37" s="823" t="s">
        <v>807</v>
      </c>
      <c r="B37" s="823" t="s">
        <v>808</v>
      </c>
      <c r="C37" s="825">
        <v>284702.7</v>
      </c>
      <c r="D37" s="825">
        <v>0</v>
      </c>
      <c r="E37" s="825">
        <v>0</v>
      </c>
      <c r="F37" s="825">
        <v>0</v>
      </c>
      <c r="G37" s="825">
        <v>284702.7</v>
      </c>
      <c r="H37" s="825">
        <v>0</v>
      </c>
      <c r="I37" s="825">
        <v>284702.7</v>
      </c>
      <c r="J37" s="825">
        <v>0</v>
      </c>
      <c r="K37" s="819">
        <f t="shared" si="0"/>
        <v>284702.7</v>
      </c>
    </row>
    <row r="38" spans="1:12" x14ac:dyDescent="0.25">
      <c r="A38" s="823" t="s">
        <v>809</v>
      </c>
      <c r="B38" s="823" t="s">
        <v>810</v>
      </c>
      <c r="C38" s="825">
        <v>0</v>
      </c>
      <c r="D38" s="825">
        <v>20452.86</v>
      </c>
      <c r="E38" s="825">
        <v>0</v>
      </c>
      <c r="F38" s="825">
        <v>552.78</v>
      </c>
      <c r="G38" s="825">
        <v>0</v>
      </c>
      <c r="H38" s="825">
        <v>21005.64</v>
      </c>
      <c r="I38" s="825">
        <v>0</v>
      </c>
      <c r="J38" s="825">
        <v>21005.64</v>
      </c>
      <c r="K38" s="819">
        <f t="shared" si="0"/>
        <v>-21005.64</v>
      </c>
    </row>
    <row r="39" spans="1:12" x14ac:dyDescent="0.25">
      <c r="A39" s="823" t="s">
        <v>811</v>
      </c>
      <c r="B39" s="823" t="s">
        <v>812</v>
      </c>
      <c r="C39" s="825">
        <v>0</v>
      </c>
      <c r="D39" s="825">
        <v>4625</v>
      </c>
      <c r="E39" s="825">
        <v>0</v>
      </c>
      <c r="F39" s="825">
        <v>125</v>
      </c>
      <c r="G39" s="825">
        <v>0</v>
      </c>
      <c r="H39" s="825">
        <v>4750</v>
      </c>
      <c r="I39" s="825">
        <v>0</v>
      </c>
      <c r="J39" s="825">
        <v>4750</v>
      </c>
      <c r="K39" s="819">
        <f t="shared" si="0"/>
        <v>-4750</v>
      </c>
      <c r="L39" s="821" t="s">
        <v>780</v>
      </c>
    </row>
    <row r="40" spans="1:12" x14ac:dyDescent="0.25">
      <c r="A40" s="823" t="s">
        <v>813</v>
      </c>
      <c r="B40" s="823" t="s">
        <v>814</v>
      </c>
      <c r="C40" s="825">
        <v>0</v>
      </c>
      <c r="D40" s="825">
        <v>15827.86</v>
      </c>
      <c r="E40" s="825">
        <v>0</v>
      </c>
      <c r="F40" s="825">
        <v>427.78000000000003</v>
      </c>
      <c r="G40" s="825">
        <v>0</v>
      </c>
      <c r="H40" s="825">
        <v>16255.640000000001</v>
      </c>
      <c r="I40" s="825">
        <v>0</v>
      </c>
      <c r="J40" s="825">
        <v>16255.640000000001</v>
      </c>
      <c r="K40" s="819">
        <f t="shared" si="0"/>
        <v>-16255.640000000001</v>
      </c>
      <c r="L40" s="821" t="s">
        <v>780</v>
      </c>
    </row>
    <row r="41" spans="1:12" x14ac:dyDescent="0.25">
      <c r="A41" s="823" t="s">
        <v>815</v>
      </c>
      <c r="B41" s="823" t="s">
        <v>816</v>
      </c>
      <c r="C41" s="825">
        <v>211978.41</v>
      </c>
      <c r="D41" s="825">
        <v>1975251.4000000001</v>
      </c>
      <c r="E41" s="825">
        <v>0</v>
      </c>
      <c r="F41" s="825">
        <v>25342.95</v>
      </c>
      <c r="G41" s="825">
        <v>211978.41</v>
      </c>
      <c r="H41" s="825">
        <v>2000594.35</v>
      </c>
      <c r="I41" s="825">
        <v>0</v>
      </c>
      <c r="J41" s="825">
        <v>1788615.94</v>
      </c>
      <c r="K41" s="819">
        <f t="shared" si="0"/>
        <v>-1788615.94</v>
      </c>
      <c r="L41" s="820" t="s">
        <v>791</v>
      </c>
    </row>
    <row r="42" spans="1:12" x14ac:dyDescent="0.25">
      <c r="A42" s="823" t="s">
        <v>817</v>
      </c>
      <c r="B42" s="823" t="s">
        <v>818</v>
      </c>
      <c r="C42" s="825">
        <v>0</v>
      </c>
      <c r="D42" s="825">
        <v>4189.34</v>
      </c>
      <c r="E42" s="825">
        <v>0</v>
      </c>
      <c r="F42" s="825">
        <v>0</v>
      </c>
      <c r="G42" s="825">
        <v>0</v>
      </c>
      <c r="H42" s="825">
        <v>4189.34</v>
      </c>
      <c r="I42" s="825">
        <v>0</v>
      </c>
      <c r="J42" s="825">
        <v>4189.34</v>
      </c>
      <c r="K42" s="819">
        <f t="shared" si="0"/>
        <v>-4189.34</v>
      </c>
    </row>
    <row r="43" spans="1:12" x14ac:dyDescent="0.25">
      <c r="A43" s="823" t="s">
        <v>819</v>
      </c>
      <c r="B43" s="823" t="s">
        <v>820</v>
      </c>
      <c r="C43" s="825">
        <v>211978.41</v>
      </c>
      <c r="D43" s="825">
        <v>1797082.59</v>
      </c>
      <c r="E43" s="825">
        <v>0</v>
      </c>
      <c r="F43" s="825">
        <v>24236.95</v>
      </c>
      <c r="G43" s="825">
        <v>211978.41</v>
      </c>
      <c r="H43" s="825">
        <v>1821319.54</v>
      </c>
      <c r="I43" s="825">
        <v>0</v>
      </c>
      <c r="J43" s="825">
        <v>1609341.1300000001</v>
      </c>
      <c r="K43" s="819">
        <f t="shared" si="0"/>
        <v>-1609341.1300000001</v>
      </c>
    </row>
    <row r="44" spans="1:12" x14ac:dyDescent="0.25">
      <c r="A44" s="823" t="s">
        <v>821</v>
      </c>
      <c r="B44" s="823" t="s">
        <v>822</v>
      </c>
      <c r="C44" s="825">
        <v>0</v>
      </c>
      <c r="D44" s="825">
        <v>173979.47</v>
      </c>
      <c r="E44" s="825">
        <v>0</v>
      </c>
      <c r="F44" s="825">
        <v>1106</v>
      </c>
      <c r="G44" s="825">
        <v>0</v>
      </c>
      <c r="H44" s="825">
        <v>175085.47</v>
      </c>
      <c r="I44" s="825">
        <v>0</v>
      </c>
      <c r="J44" s="825">
        <v>175085.47</v>
      </c>
      <c r="K44" s="819">
        <f t="shared" si="0"/>
        <v>-175085.47</v>
      </c>
    </row>
    <row r="45" spans="1:12" x14ac:dyDescent="0.25">
      <c r="A45" s="823" t="s">
        <v>823</v>
      </c>
      <c r="B45" s="823" t="s">
        <v>824</v>
      </c>
      <c r="C45" s="825">
        <v>28079978.940000001</v>
      </c>
      <c r="D45" s="825">
        <v>24495281.030000001</v>
      </c>
      <c r="E45" s="825">
        <v>702260.72</v>
      </c>
      <c r="F45" s="825">
        <v>759276.11</v>
      </c>
      <c r="G45" s="825">
        <v>28782239.66</v>
      </c>
      <c r="H45" s="825">
        <v>25254557.140000001</v>
      </c>
      <c r="I45" s="825">
        <v>3527682.52</v>
      </c>
      <c r="J45" s="825">
        <v>0</v>
      </c>
      <c r="K45" s="819">
        <f t="shared" si="0"/>
        <v>3527682.52</v>
      </c>
      <c r="L45" s="820" t="s">
        <v>825</v>
      </c>
    </row>
    <row r="46" spans="1:12" x14ac:dyDescent="0.25">
      <c r="A46" s="823" t="s">
        <v>826</v>
      </c>
      <c r="B46" s="823" t="s">
        <v>827</v>
      </c>
      <c r="C46" s="825">
        <v>1695749.17</v>
      </c>
      <c r="D46" s="825">
        <v>1207974.21</v>
      </c>
      <c r="E46" s="825">
        <v>32948.75</v>
      </c>
      <c r="F46" s="825">
        <v>71520.23</v>
      </c>
      <c r="G46" s="825">
        <v>1728697.92</v>
      </c>
      <c r="H46" s="825">
        <v>1279494.44</v>
      </c>
      <c r="I46" s="825">
        <v>449203.48</v>
      </c>
      <c r="J46" s="825">
        <v>0</v>
      </c>
      <c r="K46" s="819">
        <f t="shared" si="0"/>
        <v>449203.48</v>
      </c>
      <c r="L46" s="820" t="s">
        <v>825</v>
      </c>
    </row>
    <row r="47" spans="1:12" x14ac:dyDescent="0.25">
      <c r="A47" s="823" t="s">
        <v>828</v>
      </c>
      <c r="B47" s="823" t="s">
        <v>829</v>
      </c>
      <c r="C47" s="825">
        <v>1695391.17</v>
      </c>
      <c r="D47" s="825">
        <v>1207974.21</v>
      </c>
      <c r="E47" s="825">
        <v>32948.75</v>
      </c>
      <c r="F47" s="825">
        <v>71520.23</v>
      </c>
      <c r="G47" s="825">
        <v>1728339.92</v>
      </c>
      <c r="H47" s="825">
        <v>1279494.44</v>
      </c>
      <c r="I47" s="825">
        <v>448845.48</v>
      </c>
      <c r="J47" s="825">
        <v>0</v>
      </c>
      <c r="K47" s="819">
        <f t="shared" si="0"/>
        <v>448845.48</v>
      </c>
    </row>
    <row r="48" spans="1:12" x14ac:dyDescent="0.25">
      <c r="A48" s="823" t="s">
        <v>830</v>
      </c>
      <c r="B48" s="823" t="s">
        <v>831</v>
      </c>
      <c r="C48" s="825">
        <v>358</v>
      </c>
      <c r="D48" s="825">
        <v>0</v>
      </c>
      <c r="E48" s="825">
        <v>0</v>
      </c>
      <c r="F48" s="825">
        <v>0</v>
      </c>
      <c r="G48" s="825">
        <v>358</v>
      </c>
      <c r="H48" s="825">
        <v>0</v>
      </c>
      <c r="I48" s="825">
        <v>358</v>
      </c>
      <c r="J48" s="825">
        <v>0</v>
      </c>
      <c r="K48" s="819">
        <f t="shared" si="0"/>
        <v>358</v>
      </c>
    </row>
    <row r="49" spans="1:12" x14ac:dyDescent="0.25">
      <c r="A49" s="823" t="s">
        <v>832</v>
      </c>
      <c r="B49" s="823" t="s">
        <v>833</v>
      </c>
      <c r="C49" s="825">
        <v>270130.03000000003</v>
      </c>
      <c r="D49" s="825">
        <v>23523.670000000002</v>
      </c>
      <c r="E49" s="825">
        <v>1508.17</v>
      </c>
      <c r="F49" s="825">
        <v>123996.67</v>
      </c>
      <c r="G49" s="825">
        <v>271638.2</v>
      </c>
      <c r="H49" s="825">
        <v>147520.34</v>
      </c>
      <c r="I49" s="825">
        <v>124117.86</v>
      </c>
      <c r="J49" s="825">
        <v>0</v>
      </c>
      <c r="K49" s="819">
        <f t="shared" si="0"/>
        <v>124117.86</v>
      </c>
      <c r="L49" s="820" t="s">
        <v>825</v>
      </c>
    </row>
    <row r="50" spans="1:12" x14ac:dyDescent="0.25">
      <c r="A50" s="823" t="s">
        <v>834</v>
      </c>
      <c r="B50" s="823" t="s">
        <v>835</v>
      </c>
      <c r="C50" s="825">
        <v>5810071.7300000004</v>
      </c>
      <c r="D50" s="825">
        <v>2111750.2000000002</v>
      </c>
      <c r="E50" s="825">
        <v>350947.37</v>
      </c>
      <c r="F50" s="825">
        <v>2773739.65</v>
      </c>
      <c r="G50" s="825">
        <v>6161019.1000000006</v>
      </c>
      <c r="H50" s="825">
        <v>4885489.8500000006</v>
      </c>
      <c r="I50" s="825">
        <v>1275529.25</v>
      </c>
      <c r="J50" s="825">
        <v>0</v>
      </c>
      <c r="K50" s="819">
        <f t="shared" si="0"/>
        <v>1275529.25</v>
      </c>
      <c r="L50" s="821" t="s">
        <v>836</v>
      </c>
    </row>
    <row r="51" spans="1:12" x14ac:dyDescent="0.25">
      <c r="A51" s="823" t="s">
        <v>837</v>
      </c>
      <c r="B51" s="823" t="s">
        <v>838</v>
      </c>
      <c r="C51" s="825">
        <v>5073586.87</v>
      </c>
      <c r="D51" s="825">
        <v>4290998.42</v>
      </c>
      <c r="E51" s="825">
        <v>532734.19000000006</v>
      </c>
      <c r="F51" s="825">
        <v>522293.52</v>
      </c>
      <c r="G51" s="825">
        <v>5606321.0600000005</v>
      </c>
      <c r="H51" s="825">
        <v>4813291.9400000004</v>
      </c>
      <c r="I51" s="825">
        <v>793029.12</v>
      </c>
      <c r="J51" s="825">
        <v>0</v>
      </c>
      <c r="K51" s="819">
        <f t="shared" si="0"/>
        <v>793029.12</v>
      </c>
      <c r="L51" s="821" t="s">
        <v>839</v>
      </c>
    </row>
    <row r="52" spans="1:12" x14ac:dyDescent="0.25">
      <c r="A52" s="823" t="s">
        <v>1152</v>
      </c>
      <c r="B52" s="823" t="s">
        <v>838</v>
      </c>
      <c r="C52" s="825">
        <v>218.51</v>
      </c>
      <c r="D52" s="825">
        <v>218.51</v>
      </c>
      <c r="E52" s="825">
        <v>0</v>
      </c>
      <c r="F52" s="825">
        <v>0</v>
      </c>
      <c r="G52" s="825">
        <v>218.51</v>
      </c>
      <c r="H52" s="825">
        <v>218.51</v>
      </c>
      <c r="I52" s="825">
        <v>0</v>
      </c>
      <c r="J52" s="825">
        <v>0</v>
      </c>
      <c r="K52" s="819">
        <f t="shared" si="0"/>
        <v>0</v>
      </c>
    </row>
    <row r="53" spans="1:12" x14ac:dyDescent="0.25">
      <c r="A53" s="823" t="s">
        <v>840</v>
      </c>
      <c r="B53" s="823" t="s">
        <v>838</v>
      </c>
      <c r="C53" s="825">
        <v>5073368.3600000003</v>
      </c>
      <c r="D53" s="825">
        <v>4290779.91</v>
      </c>
      <c r="E53" s="825">
        <v>532734.19000000006</v>
      </c>
      <c r="F53" s="825">
        <v>522293.52</v>
      </c>
      <c r="G53" s="825">
        <v>5606102.5499999998</v>
      </c>
      <c r="H53" s="825">
        <v>4813073.43</v>
      </c>
      <c r="I53" s="825">
        <v>793029.12</v>
      </c>
      <c r="J53" s="825">
        <v>0</v>
      </c>
      <c r="K53" s="819">
        <f t="shared" si="0"/>
        <v>793029.12</v>
      </c>
    </row>
    <row r="54" spans="1:12" x14ac:dyDescent="0.25">
      <c r="A54" s="823" t="s">
        <v>841</v>
      </c>
      <c r="B54" s="823" t="s">
        <v>842</v>
      </c>
      <c r="C54" s="825">
        <v>39347147.770000003</v>
      </c>
      <c r="D54" s="825">
        <v>50476885.660000004</v>
      </c>
      <c r="E54" s="825">
        <v>5434126.6600000001</v>
      </c>
      <c r="F54" s="825">
        <v>2161155.94</v>
      </c>
      <c r="G54" s="825">
        <v>44781274.43</v>
      </c>
      <c r="H54" s="825">
        <v>52638041.600000001</v>
      </c>
      <c r="I54" s="825">
        <v>0</v>
      </c>
      <c r="J54" s="825">
        <v>7856767.1699999999</v>
      </c>
      <c r="K54" s="819">
        <f t="shared" si="0"/>
        <v>-7856767.1699999999</v>
      </c>
      <c r="L54" s="820" t="s">
        <v>843</v>
      </c>
    </row>
    <row r="55" spans="1:12" x14ac:dyDescent="0.25">
      <c r="A55" s="823" t="s">
        <v>844</v>
      </c>
      <c r="B55" s="823" t="s">
        <v>845</v>
      </c>
      <c r="C55" s="825">
        <v>318374.57</v>
      </c>
      <c r="D55" s="825">
        <v>313334.07</v>
      </c>
      <c r="E55" s="825">
        <v>19393.990000000002</v>
      </c>
      <c r="F55" s="825">
        <v>24434.510000000002</v>
      </c>
      <c r="G55" s="825">
        <v>337768.56</v>
      </c>
      <c r="H55" s="825">
        <v>337768.58</v>
      </c>
      <c r="I55" s="825">
        <v>0</v>
      </c>
      <c r="J55" s="825">
        <v>0.02</v>
      </c>
      <c r="K55" s="819">
        <f t="shared" si="0"/>
        <v>-0.02</v>
      </c>
      <c r="L55" s="820" t="s">
        <v>843</v>
      </c>
    </row>
    <row r="56" spans="1:12" x14ac:dyDescent="0.25">
      <c r="A56" s="823" t="s">
        <v>846</v>
      </c>
      <c r="B56" s="823" t="s">
        <v>847</v>
      </c>
      <c r="C56" s="825">
        <v>3617842.3000000003</v>
      </c>
      <c r="D56" s="825">
        <v>0</v>
      </c>
      <c r="E56" s="825">
        <v>-294906.66000000003</v>
      </c>
      <c r="F56" s="825">
        <v>0</v>
      </c>
      <c r="G56" s="825">
        <v>3322935.64</v>
      </c>
      <c r="H56" s="825">
        <v>0</v>
      </c>
      <c r="I56" s="825">
        <v>3322935.64</v>
      </c>
      <c r="J56" s="825">
        <v>0</v>
      </c>
      <c r="K56" s="819">
        <f t="shared" si="0"/>
        <v>3322935.64</v>
      </c>
      <c r="L56" s="820" t="s">
        <v>848</v>
      </c>
    </row>
    <row r="57" spans="1:12" x14ac:dyDescent="0.25">
      <c r="A57" s="823" t="s">
        <v>849</v>
      </c>
      <c r="B57" s="823" t="s">
        <v>850</v>
      </c>
      <c r="C57" s="825">
        <v>3617842.3000000003</v>
      </c>
      <c r="D57" s="825">
        <v>0</v>
      </c>
      <c r="E57" s="825">
        <v>-294906.66000000003</v>
      </c>
      <c r="F57" s="825">
        <v>0</v>
      </c>
      <c r="G57" s="825">
        <v>3322935.64</v>
      </c>
      <c r="H57" s="825">
        <v>0</v>
      </c>
      <c r="I57" s="825">
        <v>3322935.64</v>
      </c>
      <c r="J57" s="825">
        <v>0</v>
      </c>
      <c r="K57" s="819">
        <f t="shared" si="0"/>
        <v>3322935.64</v>
      </c>
    </row>
    <row r="58" spans="1:12" x14ac:dyDescent="0.25">
      <c r="A58" s="823" t="s">
        <v>851</v>
      </c>
      <c r="B58" s="823" t="s">
        <v>852</v>
      </c>
      <c r="C58" s="825">
        <v>55116406.460000001</v>
      </c>
      <c r="D58" s="825">
        <v>44568306.119999997</v>
      </c>
      <c r="E58" s="825">
        <v>5065486.12</v>
      </c>
      <c r="F58" s="825">
        <v>5797333.4900000002</v>
      </c>
      <c r="G58" s="825">
        <v>60181892.579999998</v>
      </c>
      <c r="H58" s="825">
        <v>50365639.609999999</v>
      </c>
      <c r="I58" s="825">
        <v>9816252.9700000007</v>
      </c>
      <c r="J58" s="825">
        <v>0</v>
      </c>
      <c r="K58" s="819">
        <f t="shared" si="0"/>
        <v>9816252.9700000007</v>
      </c>
      <c r="L58" s="820" t="s">
        <v>853</v>
      </c>
    </row>
    <row r="59" spans="1:12" x14ac:dyDescent="0.25">
      <c r="A59" s="823" t="s">
        <v>854</v>
      </c>
      <c r="B59" s="823" t="s">
        <v>855</v>
      </c>
      <c r="C59" s="825">
        <v>55058411.980000004</v>
      </c>
      <c r="D59" s="825">
        <v>44568306.119999997</v>
      </c>
      <c r="E59" s="825">
        <v>5065486.12</v>
      </c>
      <c r="F59" s="825">
        <v>5797333.4900000002</v>
      </c>
      <c r="G59" s="825">
        <v>60123898.100000001</v>
      </c>
      <c r="H59" s="825">
        <v>50365639.609999999</v>
      </c>
      <c r="I59" s="825">
        <v>9758258.4900000002</v>
      </c>
      <c r="J59" s="825">
        <v>0</v>
      </c>
      <c r="K59" s="819">
        <f t="shared" si="0"/>
        <v>9758258.4900000002</v>
      </c>
    </row>
    <row r="60" spans="1:12" x14ac:dyDescent="0.25">
      <c r="A60" s="823" t="s">
        <v>856</v>
      </c>
      <c r="B60" s="823" t="s">
        <v>857</v>
      </c>
      <c r="C60" s="825">
        <v>57994.48</v>
      </c>
      <c r="D60" s="825">
        <v>0</v>
      </c>
      <c r="E60" s="825">
        <v>0</v>
      </c>
      <c r="F60" s="825">
        <v>0</v>
      </c>
      <c r="G60" s="825">
        <v>57994.48</v>
      </c>
      <c r="H60" s="825">
        <v>0</v>
      </c>
      <c r="I60" s="825">
        <v>57994.48</v>
      </c>
      <c r="J60" s="825">
        <v>0</v>
      </c>
      <c r="K60" s="819">
        <f t="shared" si="0"/>
        <v>57994.48</v>
      </c>
    </row>
    <row r="61" spans="1:12" x14ac:dyDescent="0.25">
      <c r="A61" s="823" t="s">
        <v>858</v>
      </c>
      <c r="B61" s="823" t="s">
        <v>859</v>
      </c>
      <c r="C61" s="825">
        <v>0</v>
      </c>
      <c r="D61" s="825">
        <v>9221316.5199999996</v>
      </c>
      <c r="E61" s="825">
        <v>0</v>
      </c>
      <c r="F61" s="825">
        <v>817633.37</v>
      </c>
      <c r="G61" s="825">
        <v>0</v>
      </c>
      <c r="H61" s="825">
        <v>10038949.890000001</v>
      </c>
      <c r="I61" s="825">
        <v>0</v>
      </c>
      <c r="J61" s="825">
        <v>10038949.890000001</v>
      </c>
      <c r="K61" s="819">
        <f t="shared" si="0"/>
        <v>-10038949.890000001</v>
      </c>
      <c r="L61" s="820" t="s">
        <v>860</v>
      </c>
    </row>
    <row r="62" spans="1:12" x14ac:dyDescent="0.25">
      <c r="A62" s="823" t="s">
        <v>861</v>
      </c>
      <c r="B62" s="823" t="s">
        <v>862</v>
      </c>
      <c r="C62" s="825">
        <v>653216</v>
      </c>
      <c r="D62" s="825">
        <v>659957</v>
      </c>
      <c r="E62" s="825">
        <v>63960</v>
      </c>
      <c r="F62" s="825">
        <v>62824</v>
      </c>
      <c r="G62" s="825">
        <v>717176</v>
      </c>
      <c r="H62" s="825">
        <v>722781</v>
      </c>
      <c r="I62" s="825">
        <v>0</v>
      </c>
      <c r="J62" s="825">
        <v>5605</v>
      </c>
      <c r="K62" s="819">
        <f t="shared" si="0"/>
        <v>-5605</v>
      </c>
      <c r="L62" s="820" t="s">
        <v>863</v>
      </c>
    </row>
    <row r="63" spans="1:12" x14ac:dyDescent="0.25">
      <c r="A63" s="823" t="s">
        <v>864</v>
      </c>
      <c r="B63" s="823" t="s">
        <v>865</v>
      </c>
      <c r="C63" s="825">
        <v>35</v>
      </c>
      <c r="D63" s="825">
        <v>174</v>
      </c>
      <c r="E63" s="825">
        <v>37</v>
      </c>
      <c r="F63" s="825">
        <v>173</v>
      </c>
      <c r="G63" s="825">
        <v>72</v>
      </c>
      <c r="H63" s="825">
        <v>347</v>
      </c>
      <c r="I63" s="825">
        <v>0</v>
      </c>
      <c r="J63" s="825">
        <v>275</v>
      </c>
      <c r="K63" s="819">
        <f t="shared" si="0"/>
        <v>-275</v>
      </c>
      <c r="L63" s="820" t="s">
        <v>863</v>
      </c>
    </row>
    <row r="64" spans="1:12" x14ac:dyDescent="0.25">
      <c r="A64" s="823" t="s">
        <v>866</v>
      </c>
      <c r="B64" s="823" t="s">
        <v>867</v>
      </c>
      <c r="C64" s="825">
        <v>100</v>
      </c>
      <c r="D64" s="825">
        <v>100</v>
      </c>
      <c r="E64" s="825">
        <v>0</v>
      </c>
      <c r="F64" s="825">
        <v>0</v>
      </c>
      <c r="G64" s="825">
        <v>100</v>
      </c>
      <c r="H64" s="825">
        <v>100</v>
      </c>
      <c r="I64" s="825">
        <v>0</v>
      </c>
      <c r="J64" s="825">
        <v>0</v>
      </c>
      <c r="K64" s="819">
        <f t="shared" si="0"/>
        <v>0</v>
      </c>
      <c r="L64" s="820" t="s">
        <v>868</v>
      </c>
    </row>
    <row r="65" spans="1:12" x14ac:dyDescent="0.25">
      <c r="A65" s="823" t="s">
        <v>869</v>
      </c>
      <c r="B65" s="823" t="s">
        <v>870</v>
      </c>
      <c r="C65" s="825">
        <v>4070</v>
      </c>
      <c r="D65" s="825">
        <v>4701</v>
      </c>
      <c r="E65" s="825">
        <v>530</v>
      </c>
      <c r="F65" s="825">
        <v>530</v>
      </c>
      <c r="G65" s="825">
        <v>4600</v>
      </c>
      <c r="H65" s="825">
        <v>5231</v>
      </c>
      <c r="I65" s="825">
        <v>0</v>
      </c>
      <c r="J65" s="825">
        <v>631</v>
      </c>
      <c r="K65" s="819">
        <f t="shared" si="0"/>
        <v>-631</v>
      </c>
      <c r="L65" s="820" t="s">
        <v>863</v>
      </c>
    </row>
    <row r="66" spans="1:12" x14ac:dyDescent="0.25">
      <c r="A66" s="823" t="s">
        <v>871</v>
      </c>
      <c r="B66" s="823" t="s">
        <v>872</v>
      </c>
      <c r="C66" s="825">
        <v>247313</v>
      </c>
      <c r="D66" s="825">
        <v>271082</v>
      </c>
      <c r="E66" s="825">
        <v>23951</v>
      </c>
      <c r="F66" s="825">
        <v>23931</v>
      </c>
      <c r="G66" s="825">
        <v>271264</v>
      </c>
      <c r="H66" s="825">
        <v>295013</v>
      </c>
      <c r="I66" s="825">
        <v>0</v>
      </c>
      <c r="J66" s="825">
        <v>23749</v>
      </c>
      <c r="K66" s="819">
        <f t="shared" si="0"/>
        <v>-23749</v>
      </c>
      <c r="L66" s="820" t="s">
        <v>863</v>
      </c>
    </row>
    <row r="67" spans="1:12" x14ac:dyDescent="0.25">
      <c r="A67" s="823" t="s">
        <v>873</v>
      </c>
      <c r="B67" s="823" t="s">
        <v>874</v>
      </c>
      <c r="C67" s="825">
        <v>102660</v>
      </c>
      <c r="D67" s="825">
        <v>112620</v>
      </c>
      <c r="E67" s="825">
        <v>9963</v>
      </c>
      <c r="F67" s="825">
        <v>9958</v>
      </c>
      <c r="G67" s="825">
        <v>112623</v>
      </c>
      <c r="H67" s="825">
        <v>122578</v>
      </c>
      <c r="I67" s="825">
        <v>0</v>
      </c>
      <c r="J67" s="825">
        <v>9955</v>
      </c>
      <c r="K67" s="819">
        <f t="shared" si="0"/>
        <v>-9955</v>
      </c>
    </row>
    <row r="68" spans="1:12" x14ac:dyDescent="0.25">
      <c r="A68" s="823" t="s">
        <v>875</v>
      </c>
      <c r="B68" s="823" t="s">
        <v>876</v>
      </c>
      <c r="C68" s="825">
        <v>68231</v>
      </c>
      <c r="D68" s="825">
        <v>74807</v>
      </c>
      <c r="E68" s="825">
        <v>6622</v>
      </c>
      <c r="F68" s="825">
        <v>6567</v>
      </c>
      <c r="G68" s="825">
        <v>74853</v>
      </c>
      <c r="H68" s="825">
        <v>81374</v>
      </c>
      <c r="I68" s="825">
        <v>0</v>
      </c>
      <c r="J68" s="825">
        <v>6521</v>
      </c>
      <c r="K68" s="819">
        <f t="shared" si="0"/>
        <v>-6521</v>
      </c>
    </row>
    <row r="69" spans="1:12" x14ac:dyDescent="0.25">
      <c r="A69" s="823" t="s">
        <v>877</v>
      </c>
      <c r="B69" s="823" t="s">
        <v>878</v>
      </c>
      <c r="C69" s="825">
        <v>33793</v>
      </c>
      <c r="D69" s="825">
        <v>37065</v>
      </c>
      <c r="E69" s="825">
        <v>3272</v>
      </c>
      <c r="F69" s="825">
        <v>3267</v>
      </c>
      <c r="G69" s="825">
        <v>37065</v>
      </c>
      <c r="H69" s="825">
        <v>40332</v>
      </c>
      <c r="I69" s="825">
        <v>0</v>
      </c>
      <c r="J69" s="825">
        <v>3267</v>
      </c>
      <c r="K69" s="819">
        <f t="shared" si="0"/>
        <v>-3267</v>
      </c>
    </row>
    <row r="70" spans="1:12" x14ac:dyDescent="0.25">
      <c r="A70" s="823" t="s">
        <v>879</v>
      </c>
      <c r="B70" s="823" t="s">
        <v>880</v>
      </c>
      <c r="C70" s="825">
        <v>35733</v>
      </c>
      <c r="D70" s="825">
        <v>39177</v>
      </c>
      <c r="E70" s="825">
        <v>3448</v>
      </c>
      <c r="F70" s="825">
        <v>3442</v>
      </c>
      <c r="G70" s="825">
        <v>39181</v>
      </c>
      <c r="H70" s="825">
        <v>42619</v>
      </c>
      <c r="I70" s="825">
        <v>0</v>
      </c>
      <c r="J70" s="825">
        <v>3438</v>
      </c>
      <c r="K70" s="819">
        <f t="shared" si="0"/>
        <v>-3438</v>
      </c>
    </row>
    <row r="71" spans="1:12" x14ac:dyDescent="0.25">
      <c r="A71" s="823" t="s">
        <v>881</v>
      </c>
      <c r="B71" s="823" t="s">
        <v>882</v>
      </c>
      <c r="C71" s="825">
        <v>1156</v>
      </c>
      <c r="D71" s="825">
        <v>1268</v>
      </c>
      <c r="E71" s="825">
        <v>112</v>
      </c>
      <c r="F71" s="825">
        <v>112</v>
      </c>
      <c r="G71" s="825">
        <v>1268</v>
      </c>
      <c r="H71" s="825">
        <v>1380</v>
      </c>
      <c r="I71" s="825">
        <v>0</v>
      </c>
      <c r="J71" s="825">
        <v>112</v>
      </c>
      <c r="K71" s="819">
        <f t="shared" si="0"/>
        <v>-112</v>
      </c>
    </row>
    <row r="72" spans="1:12" x14ac:dyDescent="0.25">
      <c r="A72" s="823" t="s">
        <v>883</v>
      </c>
      <c r="B72" s="823" t="s">
        <v>884</v>
      </c>
      <c r="C72" s="825">
        <v>5697</v>
      </c>
      <c r="D72" s="825">
        <v>6058</v>
      </c>
      <c r="E72" s="825">
        <v>534</v>
      </c>
      <c r="F72" s="825">
        <v>534</v>
      </c>
      <c r="G72" s="825">
        <v>6231</v>
      </c>
      <c r="H72" s="825">
        <v>6592</v>
      </c>
      <c r="I72" s="825">
        <v>0</v>
      </c>
      <c r="J72" s="825">
        <v>361</v>
      </c>
      <c r="K72" s="819">
        <f t="shared" si="0"/>
        <v>-361</v>
      </c>
    </row>
    <row r="73" spans="1:12" x14ac:dyDescent="0.25">
      <c r="A73" s="823" t="s">
        <v>885</v>
      </c>
      <c r="B73" s="823" t="s">
        <v>886</v>
      </c>
      <c r="C73" s="825">
        <v>43</v>
      </c>
      <c r="D73" s="825">
        <v>87</v>
      </c>
      <c r="E73" s="825">
        <v>0</v>
      </c>
      <c r="F73" s="825">
        <v>51</v>
      </c>
      <c r="G73" s="825">
        <v>43</v>
      </c>
      <c r="H73" s="825">
        <v>138</v>
      </c>
      <c r="I73" s="825">
        <v>0</v>
      </c>
      <c r="J73" s="825">
        <v>95</v>
      </c>
      <c r="K73" s="819">
        <f t="shared" si="0"/>
        <v>-95</v>
      </c>
    </row>
    <row r="74" spans="1:12" x14ac:dyDescent="0.25">
      <c r="A74" s="823" t="s">
        <v>887</v>
      </c>
      <c r="B74" s="823" t="s">
        <v>888</v>
      </c>
      <c r="C74" s="825">
        <v>8136</v>
      </c>
      <c r="D74" s="825">
        <v>8924</v>
      </c>
      <c r="E74" s="825">
        <v>788</v>
      </c>
      <c r="F74" s="825">
        <v>786</v>
      </c>
      <c r="G74" s="825">
        <v>8924</v>
      </c>
      <c r="H74" s="825">
        <v>9710</v>
      </c>
      <c r="I74" s="825">
        <v>0</v>
      </c>
      <c r="J74" s="825">
        <v>786</v>
      </c>
      <c r="K74" s="819">
        <f t="shared" ref="K74:K124" si="1">I74-J74</f>
        <v>-786</v>
      </c>
      <c r="L74" s="820" t="s">
        <v>863</v>
      </c>
    </row>
    <row r="75" spans="1:12" x14ac:dyDescent="0.25">
      <c r="A75" s="823" t="s">
        <v>889</v>
      </c>
      <c r="B75" s="823" t="s">
        <v>890</v>
      </c>
      <c r="C75" s="825">
        <v>3249</v>
      </c>
      <c r="D75" s="825">
        <v>3564</v>
      </c>
      <c r="E75" s="825">
        <v>315</v>
      </c>
      <c r="F75" s="825">
        <v>314</v>
      </c>
      <c r="G75" s="825">
        <v>3564</v>
      </c>
      <c r="H75" s="825">
        <v>3878</v>
      </c>
      <c r="I75" s="825">
        <v>0</v>
      </c>
      <c r="J75" s="825">
        <v>314</v>
      </c>
      <c r="K75" s="819">
        <f t="shared" si="1"/>
        <v>-314</v>
      </c>
    </row>
    <row r="76" spans="1:12" x14ac:dyDescent="0.25">
      <c r="A76" s="823" t="s">
        <v>891</v>
      </c>
      <c r="B76" s="823" t="s">
        <v>892</v>
      </c>
      <c r="C76" s="825">
        <v>3263</v>
      </c>
      <c r="D76" s="825">
        <v>3579</v>
      </c>
      <c r="E76" s="825">
        <v>316</v>
      </c>
      <c r="F76" s="825">
        <v>315</v>
      </c>
      <c r="G76" s="825">
        <v>3579</v>
      </c>
      <c r="H76" s="825">
        <v>3894</v>
      </c>
      <c r="I76" s="825">
        <v>0</v>
      </c>
      <c r="J76" s="825">
        <v>315</v>
      </c>
      <c r="K76" s="819">
        <f t="shared" si="1"/>
        <v>-315</v>
      </c>
    </row>
    <row r="77" spans="1:12" x14ac:dyDescent="0.25">
      <c r="A77" s="823" t="s">
        <v>893</v>
      </c>
      <c r="B77" s="823" t="s">
        <v>894</v>
      </c>
      <c r="C77" s="825">
        <v>1624</v>
      </c>
      <c r="D77" s="825">
        <v>1781</v>
      </c>
      <c r="E77" s="825">
        <v>157</v>
      </c>
      <c r="F77" s="825">
        <v>157</v>
      </c>
      <c r="G77" s="825">
        <v>1781</v>
      </c>
      <c r="H77" s="825">
        <v>1938</v>
      </c>
      <c r="I77" s="825">
        <v>0</v>
      </c>
      <c r="J77" s="825">
        <v>157</v>
      </c>
      <c r="K77" s="819">
        <f t="shared" si="1"/>
        <v>-157</v>
      </c>
    </row>
    <row r="78" spans="1:12" x14ac:dyDescent="0.25">
      <c r="A78" s="823" t="s">
        <v>895</v>
      </c>
      <c r="B78" s="823" t="s">
        <v>896</v>
      </c>
      <c r="C78" s="825">
        <v>328857</v>
      </c>
      <c r="D78" s="825">
        <v>312102</v>
      </c>
      <c r="E78" s="825">
        <v>0</v>
      </c>
      <c r="F78" s="825">
        <v>146524</v>
      </c>
      <c r="G78" s="825">
        <v>328857</v>
      </c>
      <c r="H78" s="825">
        <v>458626</v>
      </c>
      <c r="I78" s="825">
        <v>0</v>
      </c>
      <c r="J78" s="825">
        <v>129769</v>
      </c>
      <c r="K78" s="819">
        <f t="shared" si="1"/>
        <v>-129769</v>
      </c>
      <c r="L78" s="820" t="s">
        <v>863</v>
      </c>
    </row>
    <row r="79" spans="1:12" x14ac:dyDescent="0.25">
      <c r="A79" s="823" t="s">
        <v>897</v>
      </c>
      <c r="B79" s="823" t="s">
        <v>898</v>
      </c>
      <c r="C79" s="825">
        <v>19486666.580000002</v>
      </c>
      <c r="D79" s="825">
        <v>17776305.210000001</v>
      </c>
      <c r="E79" s="825">
        <v>2554008.14</v>
      </c>
      <c r="F79" s="825">
        <v>3068920.06</v>
      </c>
      <c r="G79" s="825">
        <v>22040674.719999999</v>
      </c>
      <c r="H79" s="825">
        <v>20845225.27</v>
      </c>
      <c r="I79" s="825">
        <v>1195449.45</v>
      </c>
      <c r="J79" s="825">
        <v>0</v>
      </c>
      <c r="K79" s="819">
        <f t="shared" si="1"/>
        <v>1195449.45</v>
      </c>
      <c r="L79" s="820" t="s">
        <v>868</v>
      </c>
    </row>
    <row r="80" spans="1:12" x14ac:dyDescent="0.25">
      <c r="A80" s="823" t="s">
        <v>899</v>
      </c>
      <c r="B80" s="823" t="s">
        <v>900</v>
      </c>
      <c r="C80" s="825">
        <v>38709.950000000004</v>
      </c>
      <c r="D80" s="825">
        <v>38709.950000000004</v>
      </c>
      <c r="E80" s="825">
        <v>539152.47</v>
      </c>
      <c r="F80" s="825">
        <v>539152.47</v>
      </c>
      <c r="G80" s="825">
        <v>577862.42000000004</v>
      </c>
      <c r="H80" s="825">
        <v>577862.42000000004</v>
      </c>
      <c r="I80" s="825">
        <v>0</v>
      </c>
      <c r="J80" s="825">
        <v>0</v>
      </c>
      <c r="K80" s="819">
        <f t="shared" si="1"/>
        <v>0</v>
      </c>
    </row>
    <row r="81" spans="1:12" x14ac:dyDescent="0.25">
      <c r="A81" s="823" t="s">
        <v>901</v>
      </c>
      <c r="B81" s="823" t="s">
        <v>902</v>
      </c>
      <c r="C81" s="825">
        <v>1656499.53</v>
      </c>
      <c r="D81" s="825">
        <v>-0.05</v>
      </c>
      <c r="E81" s="825">
        <v>0</v>
      </c>
      <c r="F81" s="825">
        <v>539152.47</v>
      </c>
      <c r="G81" s="825">
        <v>1656499.53</v>
      </c>
      <c r="H81" s="825">
        <v>539152.42000000004</v>
      </c>
      <c r="I81" s="825">
        <v>1117347.1100000001</v>
      </c>
      <c r="J81" s="825">
        <v>0</v>
      </c>
      <c r="K81" s="819">
        <f t="shared" si="1"/>
        <v>1117347.1100000001</v>
      </c>
    </row>
    <row r="82" spans="1:12" x14ac:dyDescent="0.25">
      <c r="A82" s="823" t="s">
        <v>903</v>
      </c>
      <c r="B82" s="823" t="s">
        <v>904</v>
      </c>
      <c r="C82" s="825">
        <v>6473908.4299999997</v>
      </c>
      <c r="D82" s="825">
        <v>6473908.4299999997</v>
      </c>
      <c r="E82" s="825">
        <v>274855.77</v>
      </c>
      <c r="F82" s="825">
        <v>274855.77</v>
      </c>
      <c r="G82" s="825">
        <v>6748764.2000000002</v>
      </c>
      <c r="H82" s="825">
        <v>6748764.2000000002</v>
      </c>
      <c r="I82" s="825">
        <v>0</v>
      </c>
      <c r="J82" s="825">
        <v>0</v>
      </c>
      <c r="K82" s="819">
        <f t="shared" si="1"/>
        <v>0</v>
      </c>
    </row>
    <row r="83" spans="1:12" x14ac:dyDescent="0.25">
      <c r="A83" s="823" t="s">
        <v>905</v>
      </c>
      <c r="B83" s="823" t="s">
        <v>906</v>
      </c>
      <c r="C83" s="825">
        <v>4817926.9000000004</v>
      </c>
      <c r="D83" s="825">
        <v>4817926.9000000004</v>
      </c>
      <c r="E83" s="825">
        <v>814008.24</v>
      </c>
      <c r="F83" s="825">
        <v>814008.24</v>
      </c>
      <c r="G83" s="825">
        <v>5631935.1399999997</v>
      </c>
      <c r="H83" s="825">
        <v>5631935.1399999997</v>
      </c>
      <c r="I83" s="825">
        <v>0</v>
      </c>
      <c r="J83" s="825">
        <v>0</v>
      </c>
      <c r="K83" s="819">
        <f t="shared" si="1"/>
        <v>0</v>
      </c>
    </row>
    <row r="84" spans="1:12" x14ac:dyDescent="0.25">
      <c r="A84" s="823" t="s">
        <v>907</v>
      </c>
      <c r="B84" s="823" t="s">
        <v>908</v>
      </c>
      <c r="C84" s="825">
        <v>4124087.52</v>
      </c>
      <c r="D84" s="825">
        <v>4070225.73</v>
      </c>
      <c r="E84" s="825">
        <v>205539.87</v>
      </c>
      <c r="F84" s="825">
        <v>181299.32</v>
      </c>
      <c r="G84" s="825">
        <v>4329627.3899999997</v>
      </c>
      <c r="H84" s="825">
        <v>4251525.05</v>
      </c>
      <c r="I84" s="825">
        <v>78102.34</v>
      </c>
      <c r="J84" s="825">
        <v>0</v>
      </c>
      <c r="K84" s="819">
        <f t="shared" si="1"/>
        <v>78102.34</v>
      </c>
    </row>
    <row r="85" spans="1:12" x14ac:dyDescent="0.25">
      <c r="A85" s="823" t="s">
        <v>909</v>
      </c>
      <c r="B85" s="823" t="s">
        <v>910</v>
      </c>
      <c r="C85" s="825">
        <v>2414244.2000000002</v>
      </c>
      <c r="D85" s="825">
        <v>2414244.2000000002</v>
      </c>
      <c r="E85" s="825">
        <v>720451.79</v>
      </c>
      <c r="F85" s="825">
        <v>720451.79</v>
      </c>
      <c r="G85" s="825">
        <v>3134695.99</v>
      </c>
      <c r="H85" s="825">
        <v>3134695.99</v>
      </c>
      <c r="I85" s="825">
        <v>0</v>
      </c>
      <c r="J85" s="825">
        <v>0</v>
      </c>
      <c r="K85" s="819">
        <f t="shared" si="1"/>
        <v>0</v>
      </c>
    </row>
    <row r="86" spans="1:12" x14ac:dyDescent="0.25">
      <c r="A86" s="823" t="s">
        <v>911</v>
      </c>
      <c r="B86" s="823" t="s">
        <v>912</v>
      </c>
      <c r="C86" s="825">
        <v>86051</v>
      </c>
      <c r="D86" s="825">
        <v>94367</v>
      </c>
      <c r="E86" s="825">
        <v>8314</v>
      </c>
      <c r="F86" s="825">
        <v>8123</v>
      </c>
      <c r="G86" s="825">
        <v>94365</v>
      </c>
      <c r="H86" s="825">
        <v>102490</v>
      </c>
      <c r="I86" s="825">
        <v>0</v>
      </c>
      <c r="J86" s="825">
        <v>8125</v>
      </c>
      <c r="K86" s="819">
        <f t="shared" si="1"/>
        <v>-8125</v>
      </c>
      <c r="L86" s="820" t="s">
        <v>863</v>
      </c>
    </row>
    <row r="87" spans="1:12" x14ac:dyDescent="0.25">
      <c r="A87" s="823" t="s">
        <v>913</v>
      </c>
      <c r="B87" s="823" t="s">
        <v>914</v>
      </c>
      <c r="C87" s="825">
        <v>130713.3</v>
      </c>
      <c r="D87" s="825">
        <v>112816.3</v>
      </c>
      <c r="E87" s="825">
        <v>6600</v>
      </c>
      <c r="F87" s="825">
        <v>60036</v>
      </c>
      <c r="G87" s="825">
        <v>137313.29999999999</v>
      </c>
      <c r="H87" s="825">
        <v>172852.30000000002</v>
      </c>
      <c r="I87" s="825">
        <v>0</v>
      </c>
      <c r="J87" s="825">
        <v>35539</v>
      </c>
      <c r="K87" s="819">
        <f t="shared" si="1"/>
        <v>-35539</v>
      </c>
      <c r="L87" s="820" t="s">
        <v>863</v>
      </c>
    </row>
    <row r="88" spans="1:12" x14ac:dyDescent="0.25">
      <c r="A88" s="823" t="s">
        <v>915</v>
      </c>
      <c r="B88" s="823" t="s">
        <v>916</v>
      </c>
      <c r="C88" s="825">
        <v>124929</v>
      </c>
      <c r="D88" s="825">
        <v>107032</v>
      </c>
      <c r="E88" s="825">
        <v>6600</v>
      </c>
      <c r="F88" s="825">
        <v>60036</v>
      </c>
      <c r="G88" s="825">
        <v>131529</v>
      </c>
      <c r="H88" s="825">
        <v>167068</v>
      </c>
      <c r="I88" s="825">
        <v>0</v>
      </c>
      <c r="J88" s="825">
        <v>35539</v>
      </c>
      <c r="K88" s="819">
        <f t="shared" si="1"/>
        <v>-35539</v>
      </c>
    </row>
    <row r="89" spans="1:12" x14ac:dyDescent="0.25">
      <c r="A89" s="823" t="s">
        <v>917</v>
      </c>
      <c r="B89" s="823" t="s">
        <v>918</v>
      </c>
      <c r="C89" s="825">
        <v>5593.5</v>
      </c>
      <c r="D89" s="825">
        <v>5593.5</v>
      </c>
      <c r="E89" s="825">
        <v>0</v>
      </c>
      <c r="F89" s="825">
        <v>0</v>
      </c>
      <c r="G89" s="825">
        <v>5593.5</v>
      </c>
      <c r="H89" s="825">
        <v>5593.5</v>
      </c>
      <c r="I89" s="825">
        <v>0</v>
      </c>
      <c r="J89" s="825">
        <v>0</v>
      </c>
      <c r="K89" s="819">
        <f t="shared" si="1"/>
        <v>0</v>
      </c>
    </row>
    <row r="90" spans="1:12" x14ac:dyDescent="0.25">
      <c r="A90" s="823" t="s">
        <v>919</v>
      </c>
      <c r="B90" s="823" t="s">
        <v>920</v>
      </c>
      <c r="C90" s="825">
        <v>190.8</v>
      </c>
      <c r="D90" s="825">
        <v>190.8</v>
      </c>
      <c r="E90" s="825">
        <v>0</v>
      </c>
      <c r="F90" s="825">
        <v>0</v>
      </c>
      <c r="G90" s="825">
        <v>190.8</v>
      </c>
      <c r="H90" s="825">
        <v>190.8</v>
      </c>
      <c r="I90" s="825">
        <v>0</v>
      </c>
      <c r="J90" s="825">
        <v>0</v>
      </c>
      <c r="K90" s="819">
        <f t="shared" si="1"/>
        <v>0</v>
      </c>
    </row>
    <row r="91" spans="1:12" x14ac:dyDescent="0.25">
      <c r="A91" s="823" t="s">
        <v>921</v>
      </c>
      <c r="B91" s="823" t="s">
        <v>922</v>
      </c>
      <c r="C91" s="825">
        <v>1020</v>
      </c>
      <c r="D91" s="825">
        <v>0</v>
      </c>
      <c r="E91" s="825">
        <v>0</v>
      </c>
      <c r="F91" s="825">
        <v>0</v>
      </c>
      <c r="G91" s="825">
        <v>1020</v>
      </c>
      <c r="H91" s="825">
        <v>0</v>
      </c>
      <c r="I91" s="825">
        <v>1020</v>
      </c>
      <c r="J91" s="825">
        <v>0</v>
      </c>
      <c r="K91" s="819">
        <f t="shared" si="1"/>
        <v>1020</v>
      </c>
      <c r="L91" s="820" t="s">
        <v>868</v>
      </c>
    </row>
    <row r="92" spans="1:12" x14ac:dyDescent="0.25">
      <c r="A92" s="823" t="s">
        <v>923</v>
      </c>
      <c r="B92" s="823" t="s">
        <v>924</v>
      </c>
      <c r="C92" s="825">
        <v>1020</v>
      </c>
      <c r="D92" s="825">
        <v>0</v>
      </c>
      <c r="E92" s="825">
        <v>0</v>
      </c>
      <c r="F92" s="825">
        <v>0</v>
      </c>
      <c r="G92" s="825">
        <v>1020</v>
      </c>
      <c r="H92" s="825">
        <v>0</v>
      </c>
      <c r="I92" s="825">
        <v>1020</v>
      </c>
      <c r="J92" s="825">
        <v>0</v>
      </c>
      <c r="K92" s="819">
        <f t="shared" si="1"/>
        <v>1020</v>
      </c>
    </row>
    <row r="93" spans="1:12" x14ac:dyDescent="0.25">
      <c r="A93" s="823" t="s">
        <v>925</v>
      </c>
      <c r="B93" s="823" t="s">
        <v>926</v>
      </c>
      <c r="C93" s="825">
        <v>0</v>
      </c>
      <c r="D93" s="825">
        <v>263152</v>
      </c>
      <c r="E93" s="825">
        <v>0</v>
      </c>
      <c r="F93" s="825">
        <v>0</v>
      </c>
      <c r="G93" s="825">
        <v>0</v>
      </c>
      <c r="H93" s="825">
        <v>263152</v>
      </c>
      <c r="I93" s="825">
        <v>0</v>
      </c>
      <c r="J93" s="825">
        <v>263152</v>
      </c>
      <c r="K93" s="819">
        <f t="shared" si="1"/>
        <v>-263152</v>
      </c>
      <c r="L93" s="820" t="s">
        <v>927</v>
      </c>
    </row>
    <row r="94" spans="1:12" x14ac:dyDescent="0.25">
      <c r="A94" s="823" t="s">
        <v>928</v>
      </c>
      <c r="B94" s="823" t="s">
        <v>929</v>
      </c>
      <c r="C94" s="825">
        <v>0</v>
      </c>
      <c r="D94" s="825">
        <v>263152</v>
      </c>
      <c r="E94" s="825">
        <v>0</v>
      </c>
      <c r="F94" s="825">
        <v>0</v>
      </c>
      <c r="G94" s="825">
        <v>0</v>
      </c>
      <c r="H94" s="825">
        <v>263152</v>
      </c>
      <c r="I94" s="825">
        <v>0</v>
      </c>
      <c r="J94" s="825">
        <v>263152</v>
      </c>
      <c r="K94" s="819">
        <f t="shared" si="1"/>
        <v>-263152</v>
      </c>
    </row>
    <row r="95" spans="1:12" x14ac:dyDescent="0.25">
      <c r="A95" s="823" t="s">
        <v>930</v>
      </c>
      <c r="B95" s="823" t="s">
        <v>931</v>
      </c>
      <c r="C95" s="825">
        <v>2208432.2000000002</v>
      </c>
      <c r="D95" s="825">
        <v>2200456.2600000002</v>
      </c>
      <c r="E95" s="825">
        <v>226239.93</v>
      </c>
      <c r="F95" s="825">
        <v>1182926.8700000001</v>
      </c>
      <c r="G95" s="825">
        <v>2434672.13</v>
      </c>
      <c r="H95" s="825">
        <v>3383383.13</v>
      </c>
      <c r="I95" s="825">
        <v>0</v>
      </c>
      <c r="J95" s="825">
        <v>948711</v>
      </c>
      <c r="K95" s="819">
        <f t="shared" si="1"/>
        <v>-948711</v>
      </c>
      <c r="L95" s="821" t="s">
        <v>932</v>
      </c>
    </row>
    <row r="96" spans="1:12" x14ac:dyDescent="0.25">
      <c r="A96" s="823" t="s">
        <v>933</v>
      </c>
      <c r="B96" s="823" t="s">
        <v>934</v>
      </c>
      <c r="C96" s="825">
        <v>2208432.2000000002</v>
      </c>
      <c r="D96" s="825">
        <v>2200456.2600000002</v>
      </c>
      <c r="E96" s="825">
        <v>226239.93</v>
      </c>
      <c r="F96" s="825">
        <v>1182926.8700000001</v>
      </c>
      <c r="G96" s="825">
        <v>2434672.13</v>
      </c>
      <c r="H96" s="825">
        <v>3383383.13</v>
      </c>
      <c r="I96" s="825">
        <v>0</v>
      </c>
      <c r="J96" s="825">
        <v>948711</v>
      </c>
      <c r="K96" s="819">
        <f t="shared" si="1"/>
        <v>-948711</v>
      </c>
    </row>
    <row r="97" spans="1:12" x14ac:dyDescent="0.25">
      <c r="A97" s="823" t="s">
        <v>937</v>
      </c>
      <c r="B97" s="823" t="s">
        <v>938</v>
      </c>
      <c r="C97" s="825">
        <v>0</v>
      </c>
      <c r="D97" s="825">
        <v>3085.06</v>
      </c>
      <c r="E97" s="825">
        <v>0</v>
      </c>
      <c r="F97" s="825">
        <v>0</v>
      </c>
      <c r="G97" s="825">
        <v>0</v>
      </c>
      <c r="H97" s="825">
        <v>3085.06</v>
      </c>
      <c r="I97" s="825">
        <v>0</v>
      </c>
      <c r="J97" s="825">
        <v>3085.06</v>
      </c>
      <c r="K97" s="819">
        <f t="shared" si="1"/>
        <v>-3085.06</v>
      </c>
      <c r="L97" s="820" t="s">
        <v>863</v>
      </c>
    </row>
    <row r="98" spans="1:12" x14ac:dyDescent="0.25">
      <c r="A98" s="823" t="s">
        <v>939</v>
      </c>
      <c r="B98" s="823" t="s">
        <v>940</v>
      </c>
      <c r="C98" s="825">
        <v>17561.97</v>
      </c>
      <c r="D98" s="825">
        <v>43495.89</v>
      </c>
      <c r="E98" s="825">
        <v>1545.8600000000001</v>
      </c>
      <c r="F98" s="825">
        <v>0</v>
      </c>
      <c r="G98" s="825">
        <v>19107.830000000002</v>
      </c>
      <c r="H98" s="825">
        <v>43495.89</v>
      </c>
      <c r="I98" s="825">
        <v>0</v>
      </c>
      <c r="J98" s="825">
        <v>24388.06</v>
      </c>
      <c r="K98" s="819">
        <f t="shared" si="1"/>
        <v>-24388.06</v>
      </c>
      <c r="L98" s="820" t="s">
        <v>941</v>
      </c>
    </row>
    <row r="99" spans="1:12" x14ac:dyDescent="0.25">
      <c r="A99" s="823" t="s">
        <v>942</v>
      </c>
      <c r="B99" s="823" t="s">
        <v>943</v>
      </c>
      <c r="C99" s="825">
        <v>17561.97</v>
      </c>
      <c r="D99" s="825">
        <v>43495.89</v>
      </c>
      <c r="E99" s="825">
        <v>1545.8600000000001</v>
      </c>
      <c r="F99" s="825">
        <v>0</v>
      </c>
      <c r="G99" s="825">
        <v>19107.830000000002</v>
      </c>
      <c r="H99" s="825">
        <v>43495.89</v>
      </c>
      <c r="I99" s="825">
        <v>0</v>
      </c>
      <c r="J99" s="825">
        <v>24388.06</v>
      </c>
      <c r="K99" s="819">
        <f t="shared" si="1"/>
        <v>-24388.06</v>
      </c>
    </row>
    <row r="100" spans="1:12" x14ac:dyDescent="0.25">
      <c r="A100" s="823" t="s">
        <v>944</v>
      </c>
      <c r="B100" s="823" t="s">
        <v>945</v>
      </c>
      <c r="C100" s="825">
        <v>0</v>
      </c>
      <c r="D100" s="825">
        <v>57994.48</v>
      </c>
      <c r="E100" s="825">
        <v>0</v>
      </c>
      <c r="F100" s="825">
        <v>0</v>
      </c>
      <c r="G100" s="825">
        <v>0</v>
      </c>
      <c r="H100" s="825">
        <v>57994.48</v>
      </c>
      <c r="I100" s="825">
        <v>0</v>
      </c>
      <c r="J100" s="825">
        <v>57994.48</v>
      </c>
      <c r="K100" s="819">
        <f t="shared" si="1"/>
        <v>-57994.48</v>
      </c>
      <c r="L100" s="820" t="s">
        <v>853</v>
      </c>
    </row>
    <row r="101" spans="1:12" x14ac:dyDescent="0.25">
      <c r="A101" s="823" t="s">
        <v>950</v>
      </c>
      <c r="B101" s="823" t="s">
        <v>951</v>
      </c>
      <c r="C101" s="825">
        <v>32913821.210000001</v>
      </c>
      <c r="D101" s="825">
        <v>33198714.949999999</v>
      </c>
      <c r="E101" s="825">
        <v>4990548.2700000005</v>
      </c>
      <c r="F101" s="825">
        <v>4141819.0500000003</v>
      </c>
      <c r="G101" s="825">
        <v>37904369.480000004</v>
      </c>
      <c r="H101" s="825">
        <v>37340534</v>
      </c>
      <c r="I101" s="825">
        <v>563835.48</v>
      </c>
      <c r="J101" s="825">
        <v>0</v>
      </c>
      <c r="K101" s="819">
        <f t="shared" si="1"/>
        <v>563835.48</v>
      </c>
    </row>
    <row r="102" spans="1:12" x14ac:dyDescent="0.25">
      <c r="A102" s="823" t="s">
        <v>952</v>
      </c>
      <c r="B102" s="823" t="s">
        <v>953</v>
      </c>
      <c r="C102" s="825">
        <v>23286809.16</v>
      </c>
      <c r="D102" s="825">
        <v>27293653.84</v>
      </c>
      <c r="E102" s="825">
        <v>4990548.2700000005</v>
      </c>
      <c r="F102" s="825">
        <v>3971619.24</v>
      </c>
      <c r="G102" s="825">
        <v>28277357.43</v>
      </c>
      <c r="H102" s="825">
        <v>31265273.080000002</v>
      </c>
      <c r="I102" s="825">
        <v>-2987915.65</v>
      </c>
      <c r="J102" s="825">
        <v>0</v>
      </c>
      <c r="K102" s="819">
        <f t="shared" si="1"/>
        <v>-2987915.65</v>
      </c>
    </row>
    <row r="103" spans="1:12" x14ac:dyDescent="0.25">
      <c r="A103" s="823" t="s">
        <v>1153</v>
      </c>
      <c r="B103" s="823" t="s">
        <v>1154</v>
      </c>
      <c r="C103" s="825">
        <v>0</v>
      </c>
      <c r="D103" s="825">
        <v>0</v>
      </c>
      <c r="E103" s="825">
        <v>937.24</v>
      </c>
      <c r="F103" s="825">
        <v>0</v>
      </c>
      <c r="G103" s="825">
        <v>937.24</v>
      </c>
      <c r="H103" s="825">
        <v>0</v>
      </c>
      <c r="I103" s="825">
        <v>937.24</v>
      </c>
      <c r="J103" s="825">
        <v>0</v>
      </c>
      <c r="K103" s="819">
        <f t="shared" si="1"/>
        <v>937.24</v>
      </c>
      <c r="L103" s="820" t="s">
        <v>954</v>
      </c>
    </row>
    <row r="104" spans="1:12" x14ac:dyDescent="0.25">
      <c r="A104" s="823" t="s">
        <v>955</v>
      </c>
      <c r="B104" s="823" t="s">
        <v>956</v>
      </c>
      <c r="C104" s="825">
        <v>174541.52</v>
      </c>
      <c r="D104" s="825">
        <v>0</v>
      </c>
      <c r="E104" s="825">
        <v>0</v>
      </c>
      <c r="F104" s="825">
        <v>0</v>
      </c>
      <c r="G104" s="825">
        <v>174541.52</v>
      </c>
      <c r="H104" s="825">
        <v>0</v>
      </c>
      <c r="I104" s="825">
        <v>174541.52</v>
      </c>
      <c r="J104" s="825">
        <v>0</v>
      </c>
      <c r="K104" s="822">
        <f t="shared" si="1"/>
        <v>174541.52</v>
      </c>
      <c r="L104" s="820" t="s">
        <v>954</v>
      </c>
    </row>
    <row r="105" spans="1:12" x14ac:dyDescent="0.25">
      <c r="A105" s="823" t="s">
        <v>275</v>
      </c>
      <c r="B105" s="823" t="s">
        <v>957</v>
      </c>
      <c r="C105" s="825">
        <v>7984.6100000000006</v>
      </c>
      <c r="D105" s="825">
        <v>0</v>
      </c>
      <c r="E105" s="825">
        <v>0</v>
      </c>
      <c r="F105" s="825">
        <v>0</v>
      </c>
      <c r="G105" s="825">
        <v>7984.6100000000006</v>
      </c>
      <c r="H105" s="825">
        <v>0</v>
      </c>
      <c r="I105" s="825">
        <v>7984.6100000000006</v>
      </c>
      <c r="J105" s="825">
        <v>0</v>
      </c>
      <c r="K105" s="819">
        <f t="shared" si="1"/>
        <v>7984.6100000000006</v>
      </c>
      <c r="L105" s="820" t="s">
        <v>954</v>
      </c>
    </row>
    <row r="106" spans="1:12" x14ac:dyDescent="0.25">
      <c r="A106" s="823" t="s">
        <v>959</v>
      </c>
      <c r="B106" s="823" t="s">
        <v>960</v>
      </c>
      <c r="C106" s="825">
        <v>20098655.25</v>
      </c>
      <c r="D106" s="825">
        <v>24196530.039999999</v>
      </c>
      <c r="E106" s="825">
        <v>4748186.22</v>
      </c>
      <c r="F106" s="825">
        <v>3787298.41</v>
      </c>
      <c r="G106" s="825">
        <v>24846841.469999999</v>
      </c>
      <c r="H106" s="825">
        <v>27983828.449999999</v>
      </c>
      <c r="I106" s="825">
        <v>0</v>
      </c>
      <c r="J106" s="825">
        <v>3136986.98</v>
      </c>
      <c r="K106" s="822">
        <f t="shared" si="1"/>
        <v>-3136986.98</v>
      </c>
      <c r="L106" s="820" t="s">
        <v>1155</v>
      </c>
    </row>
    <row r="107" spans="1:12" x14ac:dyDescent="0.25">
      <c r="A107" s="823" t="s">
        <v>961</v>
      </c>
      <c r="B107" s="823" t="s">
        <v>962</v>
      </c>
      <c r="C107" s="825">
        <v>2581.3000000000002</v>
      </c>
      <c r="D107" s="825">
        <v>0</v>
      </c>
      <c r="E107" s="825">
        <v>0</v>
      </c>
      <c r="F107" s="825">
        <v>0</v>
      </c>
      <c r="G107" s="825">
        <v>2581.3000000000002</v>
      </c>
      <c r="H107" s="825">
        <v>0</v>
      </c>
      <c r="I107" s="825">
        <v>2581.3000000000002</v>
      </c>
      <c r="J107" s="825">
        <v>0</v>
      </c>
      <c r="K107" s="819">
        <f t="shared" si="1"/>
        <v>2581.3000000000002</v>
      </c>
      <c r="L107" s="820" t="s">
        <v>954</v>
      </c>
    </row>
    <row r="108" spans="1:12" x14ac:dyDescent="0.25">
      <c r="A108" s="823" t="s">
        <v>963</v>
      </c>
      <c r="B108" s="823" t="s">
        <v>964</v>
      </c>
      <c r="C108" s="825">
        <v>2886205.66</v>
      </c>
      <c r="D108" s="825">
        <v>2848398.5500000003</v>
      </c>
      <c r="E108" s="825">
        <v>217746.65</v>
      </c>
      <c r="F108" s="825">
        <v>170596.74</v>
      </c>
      <c r="G108" s="825">
        <v>3103952.31</v>
      </c>
      <c r="H108" s="825">
        <v>3018995.29</v>
      </c>
      <c r="I108" s="825">
        <v>84957.02</v>
      </c>
      <c r="J108" s="825">
        <v>0</v>
      </c>
      <c r="K108" s="819">
        <f t="shared" si="1"/>
        <v>84957.02</v>
      </c>
      <c r="L108" s="820" t="s">
        <v>954</v>
      </c>
    </row>
    <row r="109" spans="1:12" x14ac:dyDescent="0.25">
      <c r="A109" s="823" t="s">
        <v>965</v>
      </c>
      <c r="B109" s="823" t="s">
        <v>966</v>
      </c>
      <c r="C109" s="825">
        <v>85150.720000000001</v>
      </c>
      <c r="D109" s="825">
        <v>52485.01</v>
      </c>
      <c r="E109" s="825">
        <v>5648.14</v>
      </c>
      <c r="F109" s="825">
        <v>1211.93</v>
      </c>
      <c r="G109" s="825">
        <v>90798.86</v>
      </c>
      <c r="H109" s="825">
        <v>53696.94</v>
      </c>
      <c r="I109" s="825">
        <v>37101.919999999998</v>
      </c>
      <c r="J109" s="825">
        <v>0</v>
      </c>
      <c r="K109" s="819">
        <f t="shared" si="1"/>
        <v>37101.919999999998</v>
      </c>
      <c r="L109" s="820" t="s">
        <v>954</v>
      </c>
    </row>
    <row r="110" spans="1:12" x14ac:dyDescent="0.25">
      <c r="A110" s="823" t="s">
        <v>1156</v>
      </c>
      <c r="B110" s="823" t="s">
        <v>1157</v>
      </c>
      <c r="C110" s="825">
        <v>0</v>
      </c>
      <c r="D110" s="825">
        <v>0</v>
      </c>
      <c r="E110" s="825">
        <v>30.02</v>
      </c>
      <c r="F110" s="825">
        <v>30.02</v>
      </c>
      <c r="G110" s="825">
        <v>30.02</v>
      </c>
      <c r="H110" s="825">
        <v>30.02</v>
      </c>
      <c r="I110" s="825">
        <v>0</v>
      </c>
      <c r="J110" s="825">
        <v>0</v>
      </c>
      <c r="K110" s="819">
        <f t="shared" si="1"/>
        <v>0</v>
      </c>
      <c r="L110" s="820" t="s">
        <v>954</v>
      </c>
    </row>
    <row r="111" spans="1:12" x14ac:dyDescent="0.25">
      <c r="A111" s="823" t="s">
        <v>967</v>
      </c>
      <c r="B111" s="823" t="s">
        <v>968</v>
      </c>
      <c r="C111" s="825">
        <v>25312.12</v>
      </c>
      <c r="D111" s="825">
        <v>25262</v>
      </c>
      <c r="E111" s="825">
        <v>0</v>
      </c>
      <c r="F111" s="825">
        <v>0</v>
      </c>
      <c r="G111" s="825">
        <v>25312.12</v>
      </c>
      <c r="H111" s="825">
        <v>25262</v>
      </c>
      <c r="I111" s="825">
        <v>50.120000000000005</v>
      </c>
      <c r="J111" s="825">
        <v>0</v>
      </c>
      <c r="K111" s="819">
        <f t="shared" si="1"/>
        <v>50.120000000000005</v>
      </c>
      <c r="L111" s="820" t="s">
        <v>954</v>
      </c>
    </row>
    <row r="112" spans="1:12" x14ac:dyDescent="0.25">
      <c r="A112" s="823" t="s">
        <v>969</v>
      </c>
      <c r="B112" s="823" t="s">
        <v>970</v>
      </c>
      <c r="C112" s="825">
        <v>180919.5</v>
      </c>
      <c r="D112" s="825">
        <v>170978.24</v>
      </c>
      <c r="E112" s="825">
        <v>18000</v>
      </c>
      <c r="F112" s="825">
        <v>12482.14</v>
      </c>
      <c r="G112" s="825">
        <v>198919.5</v>
      </c>
      <c r="H112" s="825">
        <v>183460.38</v>
      </c>
      <c r="I112" s="825">
        <v>15459.12</v>
      </c>
      <c r="J112" s="825">
        <v>0</v>
      </c>
      <c r="K112" s="819">
        <f t="shared" si="1"/>
        <v>15459.12</v>
      </c>
      <c r="L112" s="820" t="s">
        <v>954</v>
      </c>
    </row>
    <row r="113" spans="1:12" x14ac:dyDescent="0.25">
      <c r="A113" s="823" t="s">
        <v>971</v>
      </c>
      <c r="B113" s="823" t="s">
        <v>972</v>
      </c>
      <c r="C113" s="825">
        <v>9202702.4900000002</v>
      </c>
      <c r="D113" s="825">
        <v>5626423.5200000005</v>
      </c>
      <c r="E113" s="825">
        <v>0</v>
      </c>
      <c r="F113" s="825">
        <v>24913.850000000002</v>
      </c>
      <c r="G113" s="825">
        <v>9202702.4900000002</v>
      </c>
      <c r="H113" s="825">
        <v>5651337.3700000001</v>
      </c>
      <c r="I113" s="825">
        <v>3551365.1200000001</v>
      </c>
      <c r="J113" s="825">
        <v>0</v>
      </c>
      <c r="K113" s="819">
        <f t="shared" si="1"/>
        <v>3551365.1200000001</v>
      </c>
      <c r="L113" s="820" t="s">
        <v>954</v>
      </c>
    </row>
    <row r="114" spans="1:12" x14ac:dyDescent="0.25">
      <c r="A114" s="823" t="s">
        <v>1158</v>
      </c>
      <c r="B114" s="823" t="s">
        <v>1159</v>
      </c>
      <c r="C114" s="825">
        <v>424309.56</v>
      </c>
      <c r="D114" s="825">
        <v>278637.59000000003</v>
      </c>
      <c r="E114" s="825">
        <v>0</v>
      </c>
      <c r="F114" s="825">
        <v>145285.96</v>
      </c>
      <c r="G114" s="825">
        <v>424309.56</v>
      </c>
      <c r="H114" s="825">
        <v>423923.55</v>
      </c>
      <c r="I114" s="825">
        <v>386.01</v>
      </c>
      <c r="J114" s="825">
        <v>0</v>
      </c>
      <c r="K114" s="819">
        <f t="shared" si="1"/>
        <v>386.01</v>
      </c>
      <c r="L114" s="820" t="s">
        <v>954</v>
      </c>
    </row>
    <row r="115" spans="1:12" x14ac:dyDescent="0.25">
      <c r="A115" s="823" t="s">
        <v>973</v>
      </c>
      <c r="B115" s="823" t="s">
        <v>974</v>
      </c>
      <c r="C115" s="825">
        <v>21731104.27</v>
      </c>
      <c r="D115" s="825">
        <v>20145233.170000002</v>
      </c>
      <c r="E115" s="825">
        <v>1047720.2000000001</v>
      </c>
      <c r="F115" s="825">
        <v>1486745.19</v>
      </c>
      <c r="G115" s="825">
        <v>22778824.469999999</v>
      </c>
      <c r="H115" s="825">
        <v>21631978.359999999</v>
      </c>
      <c r="I115" s="825">
        <v>1146846.1100000001</v>
      </c>
      <c r="J115" s="825">
        <v>0</v>
      </c>
      <c r="K115" s="819">
        <f t="shared" si="1"/>
        <v>1146846.1100000001</v>
      </c>
      <c r="L115" s="820" t="s">
        <v>954</v>
      </c>
    </row>
    <row r="116" spans="1:12" x14ac:dyDescent="0.25">
      <c r="A116" s="823" t="s">
        <v>975</v>
      </c>
      <c r="B116" s="823" t="s">
        <v>976</v>
      </c>
      <c r="C116" s="825">
        <v>21731104.27</v>
      </c>
      <c r="D116" s="825">
        <v>20145233.170000002</v>
      </c>
      <c r="E116" s="825">
        <v>1047720.2000000001</v>
      </c>
      <c r="F116" s="825">
        <v>1486745.19</v>
      </c>
      <c r="G116" s="825">
        <v>22778824.469999999</v>
      </c>
      <c r="H116" s="825">
        <v>21631978.359999999</v>
      </c>
      <c r="I116" s="825">
        <v>1146846.1100000001</v>
      </c>
      <c r="J116" s="825">
        <v>0</v>
      </c>
      <c r="K116" s="819">
        <f t="shared" si="1"/>
        <v>1146846.1100000001</v>
      </c>
    </row>
    <row r="117" spans="1:12" x14ac:dyDescent="0.25">
      <c r="A117" s="823" t="s">
        <v>977</v>
      </c>
      <c r="B117" s="823" t="s">
        <v>978</v>
      </c>
      <c r="C117" s="825">
        <v>143165.80000000002</v>
      </c>
      <c r="D117" s="825">
        <v>112567.83</v>
      </c>
      <c r="E117" s="825">
        <v>5399.95</v>
      </c>
      <c r="F117" s="825">
        <v>8612.2100000000009</v>
      </c>
      <c r="G117" s="825">
        <v>148565.75</v>
      </c>
      <c r="H117" s="825">
        <v>121180.04000000001</v>
      </c>
      <c r="I117" s="825">
        <v>27385.71</v>
      </c>
      <c r="J117" s="825">
        <v>0</v>
      </c>
      <c r="K117" s="819">
        <f t="shared" si="1"/>
        <v>27385.71</v>
      </c>
      <c r="L117" s="820" t="s">
        <v>954</v>
      </c>
    </row>
    <row r="118" spans="1:12" x14ac:dyDescent="0.25">
      <c r="A118" s="823" t="s">
        <v>979</v>
      </c>
      <c r="B118" s="823" t="s">
        <v>980</v>
      </c>
      <c r="C118" s="825">
        <v>129522.07</v>
      </c>
      <c r="D118" s="825">
        <v>112567.83</v>
      </c>
      <c r="E118" s="825">
        <v>5399.95</v>
      </c>
      <c r="F118" s="825">
        <v>8612.2100000000009</v>
      </c>
      <c r="G118" s="825">
        <v>134922.01999999999</v>
      </c>
      <c r="H118" s="825">
        <v>121180.04000000001</v>
      </c>
      <c r="I118" s="825">
        <v>13741.98</v>
      </c>
      <c r="J118" s="825">
        <v>0</v>
      </c>
      <c r="K118" s="819">
        <f t="shared" si="1"/>
        <v>13741.98</v>
      </c>
    </row>
    <row r="119" spans="1:12" x14ac:dyDescent="0.25">
      <c r="A119" s="823" t="s">
        <v>981</v>
      </c>
      <c r="B119" s="823" t="s">
        <v>982</v>
      </c>
      <c r="C119" s="825">
        <v>13643.73</v>
      </c>
      <c r="D119" s="825">
        <v>0</v>
      </c>
      <c r="E119" s="825">
        <v>0</v>
      </c>
      <c r="F119" s="825">
        <v>0</v>
      </c>
      <c r="G119" s="825">
        <v>13643.73</v>
      </c>
      <c r="H119" s="825">
        <v>0</v>
      </c>
      <c r="I119" s="825">
        <v>13643.73</v>
      </c>
      <c r="J119" s="825">
        <v>0</v>
      </c>
      <c r="K119" s="819">
        <f t="shared" si="1"/>
        <v>13643.73</v>
      </c>
    </row>
    <row r="120" spans="1:12" x14ac:dyDescent="0.25">
      <c r="A120" s="823" t="s">
        <v>983</v>
      </c>
      <c r="B120" s="823" t="s">
        <v>984</v>
      </c>
      <c r="C120" s="825">
        <v>310007.74</v>
      </c>
      <c r="D120" s="825">
        <v>409726</v>
      </c>
      <c r="E120" s="825">
        <v>137211.09</v>
      </c>
      <c r="F120" s="825">
        <v>37492.83</v>
      </c>
      <c r="G120" s="825">
        <v>447218.83</v>
      </c>
      <c r="H120" s="825">
        <v>447218.83</v>
      </c>
      <c r="I120" s="825">
        <v>0</v>
      </c>
      <c r="J120" s="825">
        <v>0</v>
      </c>
      <c r="K120" s="819">
        <f t="shared" si="1"/>
        <v>0</v>
      </c>
    </row>
    <row r="121" spans="1:12" x14ac:dyDescent="0.25">
      <c r="A121" s="823" t="s">
        <v>985</v>
      </c>
      <c r="B121" s="823" t="s">
        <v>984</v>
      </c>
      <c r="C121" s="825">
        <v>310007.74</v>
      </c>
      <c r="D121" s="825">
        <v>409726</v>
      </c>
      <c r="E121" s="825">
        <v>137211.09</v>
      </c>
      <c r="F121" s="825">
        <v>37492.83</v>
      </c>
      <c r="G121" s="825">
        <v>447218.83</v>
      </c>
      <c r="H121" s="825">
        <v>447218.83</v>
      </c>
      <c r="I121" s="825">
        <v>0</v>
      </c>
      <c r="J121" s="825">
        <v>0</v>
      </c>
      <c r="K121" s="819">
        <f t="shared" si="1"/>
        <v>0</v>
      </c>
    </row>
    <row r="122" spans="1:12" x14ac:dyDescent="0.25">
      <c r="A122" s="823" t="s">
        <v>986</v>
      </c>
      <c r="B122" s="823" t="s">
        <v>987</v>
      </c>
      <c r="C122" s="825">
        <v>41308</v>
      </c>
      <c r="D122" s="825">
        <v>37508</v>
      </c>
      <c r="E122" s="825">
        <v>7000</v>
      </c>
      <c r="F122" s="825">
        <v>10800</v>
      </c>
      <c r="G122" s="825">
        <v>48308</v>
      </c>
      <c r="H122" s="825">
        <v>48308</v>
      </c>
      <c r="I122" s="825">
        <v>0</v>
      </c>
      <c r="J122" s="825">
        <v>0</v>
      </c>
      <c r="K122" s="819">
        <f t="shared" si="1"/>
        <v>0</v>
      </c>
    </row>
    <row r="123" spans="1:12" x14ac:dyDescent="0.25">
      <c r="A123" s="823" t="s">
        <v>988</v>
      </c>
      <c r="B123" s="823" t="s">
        <v>989</v>
      </c>
      <c r="C123" s="825">
        <v>562625.34</v>
      </c>
      <c r="D123" s="825">
        <v>314332.74</v>
      </c>
      <c r="E123" s="825">
        <v>38020</v>
      </c>
      <c r="F123" s="825">
        <v>138531.09</v>
      </c>
      <c r="G123" s="825">
        <v>600645.34</v>
      </c>
      <c r="H123" s="825">
        <v>452863.83</v>
      </c>
      <c r="I123" s="825">
        <v>147781.51</v>
      </c>
      <c r="J123" s="825">
        <v>0</v>
      </c>
      <c r="K123" s="819">
        <f t="shared" si="1"/>
        <v>147781.51</v>
      </c>
      <c r="L123" s="820" t="s">
        <v>954</v>
      </c>
    </row>
    <row r="124" spans="1:12" x14ac:dyDescent="0.25">
      <c r="A124" s="823" t="s">
        <v>990</v>
      </c>
      <c r="B124" s="823" t="s">
        <v>991</v>
      </c>
      <c r="C124" s="825">
        <v>9339052.9500000011</v>
      </c>
      <c r="D124" s="825">
        <v>9339052.9500000011</v>
      </c>
      <c r="E124" s="825">
        <v>210960.5</v>
      </c>
      <c r="F124" s="825">
        <v>210960.5</v>
      </c>
      <c r="G124" s="825">
        <v>9550013.4500000011</v>
      </c>
      <c r="H124" s="825">
        <v>9550013.4500000011</v>
      </c>
      <c r="I124" s="825">
        <v>0</v>
      </c>
      <c r="J124" s="825">
        <v>0</v>
      </c>
      <c r="K124" s="819">
        <f t="shared" si="1"/>
        <v>0</v>
      </c>
      <c r="L124" s="820" t="s">
        <v>954</v>
      </c>
    </row>
    <row r="125" spans="1:12" x14ac:dyDescent="0.25">
      <c r="A125" s="823" t="s">
        <v>992</v>
      </c>
      <c r="B125" s="823" t="s">
        <v>993</v>
      </c>
      <c r="C125" s="825">
        <v>25782909.760000002</v>
      </c>
      <c r="D125" s="825">
        <v>25782909.760000002</v>
      </c>
      <c r="E125" s="825">
        <v>827284.92</v>
      </c>
      <c r="F125" s="825">
        <v>827284.92</v>
      </c>
      <c r="G125" s="825">
        <v>26610194.68</v>
      </c>
      <c r="H125" s="825">
        <v>26610194.68</v>
      </c>
      <c r="I125" s="825">
        <v>0</v>
      </c>
      <c r="J125" s="825">
        <v>0</v>
      </c>
      <c r="K125" s="819">
        <f>-H125</f>
        <v>-26610194.68</v>
      </c>
    </row>
    <row r="126" spans="1:12" x14ac:dyDescent="0.25">
      <c r="A126" s="823" t="s">
        <v>994</v>
      </c>
      <c r="B126" s="823" t="s">
        <v>995</v>
      </c>
      <c r="C126" s="825">
        <v>15993968.48</v>
      </c>
      <c r="D126" s="825">
        <v>15993968.48</v>
      </c>
      <c r="E126" s="825">
        <v>827284.92</v>
      </c>
      <c r="F126" s="825">
        <v>827284.92</v>
      </c>
      <c r="G126" s="825">
        <v>16821253.399999999</v>
      </c>
      <c r="H126" s="825">
        <v>16821253.399999999</v>
      </c>
      <c r="I126" s="825">
        <v>0</v>
      </c>
      <c r="J126" s="825">
        <v>0</v>
      </c>
      <c r="K126" s="819">
        <f t="shared" ref="K126:K175" si="2">-H126</f>
        <v>-16821253.399999999</v>
      </c>
      <c r="L126" s="826" t="s">
        <v>996</v>
      </c>
    </row>
    <row r="127" spans="1:12" x14ac:dyDescent="0.25">
      <c r="A127" s="823" t="s">
        <v>997</v>
      </c>
      <c r="B127" s="823" t="s">
        <v>998</v>
      </c>
      <c r="C127" s="825">
        <v>9788941.2799999993</v>
      </c>
      <c r="D127" s="825">
        <v>9788941.2799999993</v>
      </c>
      <c r="E127" s="825">
        <v>0</v>
      </c>
      <c r="F127" s="825">
        <v>0</v>
      </c>
      <c r="G127" s="825">
        <v>9788941.2799999993</v>
      </c>
      <c r="H127" s="825">
        <v>9788941.2799999993</v>
      </c>
      <c r="I127" s="825">
        <v>0</v>
      </c>
      <c r="J127" s="825">
        <v>0</v>
      </c>
      <c r="K127" s="819">
        <f t="shared" si="2"/>
        <v>-9788941.2799999993</v>
      </c>
      <c r="L127" s="826" t="s">
        <v>999</v>
      </c>
    </row>
    <row r="128" spans="1:12" x14ac:dyDescent="0.25">
      <c r="A128" s="823" t="s">
        <v>1000</v>
      </c>
      <c r="B128" s="823" t="s">
        <v>1001</v>
      </c>
      <c r="C128" s="825">
        <v>252240.54</v>
      </c>
      <c r="D128" s="825">
        <v>252240.54</v>
      </c>
      <c r="E128" s="825">
        <v>23751.37</v>
      </c>
      <c r="F128" s="825">
        <v>23751.37</v>
      </c>
      <c r="G128" s="825">
        <v>275991.91000000003</v>
      </c>
      <c r="H128" s="825">
        <v>275991.91000000003</v>
      </c>
      <c r="I128" s="825">
        <v>0</v>
      </c>
      <c r="J128" s="825">
        <v>0</v>
      </c>
      <c r="K128" s="819">
        <f t="shared" si="2"/>
        <v>-275991.91000000003</v>
      </c>
      <c r="L128" s="826" t="s">
        <v>1002</v>
      </c>
    </row>
    <row r="129" spans="1:12" x14ac:dyDescent="0.25">
      <c r="A129" s="823" t="s">
        <v>1003</v>
      </c>
      <c r="B129" s="823" t="s">
        <v>1004</v>
      </c>
      <c r="C129" s="825">
        <v>6432.8</v>
      </c>
      <c r="D129" s="825">
        <v>6432.8</v>
      </c>
      <c r="E129" s="825">
        <v>0</v>
      </c>
      <c r="F129" s="825">
        <v>0</v>
      </c>
      <c r="G129" s="825">
        <v>6432.8</v>
      </c>
      <c r="H129" s="825">
        <v>6432.8</v>
      </c>
      <c r="I129" s="825">
        <v>0</v>
      </c>
      <c r="J129" s="825">
        <v>0</v>
      </c>
      <c r="K129" s="819">
        <f t="shared" si="2"/>
        <v>-6432.8</v>
      </c>
    </row>
    <row r="130" spans="1:12" x14ac:dyDescent="0.25">
      <c r="A130" s="823" t="s">
        <v>1005</v>
      </c>
      <c r="B130" s="823" t="s">
        <v>1006</v>
      </c>
      <c r="C130" s="825">
        <v>207410.08000000002</v>
      </c>
      <c r="D130" s="825">
        <v>207410.08000000002</v>
      </c>
      <c r="E130" s="825">
        <v>22911.03</v>
      </c>
      <c r="F130" s="825">
        <v>22911.03</v>
      </c>
      <c r="G130" s="825">
        <v>230321.11000000002</v>
      </c>
      <c r="H130" s="825">
        <v>230321.11000000002</v>
      </c>
      <c r="I130" s="825">
        <v>0</v>
      </c>
      <c r="J130" s="825">
        <v>0</v>
      </c>
      <c r="K130" s="819">
        <f t="shared" si="2"/>
        <v>-230321.11000000002</v>
      </c>
    </row>
    <row r="131" spans="1:12" x14ac:dyDescent="0.25">
      <c r="A131" s="823" t="s">
        <v>1007</v>
      </c>
      <c r="B131" s="823" t="s">
        <v>1008</v>
      </c>
      <c r="C131" s="825">
        <v>38397.660000000003</v>
      </c>
      <c r="D131" s="825">
        <v>38397.660000000003</v>
      </c>
      <c r="E131" s="825">
        <v>840.34</v>
      </c>
      <c r="F131" s="825">
        <v>840.34</v>
      </c>
      <c r="G131" s="825">
        <v>39238</v>
      </c>
      <c r="H131" s="825">
        <v>39238</v>
      </c>
      <c r="I131" s="825">
        <v>0</v>
      </c>
      <c r="J131" s="825">
        <v>0</v>
      </c>
      <c r="K131" s="819">
        <f t="shared" si="2"/>
        <v>-39238</v>
      </c>
    </row>
    <row r="132" spans="1:12" x14ac:dyDescent="0.25">
      <c r="A132" s="823" t="s">
        <v>1009</v>
      </c>
      <c r="B132" s="823" t="s">
        <v>1010</v>
      </c>
      <c r="C132" s="825">
        <v>77479.09</v>
      </c>
      <c r="D132" s="825">
        <v>77479.09</v>
      </c>
      <c r="E132" s="825">
        <v>2075.86</v>
      </c>
      <c r="F132" s="825">
        <v>2075.86</v>
      </c>
      <c r="G132" s="825">
        <v>79554.95</v>
      </c>
      <c r="H132" s="825">
        <v>79554.95</v>
      </c>
      <c r="I132" s="825">
        <v>0</v>
      </c>
      <c r="J132" s="825">
        <v>0</v>
      </c>
      <c r="K132" s="819">
        <f t="shared" si="2"/>
        <v>-79554.95</v>
      </c>
      <c r="L132" s="826" t="s">
        <v>1002</v>
      </c>
    </row>
    <row r="133" spans="1:12" x14ac:dyDescent="0.25">
      <c r="A133" s="823" t="s">
        <v>1011</v>
      </c>
      <c r="B133" s="823" t="s">
        <v>1012</v>
      </c>
      <c r="C133" s="825">
        <v>23523.670000000002</v>
      </c>
      <c r="D133" s="825">
        <v>23523.670000000002</v>
      </c>
      <c r="E133" s="825">
        <v>123996.67</v>
      </c>
      <c r="F133" s="825">
        <v>123996.67</v>
      </c>
      <c r="G133" s="825">
        <v>147520.34</v>
      </c>
      <c r="H133" s="825">
        <v>147520.34</v>
      </c>
      <c r="I133" s="825">
        <v>0</v>
      </c>
      <c r="J133" s="825">
        <v>0</v>
      </c>
      <c r="K133" s="819">
        <f t="shared" si="2"/>
        <v>-147520.34</v>
      </c>
      <c r="L133" s="826" t="s">
        <v>1002</v>
      </c>
    </row>
    <row r="134" spans="1:12" x14ac:dyDescent="0.25">
      <c r="A134" s="823" t="s">
        <v>1013</v>
      </c>
      <c r="B134" s="823" t="s">
        <v>1014</v>
      </c>
      <c r="C134" s="825">
        <v>1540.44</v>
      </c>
      <c r="D134" s="825">
        <v>1540.44</v>
      </c>
      <c r="E134" s="825">
        <v>51.92</v>
      </c>
      <c r="F134" s="825">
        <v>51.92</v>
      </c>
      <c r="G134" s="825">
        <v>1592.3600000000001</v>
      </c>
      <c r="H134" s="825">
        <v>1592.3600000000001</v>
      </c>
      <c r="I134" s="825">
        <v>0</v>
      </c>
      <c r="J134" s="825">
        <v>0</v>
      </c>
      <c r="K134" s="819">
        <f t="shared" si="2"/>
        <v>-1592.3600000000001</v>
      </c>
      <c r="L134" s="826" t="s">
        <v>1040</v>
      </c>
    </row>
    <row r="135" spans="1:12" x14ac:dyDescent="0.25">
      <c r="A135" s="823" t="s">
        <v>1015</v>
      </c>
      <c r="B135" s="823" t="s">
        <v>1016</v>
      </c>
      <c r="C135" s="825">
        <v>4183446.79</v>
      </c>
      <c r="D135" s="825">
        <v>4183446.79</v>
      </c>
      <c r="E135" s="825">
        <v>522293.52</v>
      </c>
      <c r="F135" s="825">
        <v>522293.52</v>
      </c>
      <c r="G135" s="825">
        <v>4705740.3100000005</v>
      </c>
      <c r="H135" s="825">
        <v>4705740.3100000005</v>
      </c>
      <c r="I135" s="825">
        <v>0</v>
      </c>
      <c r="J135" s="825">
        <v>0</v>
      </c>
      <c r="K135" s="819">
        <f t="shared" si="2"/>
        <v>-4705740.3100000005</v>
      </c>
    </row>
    <row r="136" spans="1:12" x14ac:dyDescent="0.25">
      <c r="A136" s="823" t="s">
        <v>1017</v>
      </c>
      <c r="B136" s="823" t="s">
        <v>1018</v>
      </c>
      <c r="C136" s="825">
        <v>3308032.19</v>
      </c>
      <c r="D136" s="825">
        <v>3308032.19</v>
      </c>
      <c r="E136" s="825">
        <v>489531.84</v>
      </c>
      <c r="F136" s="825">
        <v>489531.84</v>
      </c>
      <c r="G136" s="825">
        <v>3797564.0300000003</v>
      </c>
      <c r="H136" s="825">
        <v>3797564.0300000003</v>
      </c>
      <c r="I136" s="825">
        <v>0</v>
      </c>
      <c r="J136" s="825">
        <v>0</v>
      </c>
      <c r="K136" s="819">
        <f t="shared" si="2"/>
        <v>-3797564.0300000003</v>
      </c>
      <c r="L136" s="826" t="s">
        <v>1019</v>
      </c>
    </row>
    <row r="137" spans="1:12" x14ac:dyDescent="0.25">
      <c r="A137" s="823" t="s">
        <v>1020</v>
      </c>
      <c r="B137" s="823" t="s">
        <v>1021</v>
      </c>
      <c r="C137" s="825">
        <v>875414.6</v>
      </c>
      <c r="D137" s="825">
        <v>875414.6</v>
      </c>
      <c r="E137" s="825">
        <v>32761.68</v>
      </c>
      <c r="F137" s="825">
        <v>32761.68</v>
      </c>
      <c r="G137" s="825">
        <v>908176.28</v>
      </c>
      <c r="H137" s="825">
        <v>908176.28</v>
      </c>
      <c r="I137" s="825">
        <v>0</v>
      </c>
      <c r="J137" s="825">
        <v>0</v>
      </c>
      <c r="K137" s="819">
        <f t="shared" si="2"/>
        <v>-908176.28</v>
      </c>
      <c r="L137" s="826" t="s">
        <v>1022</v>
      </c>
    </row>
    <row r="138" spans="1:12" x14ac:dyDescent="0.25">
      <c r="A138" s="823" t="s">
        <v>1023</v>
      </c>
      <c r="B138" s="823" t="s">
        <v>1024</v>
      </c>
      <c r="C138" s="825">
        <v>-40758.090000000004</v>
      </c>
      <c r="D138" s="825">
        <v>-40758.090000000004</v>
      </c>
      <c r="E138" s="825">
        <v>-14560.23</v>
      </c>
      <c r="F138" s="825">
        <v>-14560.23</v>
      </c>
      <c r="G138" s="825">
        <v>-55318.32</v>
      </c>
      <c r="H138" s="825">
        <v>-55318.32</v>
      </c>
      <c r="I138" s="825">
        <v>0</v>
      </c>
      <c r="J138" s="825">
        <v>0</v>
      </c>
      <c r="K138" s="819">
        <f t="shared" si="2"/>
        <v>55318.32</v>
      </c>
      <c r="L138" s="826" t="s">
        <v>1025</v>
      </c>
    </row>
    <row r="139" spans="1:12" x14ac:dyDescent="0.25">
      <c r="A139" s="823" t="s">
        <v>1026</v>
      </c>
      <c r="B139" s="823" t="s">
        <v>1027</v>
      </c>
      <c r="C139" s="825">
        <v>127240.08</v>
      </c>
      <c r="D139" s="825">
        <v>127240.08</v>
      </c>
      <c r="E139" s="825">
        <v>5671.27</v>
      </c>
      <c r="F139" s="825">
        <v>5671.27</v>
      </c>
      <c r="G139" s="825">
        <v>132911.35</v>
      </c>
      <c r="H139" s="825">
        <v>132911.35</v>
      </c>
      <c r="I139" s="825">
        <v>0</v>
      </c>
      <c r="J139" s="825">
        <v>0</v>
      </c>
      <c r="K139" s="819">
        <f t="shared" si="2"/>
        <v>-132911.35</v>
      </c>
      <c r="L139" s="826" t="s">
        <v>1028</v>
      </c>
    </row>
    <row r="140" spans="1:12" x14ac:dyDescent="0.25">
      <c r="A140" s="823" t="s">
        <v>1029</v>
      </c>
      <c r="B140" s="823" t="s">
        <v>1030</v>
      </c>
      <c r="C140" s="825">
        <v>1280471.1300000001</v>
      </c>
      <c r="D140" s="825">
        <v>1280471.1300000001</v>
      </c>
      <c r="E140" s="825">
        <v>102973.1</v>
      </c>
      <c r="F140" s="825">
        <v>102973.1</v>
      </c>
      <c r="G140" s="825">
        <v>1383444.23</v>
      </c>
      <c r="H140" s="825">
        <v>1383444.23</v>
      </c>
      <c r="I140" s="825">
        <v>0</v>
      </c>
      <c r="J140" s="825">
        <v>0</v>
      </c>
      <c r="K140" s="819">
        <f t="shared" si="2"/>
        <v>-1383444.23</v>
      </c>
      <c r="L140" s="826" t="s">
        <v>1031</v>
      </c>
    </row>
    <row r="141" spans="1:12" x14ac:dyDescent="0.25">
      <c r="A141" s="823" t="s">
        <v>1032</v>
      </c>
      <c r="B141" s="823" t="s">
        <v>1033</v>
      </c>
      <c r="C141" s="825">
        <v>159025.51</v>
      </c>
      <c r="D141" s="825">
        <v>159025.51</v>
      </c>
      <c r="E141" s="825">
        <v>10006.86</v>
      </c>
      <c r="F141" s="825">
        <v>10006.86</v>
      </c>
      <c r="G141" s="825">
        <v>169032.37</v>
      </c>
      <c r="H141" s="825">
        <v>169032.37</v>
      </c>
      <c r="I141" s="825">
        <v>0</v>
      </c>
      <c r="J141" s="825">
        <v>0</v>
      </c>
      <c r="K141" s="819">
        <f t="shared" si="2"/>
        <v>-169032.37</v>
      </c>
      <c r="L141" s="826" t="s">
        <v>1028</v>
      </c>
    </row>
    <row r="142" spans="1:12" x14ac:dyDescent="0.25">
      <c r="A142" s="823" t="s">
        <v>1160</v>
      </c>
      <c r="B142" s="823" t="s">
        <v>1161</v>
      </c>
      <c r="C142" s="825">
        <v>107.07000000000001</v>
      </c>
      <c r="D142" s="825">
        <v>107.07000000000001</v>
      </c>
      <c r="E142" s="825">
        <v>0</v>
      </c>
      <c r="F142" s="825">
        <v>0</v>
      </c>
      <c r="G142" s="825">
        <v>107.07000000000001</v>
      </c>
      <c r="H142" s="825">
        <v>107.07000000000001</v>
      </c>
      <c r="I142" s="825">
        <v>0</v>
      </c>
      <c r="J142" s="825">
        <v>0</v>
      </c>
      <c r="K142" s="819">
        <f t="shared" si="2"/>
        <v>-107.07000000000001</v>
      </c>
      <c r="L142" s="826" t="s">
        <v>1028</v>
      </c>
    </row>
    <row r="143" spans="1:12" x14ac:dyDescent="0.25">
      <c r="A143" s="823" t="s">
        <v>1162</v>
      </c>
      <c r="B143" s="823" t="s">
        <v>1163</v>
      </c>
      <c r="C143" s="825">
        <v>142</v>
      </c>
      <c r="D143" s="825">
        <v>142</v>
      </c>
      <c r="E143" s="825">
        <v>0</v>
      </c>
      <c r="F143" s="825">
        <v>0</v>
      </c>
      <c r="G143" s="825">
        <v>142</v>
      </c>
      <c r="H143" s="825">
        <v>142</v>
      </c>
      <c r="I143" s="825">
        <v>0</v>
      </c>
      <c r="J143" s="825">
        <v>0</v>
      </c>
      <c r="K143" s="819">
        <f t="shared" si="2"/>
        <v>-142</v>
      </c>
      <c r="L143" s="826" t="s">
        <v>1028</v>
      </c>
    </row>
    <row r="144" spans="1:12" x14ac:dyDescent="0.25">
      <c r="A144" s="823" t="s">
        <v>1034</v>
      </c>
      <c r="B144" s="823" t="s">
        <v>1035</v>
      </c>
      <c r="C144" s="825">
        <v>17210.04</v>
      </c>
      <c r="D144" s="825">
        <v>17210.04</v>
      </c>
      <c r="E144" s="825">
        <v>6224.9800000000005</v>
      </c>
      <c r="F144" s="825">
        <v>6224.9800000000005</v>
      </c>
      <c r="G144" s="825">
        <v>23435.02</v>
      </c>
      <c r="H144" s="825">
        <v>23435.02</v>
      </c>
      <c r="I144" s="825">
        <v>0</v>
      </c>
      <c r="J144" s="825">
        <v>0</v>
      </c>
      <c r="K144" s="819">
        <f t="shared" si="2"/>
        <v>-23435.02</v>
      </c>
      <c r="L144" s="826" t="s">
        <v>1028</v>
      </c>
    </row>
    <row r="145" spans="1:12" x14ac:dyDescent="0.25">
      <c r="A145" s="823" t="s">
        <v>1036</v>
      </c>
      <c r="B145" s="823" t="s">
        <v>1037</v>
      </c>
      <c r="C145" s="825">
        <v>36888.879999999997</v>
      </c>
      <c r="D145" s="825">
        <v>36888.879999999997</v>
      </c>
      <c r="E145" s="825">
        <v>8598.43</v>
      </c>
      <c r="F145" s="825">
        <v>8598.43</v>
      </c>
      <c r="G145" s="825">
        <v>45487.31</v>
      </c>
      <c r="H145" s="825">
        <v>45487.31</v>
      </c>
      <c r="I145" s="825">
        <v>0</v>
      </c>
      <c r="J145" s="825">
        <v>0</v>
      </c>
      <c r="K145" s="819">
        <f t="shared" si="2"/>
        <v>-45487.31</v>
      </c>
    </row>
    <row r="146" spans="1:12" x14ac:dyDescent="0.25">
      <c r="A146" s="823" t="s">
        <v>1038</v>
      </c>
      <c r="B146" s="823" t="s">
        <v>1039</v>
      </c>
      <c r="C146" s="825">
        <v>13481.87</v>
      </c>
      <c r="D146" s="825">
        <v>13481.87</v>
      </c>
      <c r="E146" s="825">
        <v>1628.43</v>
      </c>
      <c r="F146" s="825">
        <v>1628.43</v>
      </c>
      <c r="G146" s="825">
        <v>15110.300000000001</v>
      </c>
      <c r="H146" s="825">
        <v>15110.300000000001</v>
      </c>
      <c r="I146" s="825">
        <v>0</v>
      </c>
      <c r="J146" s="825">
        <v>0</v>
      </c>
      <c r="K146" s="819">
        <f t="shared" si="2"/>
        <v>-15110.300000000001</v>
      </c>
      <c r="L146" s="826" t="s">
        <v>1040</v>
      </c>
    </row>
    <row r="147" spans="1:12" x14ac:dyDescent="0.25">
      <c r="A147" s="823" t="s">
        <v>1041</v>
      </c>
      <c r="B147" s="823" t="s">
        <v>1042</v>
      </c>
      <c r="C147" s="825">
        <v>23407.010000000002</v>
      </c>
      <c r="D147" s="825">
        <v>23407.010000000002</v>
      </c>
      <c r="E147" s="825">
        <v>6970</v>
      </c>
      <c r="F147" s="825">
        <v>6970</v>
      </c>
      <c r="G147" s="825">
        <v>30377.010000000002</v>
      </c>
      <c r="H147" s="825">
        <v>30377.010000000002</v>
      </c>
      <c r="I147" s="825">
        <v>0</v>
      </c>
      <c r="J147" s="825">
        <v>0</v>
      </c>
      <c r="K147" s="819">
        <f t="shared" si="2"/>
        <v>-30377.010000000002</v>
      </c>
      <c r="L147" s="826" t="s">
        <v>1028</v>
      </c>
    </row>
    <row r="148" spans="1:12" x14ac:dyDescent="0.25">
      <c r="A148" s="823" t="s">
        <v>1043</v>
      </c>
      <c r="B148" s="823" t="s">
        <v>1044</v>
      </c>
      <c r="C148" s="825">
        <v>1276130.57</v>
      </c>
      <c r="D148" s="825">
        <v>1276130.57</v>
      </c>
      <c r="E148" s="825">
        <v>81489.67</v>
      </c>
      <c r="F148" s="825">
        <v>81489.67</v>
      </c>
      <c r="G148" s="825">
        <v>1357620.24</v>
      </c>
      <c r="H148" s="825">
        <v>1357620.24</v>
      </c>
      <c r="I148" s="825">
        <v>0</v>
      </c>
      <c r="J148" s="825">
        <v>0</v>
      </c>
      <c r="K148" s="819">
        <f t="shared" si="2"/>
        <v>-1357620.24</v>
      </c>
      <c r="L148" s="826" t="s">
        <v>1045</v>
      </c>
    </row>
    <row r="149" spans="1:12" x14ac:dyDescent="0.25">
      <c r="A149" s="823" t="s">
        <v>1046</v>
      </c>
      <c r="B149" s="823" t="s">
        <v>1047</v>
      </c>
      <c r="C149" s="825">
        <v>177700.4</v>
      </c>
      <c r="D149" s="825">
        <v>177700.4</v>
      </c>
      <c r="E149" s="825">
        <v>14993.51</v>
      </c>
      <c r="F149" s="825">
        <v>14993.51</v>
      </c>
      <c r="G149" s="825">
        <v>192693.91</v>
      </c>
      <c r="H149" s="825">
        <v>192693.91</v>
      </c>
      <c r="I149" s="825">
        <v>0</v>
      </c>
      <c r="J149" s="825">
        <v>0</v>
      </c>
      <c r="K149" s="819">
        <f t="shared" si="2"/>
        <v>-192693.91</v>
      </c>
      <c r="L149" s="826" t="s">
        <v>1040</v>
      </c>
    </row>
    <row r="150" spans="1:12" x14ac:dyDescent="0.25">
      <c r="A150" s="823" t="s">
        <v>1048</v>
      </c>
      <c r="B150" s="823" t="s">
        <v>1049</v>
      </c>
      <c r="C150" s="825">
        <v>90908.14</v>
      </c>
      <c r="D150" s="825">
        <v>90908.14</v>
      </c>
      <c r="E150" s="825">
        <v>13182.02</v>
      </c>
      <c r="F150" s="825">
        <v>13182.02</v>
      </c>
      <c r="G150" s="825">
        <v>104090.16</v>
      </c>
      <c r="H150" s="825">
        <v>104090.16</v>
      </c>
      <c r="I150" s="825">
        <v>0</v>
      </c>
      <c r="J150" s="825">
        <v>0</v>
      </c>
      <c r="K150" s="819">
        <f t="shared" si="2"/>
        <v>-104090.16</v>
      </c>
      <c r="L150" s="826" t="s">
        <v>1040</v>
      </c>
    </row>
    <row r="151" spans="1:12" x14ac:dyDescent="0.25">
      <c r="A151" s="823" t="s">
        <v>1050</v>
      </c>
      <c r="B151" s="823" t="s">
        <v>1051</v>
      </c>
      <c r="C151" s="825">
        <v>91603.89</v>
      </c>
      <c r="D151" s="825">
        <v>91603.89</v>
      </c>
      <c r="E151" s="825">
        <v>5980.97</v>
      </c>
      <c r="F151" s="825">
        <v>5980.97</v>
      </c>
      <c r="G151" s="825">
        <v>97584.86</v>
      </c>
      <c r="H151" s="825">
        <v>97584.86</v>
      </c>
      <c r="I151" s="825">
        <v>0</v>
      </c>
      <c r="J151" s="825">
        <v>0</v>
      </c>
      <c r="K151" s="819">
        <f t="shared" si="2"/>
        <v>-97584.86</v>
      </c>
      <c r="L151" s="826" t="s">
        <v>1040</v>
      </c>
    </row>
    <row r="152" spans="1:12" x14ac:dyDescent="0.25">
      <c r="A152" s="823" t="s">
        <v>1052</v>
      </c>
      <c r="B152" s="823" t="s">
        <v>1053</v>
      </c>
      <c r="C152" s="825">
        <v>4395594.01</v>
      </c>
      <c r="D152" s="825">
        <v>4395594.01</v>
      </c>
      <c r="E152" s="825">
        <v>547115.79</v>
      </c>
      <c r="F152" s="825">
        <v>547115.79</v>
      </c>
      <c r="G152" s="825">
        <v>4942709.8</v>
      </c>
      <c r="H152" s="825">
        <v>4942709.8</v>
      </c>
      <c r="I152" s="825">
        <v>0</v>
      </c>
      <c r="J152" s="825">
        <v>0</v>
      </c>
      <c r="K152" s="819">
        <f t="shared" si="2"/>
        <v>-4942709.8</v>
      </c>
      <c r="L152" s="826" t="s">
        <v>1040</v>
      </c>
    </row>
    <row r="153" spans="1:12" x14ac:dyDescent="0.25">
      <c r="A153" s="823" t="s">
        <v>1054</v>
      </c>
      <c r="B153" s="823" t="s">
        <v>1055</v>
      </c>
      <c r="C153" s="825">
        <v>12755.79</v>
      </c>
      <c r="D153" s="825">
        <v>12755.79</v>
      </c>
      <c r="E153" s="825">
        <v>0</v>
      </c>
      <c r="F153" s="825">
        <v>0</v>
      </c>
      <c r="G153" s="825">
        <v>12755.79</v>
      </c>
      <c r="H153" s="825">
        <v>12755.79</v>
      </c>
      <c r="I153" s="825">
        <v>0</v>
      </c>
      <c r="J153" s="825">
        <v>0</v>
      </c>
      <c r="K153" s="819">
        <f t="shared" si="2"/>
        <v>-12755.79</v>
      </c>
      <c r="L153" s="826" t="s">
        <v>1040</v>
      </c>
    </row>
    <row r="154" spans="1:12" x14ac:dyDescent="0.25">
      <c r="A154" s="823" t="s">
        <v>1056</v>
      </c>
      <c r="B154" s="823" t="s">
        <v>1057</v>
      </c>
      <c r="C154" s="825">
        <v>659957</v>
      </c>
      <c r="D154" s="825">
        <v>659957</v>
      </c>
      <c r="E154" s="825">
        <v>62824</v>
      </c>
      <c r="F154" s="825">
        <v>62824</v>
      </c>
      <c r="G154" s="825">
        <v>722781</v>
      </c>
      <c r="H154" s="825">
        <v>722781</v>
      </c>
      <c r="I154" s="825">
        <v>0</v>
      </c>
      <c r="J154" s="825">
        <v>0</v>
      </c>
      <c r="K154" s="819">
        <f t="shared" si="2"/>
        <v>-722781</v>
      </c>
      <c r="L154" s="826" t="s">
        <v>1058</v>
      </c>
    </row>
    <row r="155" spans="1:12" x14ac:dyDescent="0.25">
      <c r="A155" s="823" t="s">
        <v>1059</v>
      </c>
      <c r="B155" s="823" t="s">
        <v>1060</v>
      </c>
      <c r="C155" s="825">
        <v>37508</v>
      </c>
      <c r="D155" s="825">
        <v>37508</v>
      </c>
      <c r="E155" s="825">
        <v>10800</v>
      </c>
      <c r="F155" s="825">
        <v>10800</v>
      </c>
      <c r="G155" s="825">
        <v>48308</v>
      </c>
      <c r="H155" s="825">
        <v>48308</v>
      </c>
      <c r="I155" s="825">
        <v>0</v>
      </c>
      <c r="J155" s="825">
        <v>0</v>
      </c>
      <c r="K155" s="819">
        <f t="shared" si="2"/>
        <v>-48308</v>
      </c>
      <c r="L155" s="826" t="s">
        <v>1183</v>
      </c>
    </row>
    <row r="156" spans="1:12" x14ac:dyDescent="0.25">
      <c r="A156" s="823" t="s">
        <v>1061</v>
      </c>
      <c r="B156" s="823" t="s">
        <v>1062</v>
      </c>
      <c r="C156" s="825">
        <v>150319</v>
      </c>
      <c r="D156" s="825">
        <v>150319</v>
      </c>
      <c r="E156" s="825">
        <v>14342</v>
      </c>
      <c r="F156" s="825">
        <v>14342</v>
      </c>
      <c r="G156" s="825">
        <v>164661</v>
      </c>
      <c r="H156" s="825">
        <v>164661</v>
      </c>
      <c r="I156" s="825">
        <v>0</v>
      </c>
      <c r="J156" s="825">
        <v>0</v>
      </c>
      <c r="K156" s="819">
        <f t="shared" si="2"/>
        <v>-164661</v>
      </c>
      <c r="L156" s="826" t="s">
        <v>1184</v>
      </c>
    </row>
    <row r="157" spans="1:12" x14ac:dyDescent="0.25">
      <c r="A157" s="823" t="s">
        <v>1063</v>
      </c>
      <c r="B157" s="823" t="s">
        <v>1064</v>
      </c>
      <c r="C157" s="825">
        <v>104270</v>
      </c>
      <c r="D157" s="825">
        <v>104270</v>
      </c>
      <c r="E157" s="825">
        <v>9958</v>
      </c>
      <c r="F157" s="825">
        <v>9958</v>
      </c>
      <c r="G157" s="825">
        <v>114228</v>
      </c>
      <c r="H157" s="825">
        <v>114228</v>
      </c>
      <c r="I157" s="825">
        <v>0</v>
      </c>
      <c r="J157" s="825">
        <v>0</v>
      </c>
      <c r="K157" s="819">
        <f t="shared" si="2"/>
        <v>-114228</v>
      </c>
    </row>
    <row r="158" spans="1:12" x14ac:dyDescent="0.25">
      <c r="A158" s="823" t="s">
        <v>1065</v>
      </c>
      <c r="B158" s="823" t="s">
        <v>1066</v>
      </c>
      <c r="C158" s="825">
        <v>3300</v>
      </c>
      <c r="D158" s="825">
        <v>3300</v>
      </c>
      <c r="E158" s="825">
        <v>314</v>
      </c>
      <c r="F158" s="825">
        <v>314</v>
      </c>
      <c r="G158" s="825">
        <v>3614</v>
      </c>
      <c r="H158" s="825">
        <v>3614</v>
      </c>
      <c r="I158" s="825">
        <v>0</v>
      </c>
      <c r="J158" s="825">
        <v>0</v>
      </c>
      <c r="K158" s="819">
        <f t="shared" si="2"/>
        <v>-3614</v>
      </c>
    </row>
    <row r="159" spans="1:12" x14ac:dyDescent="0.25">
      <c r="A159" s="823" t="s">
        <v>1067</v>
      </c>
      <c r="B159" s="823" t="s">
        <v>1068</v>
      </c>
      <c r="C159" s="825">
        <v>34317</v>
      </c>
      <c r="D159" s="825">
        <v>34317</v>
      </c>
      <c r="E159" s="825">
        <v>3267</v>
      </c>
      <c r="F159" s="825">
        <v>3267</v>
      </c>
      <c r="G159" s="825">
        <v>37584</v>
      </c>
      <c r="H159" s="825">
        <v>37584</v>
      </c>
      <c r="I159" s="825">
        <v>0</v>
      </c>
      <c r="J159" s="825">
        <v>0</v>
      </c>
      <c r="K159" s="819">
        <f t="shared" si="2"/>
        <v>-37584</v>
      </c>
    </row>
    <row r="160" spans="1:12" x14ac:dyDescent="0.25">
      <c r="A160" s="823" t="s">
        <v>1069</v>
      </c>
      <c r="B160" s="823" t="s">
        <v>1070</v>
      </c>
      <c r="C160" s="825">
        <v>1174</v>
      </c>
      <c r="D160" s="825">
        <v>1174</v>
      </c>
      <c r="E160" s="825">
        <v>112</v>
      </c>
      <c r="F160" s="825">
        <v>112</v>
      </c>
      <c r="G160" s="825">
        <v>1286</v>
      </c>
      <c r="H160" s="825">
        <v>1286</v>
      </c>
      <c r="I160" s="825">
        <v>0</v>
      </c>
      <c r="J160" s="825">
        <v>0</v>
      </c>
      <c r="K160" s="819">
        <f t="shared" si="2"/>
        <v>-1286</v>
      </c>
    </row>
    <row r="161" spans="1:12" x14ac:dyDescent="0.25">
      <c r="A161" s="823" t="s">
        <v>1071</v>
      </c>
      <c r="B161" s="823" t="s">
        <v>1072</v>
      </c>
      <c r="C161" s="825">
        <v>5609</v>
      </c>
      <c r="D161" s="825">
        <v>5609</v>
      </c>
      <c r="E161" s="825">
        <v>534</v>
      </c>
      <c r="F161" s="825">
        <v>534</v>
      </c>
      <c r="G161" s="825">
        <v>6143</v>
      </c>
      <c r="H161" s="825">
        <v>6143</v>
      </c>
      <c r="I161" s="825">
        <v>0</v>
      </c>
      <c r="J161" s="825">
        <v>0</v>
      </c>
      <c r="K161" s="819">
        <f t="shared" si="2"/>
        <v>-6143</v>
      </c>
    </row>
    <row r="162" spans="1:12" x14ac:dyDescent="0.25">
      <c r="A162" s="823" t="s">
        <v>1073</v>
      </c>
      <c r="B162" s="823" t="s">
        <v>1074</v>
      </c>
      <c r="C162" s="825">
        <v>1649</v>
      </c>
      <c r="D162" s="825">
        <v>1649</v>
      </c>
      <c r="E162" s="825">
        <v>157</v>
      </c>
      <c r="F162" s="825">
        <v>157</v>
      </c>
      <c r="G162" s="825">
        <v>1806</v>
      </c>
      <c r="H162" s="825">
        <v>1806</v>
      </c>
      <c r="I162" s="825">
        <v>0</v>
      </c>
      <c r="J162" s="825">
        <v>0</v>
      </c>
      <c r="K162" s="819">
        <f t="shared" si="2"/>
        <v>-1806</v>
      </c>
    </row>
    <row r="163" spans="1:12" x14ac:dyDescent="0.25">
      <c r="A163" s="823" t="s">
        <v>1075</v>
      </c>
      <c r="B163" s="823" t="s">
        <v>1076</v>
      </c>
      <c r="C163" s="825">
        <v>31725.3</v>
      </c>
      <c r="D163" s="825">
        <v>31725.3</v>
      </c>
      <c r="E163" s="825">
        <v>0</v>
      </c>
      <c r="F163" s="825">
        <v>0</v>
      </c>
      <c r="G163" s="825">
        <v>31725.3</v>
      </c>
      <c r="H163" s="825">
        <v>31725.3</v>
      </c>
      <c r="I163" s="825">
        <v>0</v>
      </c>
      <c r="J163" s="825">
        <v>0</v>
      </c>
      <c r="K163" s="819">
        <f t="shared" si="2"/>
        <v>-31725.3</v>
      </c>
      <c r="L163" s="826" t="s">
        <v>1040</v>
      </c>
    </row>
    <row r="164" spans="1:12" x14ac:dyDescent="0.25">
      <c r="A164" s="823" t="s">
        <v>1077</v>
      </c>
      <c r="B164" s="823" t="s">
        <v>1078</v>
      </c>
      <c r="C164" s="825">
        <v>3879.48</v>
      </c>
      <c r="D164" s="825">
        <v>3879.48</v>
      </c>
      <c r="E164" s="825">
        <v>0</v>
      </c>
      <c r="F164" s="825">
        <v>0</v>
      </c>
      <c r="G164" s="825">
        <v>3879.48</v>
      </c>
      <c r="H164" s="825">
        <v>3879.48</v>
      </c>
      <c r="I164" s="825">
        <v>0</v>
      </c>
      <c r="J164" s="825">
        <v>0</v>
      </c>
      <c r="K164" s="819">
        <f t="shared" si="2"/>
        <v>-3879.48</v>
      </c>
    </row>
    <row r="165" spans="1:12" x14ac:dyDescent="0.25">
      <c r="A165" s="823" t="s">
        <v>1079</v>
      </c>
      <c r="B165" s="823" t="s">
        <v>1080</v>
      </c>
      <c r="C165" s="825">
        <v>6000</v>
      </c>
      <c r="D165" s="825">
        <v>6000</v>
      </c>
      <c r="E165" s="825">
        <v>0</v>
      </c>
      <c r="F165" s="825">
        <v>0</v>
      </c>
      <c r="G165" s="825">
        <v>6000</v>
      </c>
      <c r="H165" s="825">
        <v>6000</v>
      </c>
      <c r="I165" s="825">
        <v>0</v>
      </c>
      <c r="J165" s="825">
        <v>0</v>
      </c>
      <c r="K165" s="819">
        <f t="shared" si="2"/>
        <v>-6000</v>
      </c>
    </row>
    <row r="166" spans="1:12" x14ac:dyDescent="0.25">
      <c r="A166" s="823" t="s">
        <v>1164</v>
      </c>
      <c r="B166" s="823" t="s">
        <v>1165</v>
      </c>
      <c r="C166" s="825">
        <v>13921.87</v>
      </c>
      <c r="D166" s="825">
        <v>13921.87</v>
      </c>
      <c r="E166" s="825">
        <v>0</v>
      </c>
      <c r="F166" s="825">
        <v>0</v>
      </c>
      <c r="G166" s="825">
        <v>13921.87</v>
      </c>
      <c r="H166" s="825">
        <v>13921.87</v>
      </c>
      <c r="I166" s="825">
        <v>0</v>
      </c>
      <c r="J166" s="825">
        <v>0</v>
      </c>
      <c r="K166" s="819">
        <f t="shared" si="2"/>
        <v>-13921.87</v>
      </c>
    </row>
    <row r="167" spans="1:12" x14ac:dyDescent="0.25">
      <c r="A167" s="823" t="s">
        <v>1081</v>
      </c>
      <c r="B167" s="823" t="s">
        <v>1082</v>
      </c>
      <c r="C167" s="825">
        <v>7923.95</v>
      </c>
      <c r="D167" s="825">
        <v>7923.95</v>
      </c>
      <c r="E167" s="825">
        <v>0</v>
      </c>
      <c r="F167" s="825">
        <v>0</v>
      </c>
      <c r="G167" s="825">
        <v>7923.95</v>
      </c>
      <c r="H167" s="825">
        <v>7923.95</v>
      </c>
      <c r="I167" s="825">
        <v>0</v>
      </c>
      <c r="J167" s="825">
        <v>0</v>
      </c>
      <c r="K167" s="819">
        <f t="shared" si="2"/>
        <v>-7923.95</v>
      </c>
    </row>
    <row r="168" spans="1:12" x14ac:dyDescent="0.25">
      <c r="A168" s="823" t="s">
        <v>1083</v>
      </c>
      <c r="B168" s="823" t="s">
        <v>1084</v>
      </c>
      <c r="C168" s="825">
        <v>270889.97000000003</v>
      </c>
      <c r="D168" s="825">
        <v>270889.97000000003</v>
      </c>
      <c r="E168" s="825">
        <v>43033.770000000004</v>
      </c>
      <c r="F168" s="825">
        <v>43033.770000000004</v>
      </c>
      <c r="G168" s="825">
        <v>313923.74</v>
      </c>
      <c r="H168" s="825">
        <v>313923.74</v>
      </c>
      <c r="I168" s="825">
        <v>0</v>
      </c>
      <c r="J168" s="825">
        <v>0</v>
      </c>
      <c r="K168" s="819">
        <f t="shared" si="2"/>
        <v>-313923.74</v>
      </c>
      <c r="L168" s="820" t="s">
        <v>1185</v>
      </c>
    </row>
    <row r="169" spans="1:12" x14ac:dyDescent="0.25">
      <c r="A169" s="823" t="s">
        <v>1086</v>
      </c>
      <c r="B169" s="823" t="s">
        <v>1087</v>
      </c>
      <c r="C169" s="825">
        <v>40776.230000000003</v>
      </c>
      <c r="D169" s="825">
        <v>40776.230000000003</v>
      </c>
      <c r="E169" s="825">
        <v>8897.58</v>
      </c>
      <c r="F169" s="825">
        <v>8897.58</v>
      </c>
      <c r="G169" s="825">
        <v>49673.81</v>
      </c>
      <c r="H169" s="825">
        <v>49673.81</v>
      </c>
      <c r="I169" s="825">
        <v>0</v>
      </c>
      <c r="J169" s="825">
        <v>0</v>
      </c>
      <c r="K169" s="819">
        <f t="shared" si="2"/>
        <v>-49673.81</v>
      </c>
      <c r="L169" s="820" t="s">
        <v>1088</v>
      </c>
    </row>
    <row r="170" spans="1:12" x14ac:dyDescent="0.25">
      <c r="A170" s="823" t="s">
        <v>1089</v>
      </c>
      <c r="B170" s="823" t="s">
        <v>1090</v>
      </c>
      <c r="C170" s="825">
        <v>299009.13</v>
      </c>
      <c r="D170" s="825">
        <v>299009.13</v>
      </c>
      <c r="E170" s="825">
        <v>25895.73</v>
      </c>
      <c r="F170" s="825">
        <v>25895.73</v>
      </c>
      <c r="G170" s="825">
        <v>324904.86</v>
      </c>
      <c r="H170" s="825">
        <v>324904.86</v>
      </c>
      <c r="I170" s="825">
        <v>0</v>
      </c>
      <c r="J170" s="825">
        <v>0</v>
      </c>
      <c r="K170" s="819">
        <f t="shared" si="2"/>
        <v>-324904.86</v>
      </c>
      <c r="L170" s="821" t="s">
        <v>1091</v>
      </c>
    </row>
    <row r="171" spans="1:12" x14ac:dyDescent="0.25">
      <c r="A171" s="823" t="s">
        <v>1092</v>
      </c>
      <c r="B171" s="823" t="s">
        <v>1093</v>
      </c>
      <c r="C171" s="825">
        <v>9161.630000000001</v>
      </c>
      <c r="D171" s="825">
        <v>9161.630000000001</v>
      </c>
      <c r="E171" s="825">
        <v>665.7</v>
      </c>
      <c r="F171" s="825">
        <v>665.7</v>
      </c>
      <c r="G171" s="825">
        <v>9827.33</v>
      </c>
      <c r="H171" s="825">
        <v>9827.33</v>
      </c>
      <c r="I171" s="825">
        <v>0</v>
      </c>
      <c r="J171" s="825">
        <v>0</v>
      </c>
      <c r="K171" s="819">
        <f t="shared" si="2"/>
        <v>-9827.33</v>
      </c>
    </row>
    <row r="172" spans="1:12" x14ac:dyDescent="0.25">
      <c r="A172" s="823" t="s">
        <v>1094</v>
      </c>
      <c r="B172" s="823" t="s">
        <v>1095</v>
      </c>
      <c r="C172" s="825">
        <v>245257.46</v>
      </c>
      <c r="D172" s="825">
        <v>245257.46</v>
      </c>
      <c r="E172" s="825">
        <v>21773.78</v>
      </c>
      <c r="F172" s="825">
        <v>21773.78</v>
      </c>
      <c r="G172" s="825">
        <v>267031.24</v>
      </c>
      <c r="H172" s="825">
        <v>267031.24</v>
      </c>
      <c r="I172" s="825">
        <v>0</v>
      </c>
      <c r="J172" s="825">
        <v>0</v>
      </c>
      <c r="K172" s="819">
        <f t="shared" si="2"/>
        <v>-267031.24</v>
      </c>
    </row>
    <row r="173" spans="1:12" x14ac:dyDescent="0.25">
      <c r="A173" s="823" t="s">
        <v>1096</v>
      </c>
      <c r="B173" s="823" t="s">
        <v>1097</v>
      </c>
      <c r="C173" s="825">
        <v>32689.18</v>
      </c>
      <c r="D173" s="825">
        <v>32689.18</v>
      </c>
      <c r="E173" s="825">
        <v>2463.17</v>
      </c>
      <c r="F173" s="825">
        <v>2463.17</v>
      </c>
      <c r="G173" s="825">
        <v>35152.35</v>
      </c>
      <c r="H173" s="825">
        <v>35152.35</v>
      </c>
      <c r="I173" s="825">
        <v>0</v>
      </c>
      <c r="J173" s="825">
        <v>0</v>
      </c>
      <c r="K173" s="819">
        <f t="shared" si="2"/>
        <v>-35152.35</v>
      </c>
    </row>
    <row r="174" spans="1:12" x14ac:dyDescent="0.25">
      <c r="A174" s="823" t="s">
        <v>1098</v>
      </c>
      <c r="B174" s="823" t="s">
        <v>1099</v>
      </c>
      <c r="C174" s="825">
        <v>11900.86</v>
      </c>
      <c r="D174" s="825">
        <v>11900.86</v>
      </c>
      <c r="E174" s="825">
        <v>993.08</v>
      </c>
      <c r="F174" s="825">
        <v>993.08</v>
      </c>
      <c r="G174" s="825">
        <v>12893.94</v>
      </c>
      <c r="H174" s="825">
        <v>12893.94</v>
      </c>
      <c r="I174" s="825">
        <v>0</v>
      </c>
      <c r="J174" s="825">
        <v>0</v>
      </c>
      <c r="K174" s="819">
        <f t="shared" si="2"/>
        <v>-12893.94</v>
      </c>
    </row>
    <row r="175" spans="1:12" x14ac:dyDescent="0.25">
      <c r="A175" s="823" t="s">
        <v>1100</v>
      </c>
      <c r="B175" s="823" t="s">
        <v>1101</v>
      </c>
      <c r="C175" s="825">
        <v>239006</v>
      </c>
      <c r="D175" s="825">
        <v>239006</v>
      </c>
      <c r="E175" s="825">
        <v>146524</v>
      </c>
      <c r="F175" s="825">
        <v>146524</v>
      </c>
      <c r="G175" s="825">
        <v>385530</v>
      </c>
      <c r="H175" s="825">
        <v>385530</v>
      </c>
      <c r="I175" s="825">
        <v>0</v>
      </c>
      <c r="J175" s="825">
        <v>0</v>
      </c>
      <c r="K175" s="819">
        <f t="shared" si="2"/>
        <v>-385530</v>
      </c>
      <c r="L175" s="821" t="s">
        <v>1102</v>
      </c>
    </row>
    <row r="176" spans="1:12" x14ac:dyDescent="0.25">
      <c r="A176" s="823" t="s">
        <v>1103</v>
      </c>
      <c r="B176" s="823" t="s">
        <v>1104</v>
      </c>
      <c r="C176" s="825">
        <v>16619296.189999999</v>
      </c>
      <c r="D176" s="825">
        <v>16619296.189999999</v>
      </c>
      <c r="E176" s="825">
        <v>1814830.2</v>
      </c>
      <c r="F176" s="825">
        <v>1814830.2</v>
      </c>
      <c r="G176" s="825">
        <v>18434126.390000001</v>
      </c>
      <c r="H176" s="825">
        <v>18434126.390000001</v>
      </c>
      <c r="I176" s="825">
        <v>0</v>
      </c>
      <c r="J176" s="825">
        <v>0</v>
      </c>
      <c r="K176" s="819">
        <f>H176</f>
        <v>18434126.390000001</v>
      </c>
      <c r="L176" s="821" t="s">
        <v>1105</v>
      </c>
    </row>
    <row r="177" spans="1:12" x14ac:dyDescent="0.25">
      <c r="A177" s="823" t="s">
        <v>1106</v>
      </c>
      <c r="B177" s="823" t="s">
        <v>1107</v>
      </c>
      <c r="C177" s="825">
        <v>18408519.510000002</v>
      </c>
      <c r="D177" s="825">
        <v>18408519.510000002</v>
      </c>
      <c r="E177" s="825">
        <v>1371682.46</v>
      </c>
      <c r="F177" s="825">
        <v>1371682.46</v>
      </c>
      <c r="G177" s="825">
        <v>19780201.969999999</v>
      </c>
      <c r="H177" s="825">
        <v>19780201.969999999</v>
      </c>
      <c r="I177" s="825">
        <v>0</v>
      </c>
      <c r="J177" s="825">
        <v>0</v>
      </c>
      <c r="K177" s="819">
        <f t="shared" ref="K177:K191" si="3">H177</f>
        <v>19780201.969999999</v>
      </c>
      <c r="L177" s="821" t="s">
        <v>1108</v>
      </c>
    </row>
    <row r="178" spans="1:12" x14ac:dyDescent="0.25">
      <c r="A178" s="823" t="s">
        <v>1109</v>
      </c>
      <c r="B178" s="823" t="s">
        <v>1110</v>
      </c>
      <c r="C178" s="825">
        <v>3081474.81</v>
      </c>
      <c r="D178" s="825">
        <v>3081474.81</v>
      </c>
      <c r="E178" s="825">
        <v>75091.92</v>
      </c>
      <c r="F178" s="825">
        <v>75091.92</v>
      </c>
      <c r="G178" s="825">
        <v>3156566.73</v>
      </c>
      <c r="H178" s="825">
        <v>3156566.73</v>
      </c>
      <c r="I178" s="825">
        <v>0</v>
      </c>
      <c r="J178" s="825">
        <v>0</v>
      </c>
      <c r="K178" s="819">
        <f t="shared" si="3"/>
        <v>3156566.73</v>
      </c>
      <c r="L178" s="821" t="s">
        <v>1111</v>
      </c>
    </row>
    <row r="179" spans="1:12" x14ac:dyDescent="0.25">
      <c r="A179" s="823" t="s">
        <v>1112</v>
      </c>
      <c r="B179" s="823" t="s">
        <v>1113</v>
      </c>
      <c r="C179" s="825">
        <v>85965.790000000008</v>
      </c>
      <c r="D179" s="825">
        <v>85965.790000000008</v>
      </c>
      <c r="E179" s="825">
        <v>15903.28</v>
      </c>
      <c r="F179" s="825">
        <v>15903.28</v>
      </c>
      <c r="G179" s="825">
        <v>101869.07</v>
      </c>
      <c r="H179" s="825">
        <v>101869.07</v>
      </c>
      <c r="I179" s="825">
        <v>0</v>
      </c>
      <c r="J179" s="825">
        <v>0</v>
      </c>
      <c r="K179" s="819">
        <f t="shared" si="3"/>
        <v>101869.07</v>
      </c>
      <c r="L179" s="820" t="s">
        <v>1114</v>
      </c>
    </row>
    <row r="180" spans="1:12" x14ac:dyDescent="0.25">
      <c r="A180" s="823" t="s">
        <v>1115</v>
      </c>
      <c r="B180" s="823" t="s">
        <v>1116</v>
      </c>
      <c r="C180" s="825">
        <v>2377788.61</v>
      </c>
      <c r="D180" s="825">
        <v>2377788.61</v>
      </c>
      <c r="E180" s="825">
        <v>531337.36</v>
      </c>
      <c r="F180" s="825">
        <v>531337.36</v>
      </c>
      <c r="G180" s="825">
        <v>2909125.97</v>
      </c>
      <c r="H180" s="825">
        <v>2909125.97</v>
      </c>
      <c r="I180" s="825">
        <v>0</v>
      </c>
      <c r="J180" s="825">
        <v>0</v>
      </c>
      <c r="K180" s="819"/>
    </row>
    <row r="181" spans="1:12" x14ac:dyDescent="0.25">
      <c r="A181" s="823" t="s">
        <v>1117</v>
      </c>
      <c r="B181" s="823" t="s">
        <v>1118</v>
      </c>
      <c r="C181" s="825">
        <v>1416105.32</v>
      </c>
      <c r="D181" s="825">
        <v>1416105.32</v>
      </c>
      <c r="E181" s="825">
        <v>244318.54</v>
      </c>
      <c r="F181" s="825">
        <v>244318.54</v>
      </c>
      <c r="G181" s="825">
        <v>1660423.86</v>
      </c>
      <c r="H181" s="825">
        <v>1660423.86</v>
      </c>
      <c r="I181" s="825">
        <v>0</v>
      </c>
      <c r="J181" s="825">
        <v>0</v>
      </c>
      <c r="K181" s="819">
        <f t="shared" si="3"/>
        <v>1660423.86</v>
      </c>
      <c r="L181" s="820" t="s">
        <v>1119</v>
      </c>
    </row>
    <row r="182" spans="1:12" x14ac:dyDescent="0.25">
      <c r="A182" s="823" t="s">
        <v>1120</v>
      </c>
      <c r="B182" s="823" t="s">
        <v>1121</v>
      </c>
      <c r="C182" s="825">
        <v>961683.29</v>
      </c>
      <c r="D182" s="825">
        <v>961683.29</v>
      </c>
      <c r="E182" s="825">
        <v>287018.82</v>
      </c>
      <c r="F182" s="825">
        <v>287018.82</v>
      </c>
      <c r="G182" s="825">
        <v>1248702.1100000001</v>
      </c>
      <c r="H182" s="825">
        <v>1248702.1100000001</v>
      </c>
      <c r="I182" s="825">
        <v>0</v>
      </c>
      <c r="J182" s="825">
        <v>0</v>
      </c>
      <c r="K182" s="819">
        <f t="shared" si="3"/>
        <v>1248702.1100000001</v>
      </c>
      <c r="L182" s="821" t="s">
        <v>1122</v>
      </c>
    </row>
    <row r="183" spans="1:12" x14ac:dyDescent="0.25">
      <c r="A183" s="823" t="s">
        <v>1127</v>
      </c>
      <c r="B183" s="823" t="s">
        <v>1128</v>
      </c>
      <c r="C183" s="825">
        <v>-5787.41</v>
      </c>
      <c r="D183" s="825">
        <v>-5787.41</v>
      </c>
      <c r="E183" s="825">
        <v>-40861.17</v>
      </c>
      <c r="F183" s="825">
        <v>-40861.17</v>
      </c>
      <c r="G183" s="825">
        <v>-46648.58</v>
      </c>
      <c r="H183" s="825">
        <v>-46648.58</v>
      </c>
      <c r="I183" s="825">
        <v>0</v>
      </c>
      <c r="J183" s="825">
        <v>0</v>
      </c>
      <c r="K183" s="819">
        <f t="shared" si="3"/>
        <v>-46648.58</v>
      </c>
      <c r="L183" s="820" t="s">
        <v>1128</v>
      </c>
    </row>
    <row r="184" spans="1:12" x14ac:dyDescent="0.25">
      <c r="A184" s="823" t="s">
        <v>1129</v>
      </c>
      <c r="B184" s="823" t="s">
        <v>1130</v>
      </c>
      <c r="C184" s="825">
        <v>4084096.15</v>
      </c>
      <c r="D184" s="825">
        <v>4084096.15</v>
      </c>
      <c r="E184" s="825">
        <v>350947.37</v>
      </c>
      <c r="F184" s="825">
        <v>350947.37</v>
      </c>
      <c r="G184" s="825">
        <v>4435043.5200000005</v>
      </c>
      <c r="H184" s="825">
        <v>4435043.5200000005</v>
      </c>
      <c r="I184" s="825">
        <v>0</v>
      </c>
      <c r="J184" s="825">
        <v>0</v>
      </c>
      <c r="K184" s="819">
        <f t="shared" si="3"/>
        <v>4435043.5200000005</v>
      </c>
      <c r="L184" s="820" t="s">
        <v>1131</v>
      </c>
    </row>
    <row r="185" spans="1:12" x14ac:dyDescent="0.25">
      <c r="A185" s="823" t="s">
        <v>1132</v>
      </c>
      <c r="B185" s="823" t="s">
        <v>1114</v>
      </c>
      <c r="C185" s="825">
        <v>53282.78</v>
      </c>
      <c r="D185" s="825">
        <v>53282.78</v>
      </c>
      <c r="E185" s="825">
        <v>21830.65</v>
      </c>
      <c r="F185" s="825">
        <v>21830.65</v>
      </c>
      <c r="G185" s="825">
        <v>75113.430000000008</v>
      </c>
      <c r="H185" s="825">
        <v>75113.430000000008</v>
      </c>
      <c r="I185" s="825">
        <v>0</v>
      </c>
      <c r="J185" s="825">
        <v>0</v>
      </c>
      <c r="K185" s="819">
        <f t="shared" si="3"/>
        <v>75113.430000000008</v>
      </c>
      <c r="L185" s="820" t="s">
        <v>1114</v>
      </c>
    </row>
    <row r="186" spans="1:12" x14ac:dyDescent="0.25">
      <c r="A186" s="823" t="s">
        <v>1133</v>
      </c>
      <c r="B186" s="823" t="s">
        <v>1134</v>
      </c>
      <c r="C186" s="825">
        <v>141</v>
      </c>
      <c r="D186" s="825">
        <v>141</v>
      </c>
      <c r="E186" s="825">
        <v>21830.65</v>
      </c>
      <c r="F186" s="825">
        <v>21830.65</v>
      </c>
      <c r="G186" s="825">
        <v>21971.65</v>
      </c>
      <c r="H186" s="825">
        <v>21971.65</v>
      </c>
      <c r="I186" s="825">
        <v>0</v>
      </c>
      <c r="J186" s="825">
        <v>0</v>
      </c>
      <c r="K186" s="819">
        <f t="shared" si="3"/>
        <v>21971.65</v>
      </c>
    </row>
    <row r="187" spans="1:12" x14ac:dyDescent="0.25">
      <c r="A187" s="823" t="s">
        <v>1135</v>
      </c>
      <c r="B187" s="823" t="s">
        <v>1136</v>
      </c>
      <c r="C187" s="825">
        <v>53141.78</v>
      </c>
      <c r="D187" s="825">
        <v>53141.78</v>
      </c>
      <c r="E187" s="825">
        <v>0</v>
      </c>
      <c r="F187" s="825">
        <v>0</v>
      </c>
      <c r="G187" s="825">
        <v>53141.78</v>
      </c>
      <c r="H187" s="825">
        <v>53141.78</v>
      </c>
      <c r="I187" s="825">
        <v>0</v>
      </c>
      <c r="J187" s="825">
        <v>0</v>
      </c>
      <c r="K187" s="819">
        <f t="shared" si="3"/>
        <v>53141.78</v>
      </c>
    </row>
    <row r="188" spans="1:12" x14ac:dyDescent="0.25">
      <c r="A188" s="823" t="s">
        <v>1137</v>
      </c>
      <c r="B188" s="823" t="s">
        <v>1138</v>
      </c>
      <c r="C188" s="825">
        <v>229119.32</v>
      </c>
      <c r="D188" s="825">
        <v>229119.32</v>
      </c>
      <c r="E188" s="825">
        <v>25995.81</v>
      </c>
      <c r="F188" s="825">
        <v>25995.81</v>
      </c>
      <c r="G188" s="825">
        <v>255115.13</v>
      </c>
      <c r="H188" s="825">
        <v>255115.13</v>
      </c>
      <c r="I188" s="825">
        <v>0</v>
      </c>
      <c r="J188" s="825">
        <v>0</v>
      </c>
      <c r="K188" s="819">
        <f t="shared" si="3"/>
        <v>255115.13</v>
      </c>
      <c r="L188" s="820" t="s">
        <v>1182</v>
      </c>
    </row>
    <row r="189" spans="1:12" x14ac:dyDescent="0.25">
      <c r="A189" s="823" t="s">
        <v>1140</v>
      </c>
      <c r="B189" s="823" t="s">
        <v>1141</v>
      </c>
      <c r="C189" s="825">
        <v>120095.33</v>
      </c>
      <c r="D189" s="825">
        <v>120095.33</v>
      </c>
      <c r="E189" s="825">
        <v>-102333.74</v>
      </c>
      <c r="F189" s="825">
        <v>-102333.74</v>
      </c>
      <c r="G189" s="825">
        <v>17761.59</v>
      </c>
      <c r="H189" s="825">
        <v>17761.59</v>
      </c>
      <c r="I189" s="825">
        <v>0</v>
      </c>
      <c r="J189" s="825">
        <v>0</v>
      </c>
      <c r="K189" s="819">
        <f t="shared" si="3"/>
        <v>17761.59</v>
      </c>
      <c r="L189" s="820" t="s">
        <v>1142</v>
      </c>
    </row>
    <row r="190" spans="1:12" x14ac:dyDescent="0.25">
      <c r="A190" s="823" t="s">
        <v>1143</v>
      </c>
      <c r="B190" s="823" t="s">
        <v>1144</v>
      </c>
      <c r="C190" s="825">
        <v>15938.300000000001</v>
      </c>
      <c r="D190" s="825">
        <v>15938.300000000001</v>
      </c>
      <c r="E190" s="825">
        <v>0</v>
      </c>
      <c r="F190" s="825">
        <v>0</v>
      </c>
      <c r="G190" s="825">
        <v>15938.300000000001</v>
      </c>
      <c r="H190" s="825">
        <v>15938.300000000001</v>
      </c>
      <c r="I190" s="825">
        <v>0</v>
      </c>
      <c r="J190" s="825">
        <v>0</v>
      </c>
      <c r="K190" s="819">
        <f t="shared" si="3"/>
        <v>15938.300000000001</v>
      </c>
      <c r="L190" s="820" t="s">
        <v>1139</v>
      </c>
    </row>
    <row r="191" spans="1:12" x14ac:dyDescent="0.25">
      <c r="A191" s="823" t="s">
        <v>1145</v>
      </c>
      <c r="B191" s="823" t="s">
        <v>1146</v>
      </c>
      <c r="C191" s="825">
        <v>17561.97</v>
      </c>
      <c r="D191" s="825">
        <v>17561.97</v>
      </c>
      <c r="E191" s="825">
        <v>1545.8600000000001</v>
      </c>
      <c r="F191" s="825">
        <v>1545.8600000000001</v>
      </c>
      <c r="G191" s="825">
        <v>19107.830000000002</v>
      </c>
      <c r="H191" s="825">
        <v>19107.830000000002</v>
      </c>
      <c r="I191" s="825">
        <v>0</v>
      </c>
      <c r="J191" s="825">
        <v>0</v>
      </c>
      <c r="K191" s="819">
        <f t="shared" si="3"/>
        <v>19107.830000000002</v>
      </c>
      <c r="L191" s="821" t="s">
        <v>1180</v>
      </c>
    </row>
    <row r="192" spans="1:12" x14ac:dyDescent="0.25">
      <c r="A192" s="823" t="s">
        <v>162</v>
      </c>
      <c r="B192" s="823" t="s">
        <v>1147</v>
      </c>
      <c r="C192" s="825">
        <v>359862366.55000001</v>
      </c>
      <c r="D192" s="825">
        <v>359862366.55000001</v>
      </c>
      <c r="E192" s="825">
        <v>31618662.080000002</v>
      </c>
      <c r="F192" s="825">
        <v>31618662.080000002</v>
      </c>
      <c r="G192" s="825">
        <v>391481028.63</v>
      </c>
      <c r="H192" s="825">
        <v>391481028.63</v>
      </c>
      <c r="I192" s="825">
        <v>25218047.210000001</v>
      </c>
      <c r="J192" s="825">
        <v>25218047.210000001</v>
      </c>
      <c r="K192" s="640">
        <f>SUBTOTAL(9,K10:K191)</f>
        <v>-15428519.609999985</v>
      </c>
    </row>
  </sheetData>
  <autoFilter ref="A8:L8"/>
  <mergeCells count="13">
    <mergeCell ref="A5:G5"/>
    <mergeCell ref="H5:J5"/>
    <mergeCell ref="A1:G1"/>
    <mergeCell ref="H1:J1"/>
    <mergeCell ref="A2:G2"/>
    <mergeCell ref="H2:J2"/>
    <mergeCell ref="A3:J4"/>
    <mergeCell ref="A6:J6"/>
    <mergeCell ref="A7:B7"/>
    <mergeCell ref="C7:D7"/>
    <mergeCell ref="E7:F7"/>
    <mergeCell ref="G7:H7"/>
    <mergeCell ref="I7:J7"/>
  </mergeCell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86"/>
  <sheetViews>
    <sheetView workbookViewId="0">
      <pane xSplit="2" ySplit="8" topLeftCell="C18" activePane="bottomRight" state="frozen"/>
      <selection activeCell="D30" sqref="D30"/>
      <selection pane="topRight" activeCell="D30" sqref="D30"/>
      <selection pane="bottomLeft" activeCell="D30" sqref="D30"/>
      <selection pane="bottomRight" activeCell="D30" sqref="D30"/>
    </sheetView>
  </sheetViews>
  <sheetFormatPr defaultRowHeight="13.2" x14ac:dyDescent="0.25"/>
  <cols>
    <col min="1" max="1" width="8.6640625" style="820" customWidth="1"/>
    <col min="2" max="2" width="28.6640625" style="820" customWidth="1"/>
    <col min="3" max="4" width="15.6640625" style="820" customWidth="1"/>
    <col min="5" max="6" width="13.6640625" style="820" customWidth="1"/>
    <col min="7" max="8" width="15.6640625" style="820" customWidth="1"/>
    <col min="9" max="9" width="13.6640625" style="820" customWidth="1"/>
    <col min="10" max="10" width="14.6640625" style="820" customWidth="1"/>
    <col min="11" max="11" width="10.77734375" style="820" bestFit="1" customWidth="1"/>
    <col min="12" max="12" width="32.5546875" style="820" customWidth="1"/>
    <col min="13" max="256" width="8.88671875" style="820"/>
    <col min="257" max="257" width="8.6640625" style="820" customWidth="1"/>
    <col min="258" max="258" width="28.6640625" style="820" customWidth="1"/>
    <col min="259" max="260" width="15.6640625" style="820" customWidth="1"/>
    <col min="261" max="262" width="13.6640625" style="820" customWidth="1"/>
    <col min="263" max="264" width="15.6640625" style="820" customWidth="1"/>
    <col min="265" max="265" width="13.6640625" style="820" customWidth="1"/>
    <col min="266" max="266" width="14.6640625" style="820" customWidth="1"/>
    <col min="267" max="267" width="10.77734375" style="820" bestFit="1" customWidth="1"/>
    <col min="268" max="512" width="8.88671875" style="820"/>
    <col min="513" max="513" width="8.6640625" style="820" customWidth="1"/>
    <col min="514" max="514" width="28.6640625" style="820" customWidth="1"/>
    <col min="515" max="516" width="15.6640625" style="820" customWidth="1"/>
    <col min="517" max="518" width="13.6640625" style="820" customWidth="1"/>
    <col min="519" max="520" width="15.6640625" style="820" customWidth="1"/>
    <col min="521" max="521" width="13.6640625" style="820" customWidth="1"/>
    <col min="522" max="522" width="14.6640625" style="820" customWidth="1"/>
    <col min="523" max="523" width="10.77734375" style="820" bestFit="1" customWidth="1"/>
    <col min="524" max="768" width="8.88671875" style="820"/>
    <col min="769" max="769" width="8.6640625" style="820" customWidth="1"/>
    <col min="770" max="770" width="28.6640625" style="820" customWidth="1"/>
    <col min="771" max="772" width="15.6640625" style="820" customWidth="1"/>
    <col min="773" max="774" width="13.6640625" style="820" customWidth="1"/>
    <col min="775" max="776" width="15.6640625" style="820" customWidth="1"/>
    <col min="777" max="777" width="13.6640625" style="820" customWidth="1"/>
    <col min="778" max="778" width="14.6640625" style="820" customWidth="1"/>
    <col min="779" max="779" width="10.77734375" style="820" bestFit="1" customWidth="1"/>
    <col min="780" max="1024" width="8.88671875" style="820"/>
    <col min="1025" max="1025" width="8.6640625" style="820" customWidth="1"/>
    <col min="1026" max="1026" width="28.6640625" style="820" customWidth="1"/>
    <col min="1027" max="1028" width="15.6640625" style="820" customWidth="1"/>
    <col min="1029" max="1030" width="13.6640625" style="820" customWidth="1"/>
    <col min="1031" max="1032" width="15.6640625" style="820" customWidth="1"/>
    <col min="1033" max="1033" width="13.6640625" style="820" customWidth="1"/>
    <col min="1034" max="1034" width="14.6640625" style="820" customWidth="1"/>
    <col min="1035" max="1035" width="10.77734375" style="820" bestFit="1" customWidth="1"/>
    <col min="1036" max="1280" width="8.88671875" style="820"/>
    <col min="1281" max="1281" width="8.6640625" style="820" customWidth="1"/>
    <col min="1282" max="1282" width="28.6640625" style="820" customWidth="1"/>
    <col min="1283" max="1284" width="15.6640625" style="820" customWidth="1"/>
    <col min="1285" max="1286" width="13.6640625" style="820" customWidth="1"/>
    <col min="1287" max="1288" width="15.6640625" style="820" customWidth="1"/>
    <col min="1289" max="1289" width="13.6640625" style="820" customWidth="1"/>
    <col min="1290" max="1290" width="14.6640625" style="820" customWidth="1"/>
    <col min="1291" max="1291" width="10.77734375" style="820" bestFit="1" customWidth="1"/>
    <col min="1292" max="1536" width="8.88671875" style="820"/>
    <col min="1537" max="1537" width="8.6640625" style="820" customWidth="1"/>
    <col min="1538" max="1538" width="28.6640625" style="820" customWidth="1"/>
    <col min="1539" max="1540" width="15.6640625" style="820" customWidth="1"/>
    <col min="1541" max="1542" width="13.6640625" style="820" customWidth="1"/>
    <col min="1543" max="1544" width="15.6640625" style="820" customWidth="1"/>
    <col min="1545" max="1545" width="13.6640625" style="820" customWidth="1"/>
    <col min="1546" max="1546" width="14.6640625" style="820" customWidth="1"/>
    <col min="1547" max="1547" width="10.77734375" style="820" bestFit="1" customWidth="1"/>
    <col min="1548" max="1792" width="8.88671875" style="820"/>
    <col min="1793" max="1793" width="8.6640625" style="820" customWidth="1"/>
    <col min="1794" max="1794" width="28.6640625" style="820" customWidth="1"/>
    <col min="1795" max="1796" width="15.6640625" style="820" customWidth="1"/>
    <col min="1797" max="1798" width="13.6640625" style="820" customWidth="1"/>
    <col min="1799" max="1800" width="15.6640625" style="820" customWidth="1"/>
    <col min="1801" max="1801" width="13.6640625" style="820" customWidth="1"/>
    <col min="1802" max="1802" width="14.6640625" style="820" customWidth="1"/>
    <col min="1803" max="1803" width="10.77734375" style="820" bestFit="1" customWidth="1"/>
    <col min="1804" max="2048" width="8.88671875" style="820"/>
    <col min="2049" max="2049" width="8.6640625" style="820" customWidth="1"/>
    <col min="2050" max="2050" width="28.6640625" style="820" customWidth="1"/>
    <col min="2051" max="2052" width="15.6640625" style="820" customWidth="1"/>
    <col min="2053" max="2054" width="13.6640625" style="820" customWidth="1"/>
    <col min="2055" max="2056" width="15.6640625" style="820" customWidth="1"/>
    <col min="2057" max="2057" width="13.6640625" style="820" customWidth="1"/>
    <col min="2058" max="2058" width="14.6640625" style="820" customWidth="1"/>
    <col min="2059" max="2059" width="10.77734375" style="820" bestFit="1" customWidth="1"/>
    <col min="2060" max="2304" width="8.88671875" style="820"/>
    <col min="2305" max="2305" width="8.6640625" style="820" customWidth="1"/>
    <col min="2306" max="2306" width="28.6640625" style="820" customWidth="1"/>
    <col min="2307" max="2308" width="15.6640625" style="820" customWidth="1"/>
    <col min="2309" max="2310" width="13.6640625" style="820" customWidth="1"/>
    <col min="2311" max="2312" width="15.6640625" style="820" customWidth="1"/>
    <col min="2313" max="2313" width="13.6640625" style="820" customWidth="1"/>
    <col min="2314" max="2314" width="14.6640625" style="820" customWidth="1"/>
    <col min="2315" max="2315" width="10.77734375" style="820" bestFit="1" customWidth="1"/>
    <col min="2316" max="2560" width="8.88671875" style="820"/>
    <col min="2561" max="2561" width="8.6640625" style="820" customWidth="1"/>
    <col min="2562" max="2562" width="28.6640625" style="820" customWidth="1"/>
    <col min="2563" max="2564" width="15.6640625" style="820" customWidth="1"/>
    <col min="2565" max="2566" width="13.6640625" style="820" customWidth="1"/>
    <col min="2567" max="2568" width="15.6640625" style="820" customWidth="1"/>
    <col min="2569" max="2569" width="13.6640625" style="820" customWidth="1"/>
    <col min="2570" max="2570" width="14.6640625" style="820" customWidth="1"/>
    <col min="2571" max="2571" width="10.77734375" style="820" bestFit="1" customWidth="1"/>
    <col min="2572" max="2816" width="8.88671875" style="820"/>
    <col min="2817" max="2817" width="8.6640625" style="820" customWidth="1"/>
    <col min="2818" max="2818" width="28.6640625" style="820" customWidth="1"/>
    <col min="2819" max="2820" width="15.6640625" style="820" customWidth="1"/>
    <col min="2821" max="2822" width="13.6640625" style="820" customWidth="1"/>
    <col min="2823" max="2824" width="15.6640625" style="820" customWidth="1"/>
    <col min="2825" max="2825" width="13.6640625" style="820" customWidth="1"/>
    <col min="2826" max="2826" width="14.6640625" style="820" customWidth="1"/>
    <col min="2827" max="2827" width="10.77734375" style="820" bestFit="1" customWidth="1"/>
    <col min="2828" max="3072" width="8.88671875" style="820"/>
    <col min="3073" max="3073" width="8.6640625" style="820" customWidth="1"/>
    <col min="3074" max="3074" width="28.6640625" style="820" customWidth="1"/>
    <col min="3075" max="3076" width="15.6640625" style="820" customWidth="1"/>
    <col min="3077" max="3078" width="13.6640625" style="820" customWidth="1"/>
    <col min="3079" max="3080" width="15.6640625" style="820" customWidth="1"/>
    <col min="3081" max="3081" width="13.6640625" style="820" customWidth="1"/>
    <col min="3082" max="3082" width="14.6640625" style="820" customWidth="1"/>
    <col min="3083" max="3083" width="10.77734375" style="820" bestFit="1" customWidth="1"/>
    <col min="3084" max="3328" width="8.88671875" style="820"/>
    <col min="3329" max="3329" width="8.6640625" style="820" customWidth="1"/>
    <col min="3330" max="3330" width="28.6640625" style="820" customWidth="1"/>
    <col min="3331" max="3332" width="15.6640625" style="820" customWidth="1"/>
    <col min="3333" max="3334" width="13.6640625" style="820" customWidth="1"/>
    <col min="3335" max="3336" width="15.6640625" style="820" customWidth="1"/>
    <col min="3337" max="3337" width="13.6640625" style="820" customWidth="1"/>
    <col min="3338" max="3338" width="14.6640625" style="820" customWidth="1"/>
    <col min="3339" max="3339" width="10.77734375" style="820" bestFit="1" customWidth="1"/>
    <col min="3340" max="3584" width="8.88671875" style="820"/>
    <col min="3585" max="3585" width="8.6640625" style="820" customWidth="1"/>
    <col min="3586" max="3586" width="28.6640625" style="820" customWidth="1"/>
    <col min="3587" max="3588" width="15.6640625" style="820" customWidth="1"/>
    <col min="3589" max="3590" width="13.6640625" style="820" customWidth="1"/>
    <col min="3591" max="3592" width="15.6640625" style="820" customWidth="1"/>
    <col min="3593" max="3593" width="13.6640625" style="820" customWidth="1"/>
    <col min="3594" max="3594" width="14.6640625" style="820" customWidth="1"/>
    <col min="3595" max="3595" width="10.77734375" style="820" bestFit="1" customWidth="1"/>
    <col min="3596" max="3840" width="8.88671875" style="820"/>
    <col min="3841" max="3841" width="8.6640625" style="820" customWidth="1"/>
    <col min="3842" max="3842" width="28.6640625" style="820" customWidth="1"/>
    <col min="3843" max="3844" width="15.6640625" style="820" customWidth="1"/>
    <col min="3845" max="3846" width="13.6640625" style="820" customWidth="1"/>
    <col min="3847" max="3848" width="15.6640625" style="820" customWidth="1"/>
    <col min="3849" max="3849" width="13.6640625" style="820" customWidth="1"/>
    <col min="3850" max="3850" width="14.6640625" style="820" customWidth="1"/>
    <col min="3851" max="3851" width="10.77734375" style="820" bestFit="1" customWidth="1"/>
    <col min="3852" max="4096" width="8.88671875" style="820"/>
    <col min="4097" max="4097" width="8.6640625" style="820" customWidth="1"/>
    <col min="4098" max="4098" width="28.6640625" style="820" customWidth="1"/>
    <col min="4099" max="4100" width="15.6640625" style="820" customWidth="1"/>
    <col min="4101" max="4102" width="13.6640625" style="820" customWidth="1"/>
    <col min="4103" max="4104" width="15.6640625" style="820" customWidth="1"/>
    <col min="4105" max="4105" width="13.6640625" style="820" customWidth="1"/>
    <col min="4106" max="4106" width="14.6640625" style="820" customWidth="1"/>
    <col min="4107" max="4107" width="10.77734375" style="820" bestFit="1" customWidth="1"/>
    <col min="4108" max="4352" width="8.88671875" style="820"/>
    <col min="4353" max="4353" width="8.6640625" style="820" customWidth="1"/>
    <col min="4354" max="4354" width="28.6640625" style="820" customWidth="1"/>
    <col min="4355" max="4356" width="15.6640625" style="820" customWidth="1"/>
    <col min="4357" max="4358" width="13.6640625" style="820" customWidth="1"/>
    <col min="4359" max="4360" width="15.6640625" style="820" customWidth="1"/>
    <col min="4361" max="4361" width="13.6640625" style="820" customWidth="1"/>
    <col min="4362" max="4362" width="14.6640625" style="820" customWidth="1"/>
    <col min="4363" max="4363" width="10.77734375" style="820" bestFit="1" customWidth="1"/>
    <col min="4364" max="4608" width="8.88671875" style="820"/>
    <col min="4609" max="4609" width="8.6640625" style="820" customWidth="1"/>
    <col min="4610" max="4610" width="28.6640625" style="820" customWidth="1"/>
    <col min="4611" max="4612" width="15.6640625" style="820" customWidth="1"/>
    <col min="4613" max="4614" width="13.6640625" style="820" customWidth="1"/>
    <col min="4615" max="4616" width="15.6640625" style="820" customWidth="1"/>
    <col min="4617" max="4617" width="13.6640625" style="820" customWidth="1"/>
    <col min="4618" max="4618" width="14.6640625" style="820" customWidth="1"/>
    <col min="4619" max="4619" width="10.77734375" style="820" bestFit="1" customWidth="1"/>
    <col min="4620" max="4864" width="8.88671875" style="820"/>
    <col min="4865" max="4865" width="8.6640625" style="820" customWidth="1"/>
    <col min="4866" max="4866" width="28.6640625" style="820" customWidth="1"/>
    <col min="4867" max="4868" width="15.6640625" style="820" customWidth="1"/>
    <col min="4869" max="4870" width="13.6640625" style="820" customWidth="1"/>
    <col min="4871" max="4872" width="15.6640625" style="820" customWidth="1"/>
    <col min="4873" max="4873" width="13.6640625" style="820" customWidth="1"/>
    <col min="4874" max="4874" width="14.6640625" style="820" customWidth="1"/>
    <col min="4875" max="4875" width="10.77734375" style="820" bestFit="1" customWidth="1"/>
    <col min="4876" max="5120" width="8.88671875" style="820"/>
    <col min="5121" max="5121" width="8.6640625" style="820" customWidth="1"/>
    <col min="5122" max="5122" width="28.6640625" style="820" customWidth="1"/>
    <col min="5123" max="5124" width="15.6640625" style="820" customWidth="1"/>
    <col min="5125" max="5126" width="13.6640625" style="820" customWidth="1"/>
    <col min="5127" max="5128" width="15.6640625" style="820" customWidth="1"/>
    <col min="5129" max="5129" width="13.6640625" style="820" customWidth="1"/>
    <col min="5130" max="5130" width="14.6640625" style="820" customWidth="1"/>
    <col min="5131" max="5131" width="10.77734375" style="820" bestFit="1" customWidth="1"/>
    <col min="5132" max="5376" width="8.88671875" style="820"/>
    <col min="5377" max="5377" width="8.6640625" style="820" customWidth="1"/>
    <col min="5378" max="5378" width="28.6640625" style="820" customWidth="1"/>
    <col min="5379" max="5380" width="15.6640625" style="820" customWidth="1"/>
    <col min="5381" max="5382" width="13.6640625" style="820" customWidth="1"/>
    <col min="5383" max="5384" width="15.6640625" style="820" customWidth="1"/>
    <col min="5385" max="5385" width="13.6640625" style="820" customWidth="1"/>
    <col min="5386" max="5386" width="14.6640625" style="820" customWidth="1"/>
    <col min="5387" max="5387" width="10.77734375" style="820" bestFit="1" customWidth="1"/>
    <col min="5388" max="5632" width="8.88671875" style="820"/>
    <col min="5633" max="5633" width="8.6640625" style="820" customWidth="1"/>
    <col min="5634" max="5634" width="28.6640625" style="820" customWidth="1"/>
    <col min="5635" max="5636" width="15.6640625" style="820" customWidth="1"/>
    <col min="5637" max="5638" width="13.6640625" style="820" customWidth="1"/>
    <col min="5639" max="5640" width="15.6640625" style="820" customWidth="1"/>
    <col min="5641" max="5641" width="13.6640625" style="820" customWidth="1"/>
    <col min="5642" max="5642" width="14.6640625" style="820" customWidth="1"/>
    <col min="5643" max="5643" width="10.77734375" style="820" bestFit="1" customWidth="1"/>
    <col min="5644" max="5888" width="8.88671875" style="820"/>
    <col min="5889" max="5889" width="8.6640625" style="820" customWidth="1"/>
    <col min="5890" max="5890" width="28.6640625" style="820" customWidth="1"/>
    <col min="5891" max="5892" width="15.6640625" style="820" customWidth="1"/>
    <col min="5893" max="5894" width="13.6640625" style="820" customWidth="1"/>
    <col min="5895" max="5896" width="15.6640625" style="820" customWidth="1"/>
    <col min="5897" max="5897" width="13.6640625" style="820" customWidth="1"/>
    <col min="5898" max="5898" width="14.6640625" style="820" customWidth="1"/>
    <col min="5899" max="5899" width="10.77734375" style="820" bestFit="1" customWidth="1"/>
    <col min="5900" max="6144" width="8.88671875" style="820"/>
    <col min="6145" max="6145" width="8.6640625" style="820" customWidth="1"/>
    <col min="6146" max="6146" width="28.6640625" style="820" customWidth="1"/>
    <col min="6147" max="6148" width="15.6640625" style="820" customWidth="1"/>
    <col min="6149" max="6150" width="13.6640625" style="820" customWidth="1"/>
    <col min="6151" max="6152" width="15.6640625" style="820" customWidth="1"/>
    <col min="6153" max="6153" width="13.6640625" style="820" customWidth="1"/>
    <col min="6154" max="6154" width="14.6640625" style="820" customWidth="1"/>
    <col min="6155" max="6155" width="10.77734375" style="820" bestFit="1" customWidth="1"/>
    <col min="6156" max="6400" width="8.88671875" style="820"/>
    <col min="6401" max="6401" width="8.6640625" style="820" customWidth="1"/>
    <col min="6402" max="6402" width="28.6640625" style="820" customWidth="1"/>
    <col min="6403" max="6404" width="15.6640625" style="820" customWidth="1"/>
    <col min="6405" max="6406" width="13.6640625" style="820" customWidth="1"/>
    <col min="6407" max="6408" width="15.6640625" style="820" customWidth="1"/>
    <col min="6409" max="6409" width="13.6640625" style="820" customWidth="1"/>
    <col min="6410" max="6410" width="14.6640625" style="820" customWidth="1"/>
    <col min="6411" max="6411" width="10.77734375" style="820" bestFit="1" customWidth="1"/>
    <col min="6412" max="6656" width="8.88671875" style="820"/>
    <col min="6657" max="6657" width="8.6640625" style="820" customWidth="1"/>
    <col min="6658" max="6658" width="28.6640625" style="820" customWidth="1"/>
    <col min="6659" max="6660" width="15.6640625" style="820" customWidth="1"/>
    <col min="6661" max="6662" width="13.6640625" style="820" customWidth="1"/>
    <col min="6663" max="6664" width="15.6640625" style="820" customWidth="1"/>
    <col min="6665" max="6665" width="13.6640625" style="820" customWidth="1"/>
    <col min="6666" max="6666" width="14.6640625" style="820" customWidth="1"/>
    <col min="6667" max="6667" width="10.77734375" style="820" bestFit="1" customWidth="1"/>
    <col min="6668" max="6912" width="8.88671875" style="820"/>
    <col min="6913" max="6913" width="8.6640625" style="820" customWidth="1"/>
    <col min="6914" max="6914" width="28.6640625" style="820" customWidth="1"/>
    <col min="6915" max="6916" width="15.6640625" style="820" customWidth="1"/>
    <col min="6917" max="6918" width="13.6640625" style="820" customWidth="1"/>
    <col min="6919" max="6920" width="15.6640625" style="820" customWidth="1"/>
    <col min="6921" max="6921" width="13.6640625" style="820" customWidth="1"/>
    <col min="6922" max="6922" width="14.6640625" style="820" customWidth="1"/>
    <col min="6923" max="6923" width="10.77734375" style="820" bestFit="1" customWidth="1"/>
    <col min="6924" max="7168" width="8.88671875" style="820"/>
    <col min="7169" max="7169" width="8.6640625" style="820" customWidth="1"/>
    <col min="7170" max="7170" width="28.6640625" style="820" customWidth="1"/>
    <col min="7171" max="7172" width="15.6640625" style="820" customWidth="1"/>
    <col min="7173" max="7174" width="13.6640625" style="820" customWidth="1"/>
    <col min="7175" max="7176" width="15.6640625" style="820" customWidth="1"/>
    <col min="7177" max="7177" width="13.6640625" style="820" customWidth="1"/>
    <col min="7178" max="7178" width="14.6640625" style="820" customWidth="1"/>
    <col min="7179" max="7179" width="10.77734375" style="820" bestFit="1" customWidth="1"/>
    <col min="7180" max="7424" width="8.88671875" style="820"/>
    <col min="7425" max="7425" width="8.6640625" style="820" customWidth="1"/>
    <col min="7426" max="7426" width="28.6640625" style="820" customWidth="1"/>
    <col min="7427" max="7428" width="15.6640625" style="820" customWidth="1"/>
    <col min="7429" max="7430" width="13.6640625" style="820" customWidth="1"/>
    <col min="7431" max="7432" width="15.6640625" style="820" customWidth="1"/>
    <col min="7433" max="7433" width="13.6640625" style="820" customWidth="1"/>
    <col min="7434" max="7434" width="14.6640625" style="820" customWidth="1"/>
    <col min="7435" max="7435" width="10.77734375" style="820" bestFit="1" customWidth="1"/>
    <col min="7436" max="7680" width="8.88671875" style="820"/>
    <col min="7681" max="7681" width="8.6640625" style="820" customWidth="1"/>
    <col min="7682" max="7682" width="28.6640625" style="820" customWidth="1"/>
    <col min="7683" max="7684" width="15.6640625" style="820" customWidth="1"/>
    <col min="7685" max="7686" width="13.6640625" style="820" customWidth="1"/>
    <col min="7687" max="7688" width="15.6640625" style="820" customWidth="1"/>
    <col min="7689" max="7689" width="13.6640625" style="820" customWidth="1"/>
    <col min="7690" max="7690" width="14.6640625" style="820" customWidth="1"/>
    <col min="7691" max="7691" width="10.77734375" style="820" bestFit="1" customWidth="1"/>
    <col min="7692" max="7936" width="8.88671875" style="820"/>
    <col min="7937" max="7937" width="8.6640625" style="820" customWidth="1"/>
    <col min="7938" max="7938" width="28.6640625" style="820" customWidth="1"/>
    <col min="7939" max="7940" width="15.6640625" style="820" customWidth="1"/>
    <col min="7941" max="7942" width="13.6640625" style="820" customWidth="1"/>
    <col min="7943" max="7944" width="15.6640625" style="820" customWidth="1"/>
    <col min="7945" max="7945" width="13.6640625" style="820" customWidth="1"/>
    <col min="7946" max="7946" width="14.6640625" style="820" customWidth="1"/>
    <col min="7947" max="7947" width="10.77734375" style="820" bestFit="1" customWidth="1"/>
    <col min="7948" max="8192" width="8.88671875" style="820"/>
    <col min="8193" max="8193" width="8.6640625" style="820" customWidth="1"/>
    <col min="8194" max="8194" width="28.6640625" style="820" customWidth="1"/>
    <col min="8195" max="8196" width="15.6640625" style="820" customWidth="1"/>
    <col min="8197" max="8198" width="13.6640625" style="820" customWidth="1"/>
    <col min="8199" max="8200" width="15.6640625" style="820" customWidth="1"/>
    <col min="8201" max="8201" width="13.6640625" style="820" customWidth="1"/>
    <col min="8202" max="8202" width="14.6640625" style="820" customWidth="1"/>
    <col min="8203" max="8203" width="10.77734375" style="820" bestFit="1" customWidth="1"/>
    <col min="8204" max="8448" width="8.88671875" style="820"/>
    <col min="8449" max="8449" width="8.6640625" style="820" customWidth="1"/>
    <col min="8450" max="8450" width="28.6640625" style="820" customWidth="1"/>
    <col min="8451" max="8452" width="15.6640625" style="820" customWidth="1"/>
    <col min="8453" max="8454" width="13.6640625" style="820" customWidth="1"/>
    <col min="8455" max="8456" width="15.6640625" style="820" customWidth="1"/>
    <col min="8457" max="8457" width="13.6640625" style="820" customWidth="1"/>
    <col min="8458" max="8458" width="14.6640625" style="820" customWidth="1"/>
    <col min="8459" max="8459" width="10.77734375" style="820" bestFit="1" customWidth="1"/>
    <col min="8460" max="8704" width="8.88671875" style="820"/>
    <col min="8705" max="8705" width="8.6640625" style="820" customWidth="1"/>
    <col min="8706" max="8706" width="28.6640625" style="820" customWidth="1"/>
    <col min="8707" max="8708" width="15.6640625" style="820" customWidth="1"/>
    <col min="8709" max="8710" width="13.6640625" style="820" customWidth="1"/>
    <col min="8711" max="8712" width="15.6640625" style="820" customWidth="1"/>
    <col min="8713" max="8713" width="13.6640625" style="820" customWidth="1"/>
    <col min="8714" max="8714" width="14.6640625" style="820" customWidth="1"/>
    <col min="8715" max="8715" width="10.77734375" style="820" bestFit="1" customWidth="1"/>
    <col min="8716" max="8960" width="8.88671875" style="820"/>
    <col min="8961" max="8961" width="8.6640625" style="820" customWidth="1"/>
    <col min="8962" max="8962" width="28.6640625" style="820" customWidth="1"/>
    <col min="8963" max="8964" width="15.6640625" style="820" customWidth="1"/>
    <col min="8965" max="8966" width="13.6640625" style="820" customWidth="1"/>
    <col min="8967" max="8968" width="15.6640625" style="820" customWidth="1"/>
    <col min="8969" max="8969" width="13.6640625" style="820" customWidth="1"/>
    <col min="8970" max="8970" width="14.6640625" style="820" customWidth="1"/>
    <col min="8971" max="8971" width="10.77734375" style="820" bestFit="1" customWidth="1"/>
    <col min="8972" max="9216" width="8.88671875" style="820"/>
    <col min="9217" max="9217" width="8.6640625" style="820" customWidth="1"/>
    <col min="9218" max="9218" width="28.6640625" style="820" customWidth="1"/>
    <col min="9219" max="9220" width="15.6640625" style="820" customWidth="1"/>
    <col min="9221" max="9222" width="13.6640625" style="820" customWidth="1"/>
    <col min="9223" max="9224" width="15.6640625" style="820" customWidth="1"/>
    <col min="9225" max="9225" width="13.6640625" style="820" customWidth="1"/>
    <col min="9226" max="9226" width="14.6640625" style="820" customWidth="1"/>
    <col min="9227" max="9227" width="10.77734375" style="820" bestFit="1" customWidth="1"/>
    <col min="9228" max="9472" width="8.88671875" style="820"/>
    <col min="9473" max="9473" width="8.6640625" style="820" customWidth="1"/>
    <col min="9474" max="9474" width="28.6640625" style="820" customWidth="1"/>
    <col min="9475" max="9476" width="15.6640625" style="820" customWidth="1"/>
    <col min="9477" max="9478" width="13.6640625" style="820" customWidth="1"/>
    <col min="9479" max="9480" width="15.6640625" style="820" customWidth="1"/>
    <col min="9481" max="9481" width="13.6640625" style="820" customWidth="1"/>
    <col min="9482" max="9482" width="14.6640625" style="820" customWidth="1"/>
    <col min="9483" max="9483" width="10.77734375" style="820" bestFit="1" customWidth="1"/>
    <col min="9484" max="9728" width="8.88671875" style="820"/>
    <col min="9729" max="9729" width="8.6640625" style="820" customWidth="1"/>
    <col min="9730" max="9730" width="28.6640625" style="820" customWidth="1"/>
    <col min="9731" max="9732" width="15.6640625" style="820" customWidth="1"/>
    <col min="9733" max="9734" width="13.6640625" style="820" customWidth="1"/>
    <col min="9735" max="9736" width="15.6640625" style="820" customWidth="1"/>
    <col min="9737" max="9737" width="13.6640625" style="820" customWidth="1"/>
    <col min="9738" max="9738" width="14.6640625" style="820" customWidth="1"/>
    <col min="9739" max="9739" width="10.77734375" style="820" bestFit="1" customWidth="1"/>
    <col min="9740" max="9984" width="8.88671875" style="820"/>
    <col min="9985" max="9985" width="8.6640625" style="820" customWidth="1"/>
    <col min="9986" max="9986" width="28.6640625" style="820" customWidth="1"/>
    <col min="9987" max="9988" width="15.6640625" style="820" customWidth="1"/>
    <col min="9989" max="9990" width="13.6640625" style="820" customWidth="1"/>
    <col min="9991" max="9992" width="15.6640625" style="820" customWidth="1"/>
    <col min="9993" max="9993" width="13.6640625" style="820" customWidth="1"/>
    <col min="9994" max="9994" width="14.6640625" style="820" customWidth="1"/>
    <col min="9995" max="9995" width="10.77734375" style="820" bestFit="1" customWidth="1"/>
    <col min="9996" max="10240" width="8.88671875" style="820"/>
    <col min="10241" max="10241" width="8.6640625" style="820" customWidth="1"/>
    <col min="10242" max="10242" width="28.6640625" style="820" customWidth="1"/>
    <col min="10243" max="10244" width="15.6640625" style="820" customWidth="1"/>
    <col min="10245" max="10246" width="13.6640625" style="820" customWidth="1"/>
    <col min="10247" max="10248" width="15.6640625" style="820" customWidth="1"/>
    <col min="10249" max="10249" width="13.6640625" style="820" customWidth="1"/>
    <col min="10250" max="10250" width="14.6640625" style="820" customWidth="1"/>
    <col min="10251" max="10251" width="10.77734375" style="820" bestFit="1" customWidth="1"/>
    <col min="10252" max="10496" width="8.88671875" style="820"/>
    <col min="10497" max="10497" width="8.6640625" style="820" customWidth="1"/>
    <col min="10498" max="10498" width="28.6640625" style="820" customWidth="1"/>
    <col min="10499" max="10500" width="15.6640625" style="820" customWidth="1"/>
    <col min="10501" max="10502" width="13.6640625" style="820" customWidth="1"/>
    <col min="10503" max="10504" width="15.6640625" style="820" customWidth="1"/>
    <col min="10505" max="10505" width="13.6640625" style="820" customWidth="1"/>
    <col min="10506" max="10506" width="14.6640625" style="820" customWidth="1"/>
    <col min="10507" max="10507" width="10.77734375" style="820" bestFit="1" customWidth="1"/>
    <col min="10508" max="10752" width="8.88671875" style="820"/>
    <col min="10753" max="10753" width="8.6640625" style="820" customWidth="1"/>
    <col min="10754" max="10754" width="28.6640625" style="820" customWidth="1"/>
    <col min="10755" max="10756" width="15.6640625" style="820" customWidth="1"/>
    <col min="10757" max="10758" width="13.6640625" style="820" customWidth="1"/>
    <col min="10759" max="10760" width="15.6640625" style="820" customWidth="1"/>
    <col min="10761" max="10761" width="13.6640625" style="820" customWidth="1"/>
    <col min="10762" max="10762" width="14.6640625" style="820" customWidth="1"/>
    <col min="10763" max="10763" width="10.77734375" style="820" bestFit="1" customWidth="1"/>
    <col min="10764" max="11008" width="8.88671875" style="820"/>
    <col min="11009" max="11009" width="8.6640625" style="820" customWidth="1"/>
    <col min="11010" max="11010" width="28.6640625" style="820" customWidth="1"/>
    <col min="11011" max="11012" width="15.6640625" style="820" customWidth="1"/>
    <col min="11013" max="11014" width="13.6640625" style="820" customWidth="1"/>
    <col min="11015" max="11016" width="15.6640625" style="820" customWidth="1"/>
    <col min="11017" max="11017" width="13.6640625" style="820" customWidth="1"/>
    <col min="11018" max="11018" width="14.6640625" style="820" customWidth="1"/>
    <col min="11019" max="11019" width="10.77734375" style="820" bestFit="1" customWidth="1"/>
    <col min="11020" max="11264" width="8.88671875" style="820"/>
    <col min="11265" max="11265" width="8.6640625" style="820" customWidth="1"/>
    <col min="11266" max="11266" width="28.6640625" style="820" customWidth="1"/>
    <col min="11267" max="11268" width="15.6640625" style="820" customWidth="1"/>
    <col min="11269" max="11270" width="13.6640625" style="820" customWidth="1"/>
    <col min="11271" max="11272" width="15.6640625" style="820" customWidth="1"/>
    <col min="11273" max="11273" width="13.6640625" style="820" customWidth="1"/>
    <col min="11274" max="11274" width="14.6640625" style="820" customWidth="1"/>
    <col min="11275" max="11275" width="10.77734375" style="820" bestFit="1" customWidth="1"/>
    <col min="11276" max="11520" width="8.88671875" style="820"/>
    <col min="11521" max="11521" width="8.6640625" style="820" customWidth="1"/>
    <col min="11522" max="11522" width="28.6640625" style="820" customWidth="1"/>
    <col min="11523" max="11524" width="15.6640625" style="820" customWidth="1"/>
    <col min="11525" max="11526" width="13.6640625" style="820" customWidth="1"/>
    <col min="11527" max="11528" width="15.6640625" style="820" customWidth="1"/>
    <col min="11529" max="11529" width="13.6640625" style="820" customWidth="1"/>
    <col min="11530" max="11530" width="14.6640625" style="820" customWidth="1"/>
    <col min="11531" max="11531" width="10.77734375" style="820" bestFit="1" customWidth="1"/>
    <col min="11532" max="11776" width="8.88671875" style="820"/>
    <col min="11777" max="11777" width="8.6640625" style="820" customWidth="1"/>
    <col min="11778" max="11778" width="28.6640625" style="820" customWidth="1"/>
    <col min="11779" max="11780" width="15.6640625" style="820" customWidth="1"/>
    <col min="11781" max="11782" width="13.6640625" style="820" customWidth="1"/>
    <col min="11783" max="11784" width="15.6640625" style="820" customWidth="1"/>
    <col min="11785" max="11785" width="13.6640625" style="820" customWidth="1"/>
    <col min="11786" max="11786" width="14.6640625" style="820" customWidth="1"/>
    <col min="11787" max="11787" width="10.77734375" style="820" bestFit="1" customWidth="1"/>
    <col min="11788" max="12032" width="8.88671875" style="820"/>
    <col min="12033" max="12033" width="8.6640625" style="820" customWidth="1"/>
    <col min="12034" max="12034" width="28.6640625" style="820" customWidth="1"/>
    <col min="12035" max="12036" width="15.6640625" style="820" customWidth="1"/>
    <col min="12037" max="12038" width="13.6640625" style="820" customWidth="1"/>
    <col min="12039" max="12040" width="15.6640625" style="820" customWidth="1"/>
    <col min="12041" max="12041" width="13.6640625" style="820" customWidth="1"/>
    <col min="12042" max="12042" width="14.6640625" style="820" customWidth="1"/>
    <col min="12043" max="12043" width="10.77734375" style="820" bestFit="1" customWidth="1"/>
    <col min="12044" max="12288" width="8.88671875" style="820"/>
    <col min="12289" max="12289" width="8.6640625" style="820" customWidth="1"/>
    <col min="12290" max="12290" width="28.6640625" style="820" customWidth="1"/>
    <col min="12291" max="12292" width="15.6640625" style="820" customWidth="1"/>
    <col min="12293" max="12294" width="13.6640625" style="820" customWidth="1"/>
    <col min="12295" max="12296" width="15.6640625" style="820" customWidth="1"/>
    <col min="12297" max="12297" width="13.6640625" style="820" customWidth="1"/>
    <col min="12298" max="12298" width="14.6640625" style="820" customWidth="1"/>
    <col min="12299" max="12299" width="10.77734375" style="820" bestFit="1" customWidth="1"/>
    <col min="12300" max="12544" width="8.88671875" style="820"/>
    <col min="12545" max="12545" width="8.6640625" style="820" customWidth="1"/>
    <col min="12546" max="12546" width="28.6640625" style="820" customWidth="1"/>
    <col min="12547" max="12548" width="15.6640625" style="820" customWidth="1"/>
    <col min="12549" max="12550" width="13.6640625" style="820" customWidth="1"/>
    <col min="12551" max="12552" width="15.6640625" style="820" customWidth="1"/>
    <col min="12553" max="12553" width="13.6640625" style="820" customWidth="1"/>
    <col min="12554" max="12554" width="14.6640625" style="820" customWidth="1"/>
    <col min="12555" max="12555" width="10.77734375" style="820" bestFit="1" customWidth="1"/>
    <col min="12556" max="12800" width="8.88671875" style="820"/>
    <col min="12801" max="12801" width="8.6640625" style="820" customWidth="1"/>
    <col min="12802" max="12802" width="28.6640625" style="820" customWidth="1"/>
    <col min="12803" max="12804" width="15.6640625" style="820" customWidth="1"/>
    <col min="12805" max="12806" width="13.6640625" style="820" customWidth="1"/>
    <col min="12807" max="12808" width="15.6640625" style="820" customWidth="1"/>
    <col min="12809" max="12809" width="13.6640625" style="820" customWidth="1"/>
    <col min="12810" max="12810" width="14.6640625" style="820" customWidth="1"/>
    <col min="12811" max="12811" width="10.77734375" style="820" bestFit="1" customWidth="1"/>
    <col min="12812" max="13056" width="8.88671875" style="820"/>
    <col min="13057" max="13057" width="8.6640625" style="820" customWidth="1"/>
    <col min="13058" max="13058" width="28.6640625" style="820" customWidth="1"/>
    <col min="13059" max="13060" width="15.6640625" style="820" customWidth="1"/>
    <col min="13061" max="13062" width="13.6640625" style="820" customWidth="1"/>
    <col min="13063" max="13064" width="15.6640625" style="820" customWidth="1"/>
    <col min="13065" max="13065" width="13.6640625" style="820" customWidth="1"/>
    <col min="13066" max="13066" width="14.6640625" style="820" customWidth="1"/>
    <col min="13067" max="13067" width="10.77734375" style="820" bestFit="1" customWidth="1"/>
    <col min="13068" max="13312" width="8.88671875" style="820"/>
    <col min="13313" max="13313" width="8.6640625" style="820" customWidth="1"/>
    <col min="13314" max="13314" width="28.6640625" style="820" customWidth="1"/>
    <col min="13315" max="13316" width="15.6640625" style="820" customWidth="1"/>
    <col min="13317" max="13318" width="13.6640625" style="820" customWidth="1"/>
    <col min="13319" max="13320" width="15.6640625" style="820" customWidth="1"/>
    <col min="13321" max="13321" width="13.6640625" style="820" customWidth="1"/>
    <col min="13322" max="13322" width="14.6640625" style="820" customWidth="1"/>
    <col min="13323" max="13323" width="10.77734375" style="820" bestFit="1" customWidth="1"/>
    <col min="13324" max="13568" width="8.88671875" style="820"/>
    <col min="13569" max="13569" width="8.6640625" style="820" customWidth="1"/>
    <col min="13570" max="13570" width="28.6640625" style="820" customWidth="1"/>
    <col min="13571" max="13572" width="15.6640625" style="820" customWidth="1"/>
    <col min="13573" max="13574" width="13.6640625" style="820" customWidth="1"/>
    <col min="13575" max="13576" width="15.6640625" style="820" customWidth="1"/>
    <col min="13577" max="13577" width="13.6640625" style="820" customWidth="1"/>
    <col min="13578" max="13578" width="14.6640625" style="820" customWidth="1"/>
    <col min="13579" max="13579" width="10.77734375" style="820" bestFit="1" customWidth="1"/>
    <col min="13580" max="13824" width="8.88671875" style="820"/>
    <col min="13825" max="13825" width="8.6640625" style="820" customWidth="1"/>
    <col min="13826" max="13826" width="28.6640625" style="820" customWidth="1"/>
    <col min="13827" max="13828" width="15.6640625" style="820" customWidth="1"/>
    <col min="13829" max="13830" width="13.6640625" style="820" customWidth="1"/>
    <col min="13831" max="13832" width="15.6640625" style="820" customWidth="1"/>
    <col min="13833" max="13833" width="13.6640625" style="820" customWidth="1"/>
    <col min="13834" max="13834" width="14.6640625" style="820" customWidth="1"/>
    <col min="13835" max="13835" width="10.77734375" style="820" bestFit="1" customWidth="1"/>
    <col min="13836" max="14080" width="8.88671875" style="820"/>
    <col min="14081" max="14081" width="8.6640625" style="820" customWidth="1"/>
    <col min="14082" max="14082" width="28.6640625" style="820" customWidth="1"/>
    <col min="14083" max="14084" width="15.6640625" style="820" customWidth="1"/>
    <col min="14085" max="14086" width="13.6640625" style="820" customWidth="1"/>
    <col min="14087" max="14088" width="15.6640625" style="820" customWidth="1"/>
    <col min="14089" max="14089" width="13.6640625" style="820" customWidth="1"/>
    <col min="14090" max="14090" width="14.6640625" style="820" customWidth="1"/>
    <col min="14091" max="14091" width="10.77734375" style="820" bestFit="1" customWidth="1"/>
    <col min="14092" max="14336" width="8.88671875" style="820"/>
    <col min="14337" max="14337" width="8.6640625" style="820" customWidth="1"/>
    <col min="14338" max="14338" width="28.6640625" style="820" customWidth="1"/>
    <col min="14339" max="14340" width="15.6640625" style="820" customWidth="1"/>
    <col min="14341" max="14342" width="13.6640625" style="820" customWidth="1"/>
    <col min="14343" max="14344" width="15.6640625" style="820" customWidth="1"/>
    <col min="14345" max="14345" width="13.6640625" style="820" customWidth="1"/>
    <col min="14346" max="14346" width="14.6640625" style="820" customWidth="1"/>
    <col min="14347" max="14347" width="10.77734375" style="820" bestFit="1" customWidth="1"/>
    <col min="14348" max="14592" width="8.88671875" style="820"/>
    <col min="14593" max="14593" width="8.6640625" style="820" customWidth="1"/>
    <col min="14594" max="14594" width="28.6640625" style="820" customWidth="1"/>
    <col min="14595" max="14596" width="15.6640625" style="820" customWidth="1"/>
    <col min="14597" max="14598" width="13.6640625" style="820" customWidth="1"/>
    <col min="14599" max="14600" width="15.6640625" style="820" customWidth="1"/>
    <col min="14601" max="14601" width="13.6640625" style="820" customWidth="1"/>
    <col min="14602" max="14602" width="14.6640625" style="820" customWidth="1"/>
    <col min="14603" max="14603" width="10.77734375" style="820" bestFit="1" customWidth="1"/>
    <col min="14604" max="14848" width="8.88671875" style="820"/>
    <col min="14849" max="14849" width="8.6640625" style="820" customWidth="1"/>
    <col min="14850" max="14850" width="28.6640625" style="820" customWidth="1"/>
    <col min="14851" max="14852" width="15.6640625" style="820" customWidth="1"/>
    <col min="14853" max="14854" width="13.6640625" style="820" customWidth="1"/>
    <col min="14855" max="14856" width="15.6640625" style="820" customWidth="1"/>
    <col min="14857" max="14857" width="13.6640625" style="820" customWidth="1"/>
    <col min="14858" max="14858" width="14.6640625" style="820" customWidth="1"/>
    <col min="14859" max="14859" width="10.77734375" style="820" bestFit="1" customWidth="1"/>
    <col min="14860" max="15104" width="8.88671875" style="820"/>
    <col min="15105" max="15105" width="8.6640625" style="820" customWidth="1"/>
    <col min="15106" max="15106" width="28.6640625" style="820" customWidth="1"/>
    <col min="15107" max="15108" width="15.6640625" style="820" customWidth="1"/>
    <col min="15109" max="15110" width="13.6640625" style="820" customWidth="1"/>
    <col min="15111" max="15112" width="15.6640625" style="820" customWidth="1"/>
    <col min="15113" max="15113" width="13.6640625" style="820" customWidth="1"/>
    <col min="15114" max="15114" width="14.6640625" style="820" customWidth="1"/>
    <col min="15115" max="15115" width="10.77734375" style="820" bestFit="1" customWidth="1"/>
    <col min="15116" max="15360" width="8.88671875" style="820"/>
    <col min="15361" max="15361" width="8.6640625" style="820" customWidth="1"/>
    <col min="15362" max="15362" width="28.6640625" style="820" customWidth="1"/>
    <col min="15363" max="15364" width="15.6640625" style="820" customWidth="1"/>
    <col min="15365" max="15366" width="13.6640625" style="820" customWidth="1"/>
    <col min="15367" max="15368" width="15.6640625" style="820" customWidth="1"/>
    <col min="15369" max="15369" width="13.6640625" style="820" customWidth="1"/>
    <col min="15370" max="15370" width="14.6640625" style="820" customWidth="1"/>
    <col min="15371" max="15371" width="10.77734375" style="820" bestFit="1" customWidth="1"/>
    <col min="15372" max="15616" width="8.88671875" style="820"/>
    <col min="15617" max="15617" width="8.6640625" style="820" customWidth="1"/>
    <col min="15618" max="15618" width="28.6640625" style="820" customWidth="1"/>
    <col min="15619" max="15620" width="15.6640625" style="820" customWidth="1"/>
    <col min="15621" max="15622" width="13.6640625" style="820" customWidth="1"/>
    <col min="15623" max="15624" width="15.6640625" style="820" customWidth="1"/>
    <col min="15625" max="15625" width="13.6640625" style="820" customWidth="1"/>
    <col min="15626" max="15626" width="14.6640625" style="820" customWidth="1"/>
    <col min="15627" max="15627" width="10.77734375" style="820" bestFit="1" customWidth="1"/>
    <col min="15628" max="15872" width="8.88671875" style="820"/>
    <col min="15873" max="15873" width="8.6640625" style="820" customWidth="1"/>
    <col min="15874" max="15874" width="28.6640625" style="820" customWidth="1"/>
    <col min="15875" max="15876" width="15.6640625" style="820" customWidth="1"/>
    <col min="15877" max="15878" width="13.6640625" style="820" customWidth="1"/>
    <col min="15879" max="15880" width="15.6640625" style="820" customWidth="1"/>
    <col min="15881" max="15881" width="13.6640625" style="820" customWidth="1"/>
    <col min="15882" max="15882" width="14.6640625" style="820" customWidth="1"/>
    <col min="15883" max="15883" width="10.77734375" style="820" bestFit="1" customWidth="1"/>
    <col min="15884" max="16128" width="8.88671875" style="820"/>
    <col min="16129" max="16129" width="8.6640625" style="820" customWidth="1"/>
    <col min="16130" max="16130" width="28.6640625" style="820" customWidth="1"/>
    <col min="16131" max="16132" width="15.6640625" style="820" customWidth="1"/>
    <col min="16133" max="16134" width="13.6640625" style="820" customWidth="1"/>
    <col min="16135" max="16136" width="15.6640625" style="820" customWidth="1"/>
    <col min="16137" max="16137" width="13.6640625" style="820" customWidth="1"/>
    <col min="16138" max="16138" width="14.6640625" style="820" customWidth="1"/>
    <col min="16139" max="16139" width="10.77734375" style="820" bestFit="1" customWidth="1"/>
    <col min="16140" max="16384" width="8.88671875" style="820"/>
  </cols>
  <sheetData>
    <row r="1" spans="1:13" x14ac:dyDescent="0.25">
      <c r="A1" s="931" t="s">
        <v>726</v>
      </c>
      <c r="B1" s="932"/>
      <c r="C1" s="932"/>
      <c r="D1" s="932"/>
      <c r="E1" s="932"/>
      <c r="F1" s="932"/>
      <c r="G1" s="932"/>
      <c r="H1" s="934" t="s">
        <v>1166</v>
      </c>
      <c r="I1" s="932"/>
      <c r="J1" s="932"/>
    </row>
    <row r="2" spans="1:13" x14ac:dyDescent="0.25">
      <c r="A2" s="931" t="s">
        <v>728</v>
      </c>
      <c r="B2" s="932"/>
      <c r="C2" s="932"/>
      <c r="D2" s="932"/>
      <c r="E2" s="932"/>
      <c r="F2" s="932"/>
      <c r="G2" s="932"/>
      <c r="H2" s="934" t="s">
        <v>729</v>
      </c>
      <c r="I2" s="932"/>
      <c r="J2" s="932"/>
    </row>
    <row r="3" spans="1:13" x14ac:dyDescent="0.25">
      <c r="A3" s="935" t="s">
        <v>730</v>
      </c>
      <c r="B3" s="932"/>
      <c r="C3" s="932"/>
      <c r="D3" s="932"/>
      <c r="E3" s="932"/>
      <c r="F3" s="932"/>
      <c r="G3" s="932"/>
      <c r="H3" s="932"/>
      <c r="I3" s="932"/>
      <c r="J3" s="932"/>
    </row>
    <row r="4" spans="1:13" x14ac:dyDescent="0.25">
      <c r="A4" s="932"/>
      <c r="B4" s="932"/>
      <c r="C4" s="932"/>
      <c r="D4" s="932"/>
      <c r="E4" s="932"/>
      <c r="F4" s="932"/>
      <c r="G4" s="932"/>
      <c r="H4" s="932"/>
      <c r="I4" s="932"/>
      <c r="J4" s="932"/>
    </row>
    <row r="5" spans="1:13" x14ac:dyDescent="0.25">
      <c r="A5" s="931" t="s">
        <v>731</v>
      </c>
      <c r="B5" s="932"/>
      <c r="C5" s="932"/>
      <c r="D5" s="932"/>
      <c r="E5" s="932"/>
      <c r="F5" s="932"/>
      <c r="G5" s="932"/>
      <c r="H5" s="934" t="s">
        <v>1167</v>
      </c>
      <c r="I5" s="932"/>
      <c r="J5" s="932"/>
    </row>
    <row r="6" spans="1:13" x14ac:dyDescent="0.25">
      <c r="A6" s="931" t="s">
        <v>1168</v>
      </c>
      <c r="B6" s="932"/>
      <c r="C6" s="932"/>
      <c r="D6" s="932"/>
      <c r="E6" s="932"/>
      <c r="F6" s="932"/>
      <c r="G6" s="932"/>
      <c r="H6" s="932"/>
      <c r="I6" s="932"/>
      <c r="J6" s="932"/>
    </row>
    <row r="7" spans="1:13" x14ac:dyDescent="0.25">
      <c r="A7" s="933" t="s">
        <v>734</v>
      </c>
      <c r="B7" s="932"/>
      <c r="C7" s="933" t="s">
        <v>735</v>
      </c>
      <c r="D7" s="932"/>
      <c r="E7" s="933" t="s">
        <v>736</v>
      </c>
      <c r="F7" s="932"/>
      <c r="G7" s="933" t="s">
        <v>737</v>
      </c>
      <c r="H7" s="932"/>
      <c r="I7" s="933" t="s">
        <v>738</v>
      </c>
      <c r="J7" s="932"/>
    </row>
    <row r="8" spans="1:13" x14ac:dyDescent="0.25">
      <c r="A8" s="823" t="s">
        <v>739</v>
      </c>
      <c r="B8" s="823" t="s">
        <v>429</v>
      </c>
      <c r="C8" s="824" t="s">
        <v>176</v>
      </c>
      <c r="D8" s="824" t="s">
        <v>177</v>
      </c>
      <c r="E8" s="824" t="s">
        <v>176</v>
      </c>
      <c r="F8" s="824" t="s">
        <v>177</v>
      </c>
      <c r="G8" s="824" t="s">
        <v>176</v>
      </c>
      <c r="H8" s="824" t="s">
        <v>177</v>
      </c>
      <c r="I8" s="824" t="s">
        <v>740</v>
      </c>
      <c r="J8" s="824" t="s">
        <v>741</v>
      </c>
      <c r="L8" s="815" t="s">
        <v>429</v>
      </c>
    </row>
    <row r="9" spans="1:13" x14ac:dyDescent="0.25">
      <c r="A9" s="823" t="s">
        <v>742</v>
      </c>
      <c r="B9" s="823" t="s">
        <v>743</v>
      </c>
      <c r="C9" s="825">
        <v>0</v>
      </c>
      <c r="D9" s="825">
        <v>200000</v>
      </c>
      <c r="E9" s="825">
        <v>0</v>
      </c>
      <c r="F9" s="825">
        <v>0</v>
      </c>
      <c r="G9" s="825">
        <v>0</v>
      </c>
      <c r="H9" s="825">
        <v>200000</v>
      </c>
      <c r="I9" s="825">
        <v>0</v>
      </c>
      <c r="J9" s="825">
        <v>200000</v>
      </c>
      <c r="K9" s="819">
        <f>I9-J9</f>
        <v>-200000</v>
      </c>
      <c r="L9" s="820" t="s">
        <v>744</v>
      </c>
      <c r="M9" s="830">
        <f>K9</f>
        <v>-200000</v>
      </c>
    </row>
    <row r="10" spans="1:13" x14ac:dyDescent="0.25">
      <c r="A10" s="823" t="s">
        <v>745</v>
      </c>
      <c r="B10" s="823" t="s">
        <v>746</v>
      </c>
      <c r="C10" s="825">
        <v>0</v>
      </c>
      <c r="D10" s="825">
        <v>200000</v>
      </c>
      <c r="E10" s="825">
        <v>0</v>
      </c>
      <c r="F10" s="825">
        <v>0</v>
      </c>
      <c r="G10" s="825">
        <v>0</v>
      </c>
      <c r="H10" s="825">
        <v>200000</v>
      </c>
      <c r="I10" s="825">
        <v>0</v>
      </c>
      <c r="J10" s="825">
        <v>200000</v>
      </c>
      <c r="K10" s="819">
        <f t="shared" ref="K10:K73" si="0">I10-J10</f>
        <v>-200000</v>
      </c>
    </row>
    <row r="11" spans="1:13" x14ac:dyDescent="0.25">
      <c r="A11" s="823" t="s">
        <v>747</v>
      </c>
      <c r="B11" s="823" t="s">
        <v>748</v>
      </c>
      <c r="C11" s="825">
        <v>0</v>
      </c>
      <c r="D11" s="825">
        <v>595453.24</v>
      </c>
      <c r="E11" s="825">
        <v>0</v>
      </c>
      <c r="F11" s="825">
        <v>0</v>
      </c>
      <c r="G11" s="825">
        <v>0</v>
      </c>
      <c r="H11" s="825">
        <v>595453.24</v>
      </c>
      <c r="I11" s="825">
        <v>0</v>
      </c>
      <c r="J11" s="825">
        <v>595453.24</v>
      </c>
      <c r="K11" s="819">
        <f t="shared" si="0"/>
        <v>-595453.24</v>
      </c>
    </row>
    <row r="12" spans="1:13" x14ac:dyDescent="0.25">
      <c r="A12" s="823" t="s">
        <v>749</v>
      </c>
      <c r="B12" s="823" t="s">
        <v>750</v>
      </c>
      <c r="C12" s="825">
        <v>0</v>
      </c>
      <c r="D12" s="825">
        <v>40000</v>
      </c>
      <c r="E12" s="825">
        <v>0</v>
      </c>
      <c r="F12" s="825">
        <v>0</v>
      </c>
      <c r="G12" s="825">
        <v>0</v>
      </c>
      <c r="H12" s="825">
        <v>40000</v>
      </c>
      <c r="I12" s="825">
        <v>0</v>
      </c>
      <c r="J12" s="825">
        <v>40000</v>
      </c>
      <c r="K12" s="819">
        <f t="shared" si="0"/>
        <v>-40000</v>
      </c>
      <c r="L12" s="820" t="s">
        <v>751</v>
      </c>
      <c r="M12" s="830">
        <f t="shared" ref="M12:M14" si="1">K12</f>
        <v>-40000</v>
      </c>
    </row>
    <row r="13" spans="1:13" x14ac:dyDescent="0.25">
      <c r="A13" s="823" t="s">
        <v>752</v>
      </c>
      <c r="B13" s="823" t="s">
        <v>753</v>
      </c>
      <c r="C13" s="825">
        <v>0</v>
      </c>
      <c r="D13" s="825">
        <v>555453.24</v>
      </c>
      <c r="E13" s="825">
        <v>0</v>
      </c>
      <c r="F13" s="825">
        <v>0</v>
      </c>
      <c r="G13" s="825">
        <v>0</v>
      </c>
      <c r="H13" s="825">
        <v>555453.24</v>
      </c>
      <c r="I13" s="825">
        <v>0</v>
      </c>
      <c r="J13" s="825">
        <v>555453.24</v>
      </c>
      <c r="K13" s="819">
        <f t="shared" si="0"/>
        <v>-555453.24</v>
      </c>
      <c r="L13" s="820" t="s">
        <v>754</v>
      </c>
      <c r="M13" s="830">
        <f t="shared" si="1"/>
        <v>-555453.24</v>
      </c>
    </row>
    <row r="14" spans="1:13" x14ac:dyDescent="0.25">
      <c r="A14" s="823" t="s">
        <v>755</v>
      </c>
      <c r="B14" s="823" t="s">
        <v>756</v>
      </c>
      <c r="C14" s="825">
        <v>0</v>
      </c>
      <c r="D14" s="825">
        <v>3117946.92</v>
      </c>
      <c r="E14" s="825">
        <v>550800</v>
      </c>
      <c r="F14" s="825">
        <v>0</v>
      </c>
      <c r="G14" s="825">
        <v>550800</v>
      </c>
      <c r="H14" s="825">
        <v>3117946.92</v>
      </c>
      <c r="I14" s="825">
        <v>0</v>
      </c>
      <c r="J14" s="825">
        <v>2567146.92</v>
      </c>
      <c r="K14" s="819">
        <f t="shared" si="0"/>
        <v>-2567146.92</v>
      </c>
      <c r="L14" s="820" t="s">
        <v>757</v>
      </c>
      <c r="M14" s="830">
        <f t="shared" si="1"/>
        <v>-2567146.92</v>
      </c>
    </row>
    <row r="15" spans="1:13" x14ac:dyDescent="0.25">
      <c r="A15" s="823" t="s">
        <v>758</v>
      </c>
      <c r="B15" s="823" t="s">
        <v>756</v>
      </c>
      <c r="C15" s="825">
        <v>0</v>
      </c>
      <c r="D15" s="825">
        <v>3117946.92</v>
      </c>
      <c r="E15" s="825">
        <v>550800</v>
      </c>
      <c r="F15" s="825">
        <v>0</v>
      </c>
      <c r="G15" s="825">
        <v>550800</v>
      </c>
      <c r="H15" s="825">
        <v>3117946.92</v>
      </c>
      <c r="I15" s="825">
        <v>0</v>
      </c>
      <c r="J15" s="825">
        <v>2567146.92</v>
      </c>
      <c r="K15" s="819">
        <f t="shared" si="0"/>
        <v>-2567146.92</v>
      </c>
    </row>
    <row r="16" spans="1:13" x14ac:dyDescent="0.25">
      <c r="A16" s="823" t="s">
        <v>759</v>
      </c>
      <c r="B16" s="823" t="s">
        <v>760</v>
      </c>
      <c r="C16" s="825">
        <v>35484106.939999998</v>
      </c>
      <c r="D16" s="825">
        <v>36969717.539999999</v>
      </c>
      <c r="E16" s="825">
        <v>2655878.2600000002</v>
      </c>
      <c r="F16" s="825">
        <v>3248597.54</v>
      </c>
      <c r="G16" s="825">
        <v>38139985.200000003</v>
      </c>
      <c r="H16" s="825">
        <v>40218315.079999998</v>
      </c>
      <c r="I16" s="825">
        <v>0</v>
      </c>
      <c r="J16" s="825">
        <v>2078329.8800000001</v>
      </c>
      <c r="K16" s="819">
        <f t="shared" si="0"/>
        <v>-2078329.8800000001</v>
      </c>
    </row>
    <row r="17" spans="1:13" x14ac:dyDescent="0.25">
      <c r="A17" s="823" t="s">
        <v>761</v>
      </c>
      <c r="B17" s="823" t="s">
        <v>762</v>
      </c>
      <c r="C17" s="825">
        <v>1998751.28</v>
      </c>
      <c r="D17" s="825">
        <v>1998751.28</v>
      </c>
      <c r="E17" s="825">
        <v>0</v>
      </c>
      <c r="F17" s="825">
        <v>0</v>
      </c>
      <c r="G17" s="825">
        <v>1998751.28</v>
      </c>
      <c r="H17" s="825">
        <v>1998751.28</v>
      </c>
      <c r="I17" s="825">
        <v>0</v>
      </c>
      <c r="J17" s="825">
        <v>0</v>
      </c>
      <c r="K17" s="819">
        <f t="shared" si="0"/>
        <v>0</v>
      </c>
      <c r="L17" s="820" t="s">
        <v>763</v>
      </c>
      <c r="M17" s="830">
        <f t="shared" ref="M17:M19" si="2">K17</f>
        <v>0</v>
      </c>
    </row>
    <row r="18" spans="1:13" x14ac:dyDescent="0.25">
      <c r="A18" s="823" t="s">
        <v>764</v>
      </c>
      <c r="B18" s="823" t="s">
        <v>765</v>
      </c>
      <c r="C18" s="825">
        <v>33485355.66</v>
      </c>
      <c r="D18" s="825">
        <v>34970966.259999998</v>
      </c>
      <c r="E18" s="825">
        <v>2655878.2600000002</v>
      </c>
      <c r="F18" s="825">
        <v>3248597.54</v>
      </c>
      <c r="G18" s="825">
        <v>36141233.920000002</v>
      </c>
      <c r="H18" s="825">
        <v>38219563.800000004</v>
      </c>
      <c r="I18" s="825">
        <v>0</v>
      </c>
      <c r="J18" s="825">
        <v>2078329.8800000001</v>
      </c>
      <c r="K18" s="819">
        <f t="shared" si="0"/>
        <v>-2078329.8800000001</v>
      </c>
      <c r="L18" s="820" t="s">
        <v>763</v>
      </c>
      <c r="M18" s="830">
        <f t="shared" si="2"/>
        <v>-2078329.8800000001</v>
      </c>
    </row>
    <row r="19" spans="1:13" x14ac:dyDescent="0.25">
      <c r="A19" s="823" t="s">
        <v>766</v>
      </c>
      <c r="B19" s="823" t="s">
        <v>767</v>
      </c>
      <c r="C19" s="825">
        <v>1998751.28</v>
      </c>
      <c r="D19" s="825">
        <v>1998751.28</v>
      </c>
      <c r="E19" s="825">
        <v>0</v>
      </c>
      <c r="F19" s="825">
        <v>0</v>
      </c>
      <c r="G19" s="825">
        <v>1998751.28</v>
      </c>
      <c r="H19" s="825">
        <v>1998751.28</v>
      </c>
      <c r="I19" s="825">
        <v>0</v>
      </c>
      <c r="J19" s="825">
        <v>0</v>
      </c>
      <c r="K19" s="819">
        <f t="shared" si="0"/>
        <v>0</v>
      </c>
      <c r="L19" s="820" t="s">
        <v>770</v>
      </c>
      <c r="M19" s="830">
        <f t="shared" si="2"/>
        <v>0</v>
      </c>
    </row>
    <row r="20" spans="1:13" x14ac:dyDescent="0.25">
      <c r="A20" s="823" t="s">
        <v>768</v>
      </c>
      <c r="B20" s="823" t="s">
        <v>769</v>
      </c>
      <c r="C20" s="825">
        <v>1998751.28</v>
      </c>
      <c r="D20" s="825">
        <v>1998751.28</v>
      </c>
      <c r="E20" s="825">
        <v>0</v>
      </c>
      <c r="F20" s="825">
        <v>0</v>
      </c>
      <c r="G20" s="825">
        <v>1998751.28</v>
      </c>
      <c r="H20" s="825">
        <v>1998751.28</v>
      </c>
      <c r="I20" s="825">
        <v>0</v>
      </c>
      <c r="J20" s="825">
        <v>0</v>
      </c>
      <c r="K20" s="819">
        <f t="shared" si="0"/>
        <v>0</v>
      </c>
    </row>
    <row r="21" spans="1:13" x14ac:dyDescent="0.25">
      <c r="A21" s="823" t="s">
        <v>771</v>
      </c>
      <c r="B21" s="823" t="s">
        <v>772</v>
      </c>
      <c r="C21" s="825">
        <v>148187.39000000001</v>
      </c>
      <c r="D21" s="825">
        <v>166017.99</v>
      </c>
      <c r="E21" s="825">
        <v>27852.170000000002</v>
      </c>
      <c r="F21" s="825">
        <v>94979.24</v>
      </c>
      <c r="G21" s="825">
        <v>176039.56</v>
      </c>
      <c r="H21" s="825">
        <v>260997.23</v>
      </c>
      <c r="I21" s="825">
        <v>0</v>
      </c>
      <c r="J21" s="825">
        <v>84957.67</v>
      </c>
      <c r="K21" s="819">
        <f t="shared" si="0"/>
        <v>-84957.67</v>
      </c>
    </row>
    <row r="22" spans="1:13" x14ac:dyDescent="0.25">
      <c r="A22" s="823" t="s">
        <v>773</v>
      </c>
      <c r="B22" s="823" t="s">
        <v>774</v>
      </c>
      <c r="C22" s="825">
        <v>13344.78</v>
      </c>
      <c r="D22" s="825">
        <v>17677.150000000001</v>
      </c>
      <c r="E22" s="825">
        <v>1245.1200000000001</v>
      </c>
      <c r="F22" s="825">
        <v>0</v>
      </c>
      <c r="G22" s="825">
        <v>14589.9</v>
      </c>
      <c r="H22" s="825">
        <v>17677.150000000001</v>
      </c>
      <c r="I22" s="825">
        <v>0</v>
      </c>
      <c r="J22" s="825">
        <v>3087.25</v>
      </c>
      <c r="K22" s="819">
        <f t="shared" si="0"/>
        <v>-3087.25</v>
      </c>
      <c r="L22" s="821" t="s">
        <v>775</v>
      </c>
      <c r="M22" s="830">
        <f t="shared" ref="M22:M27" si="3">K22</f>
        <v>-3087.25</v>
      </c>
    </row>
    <row r="23" spans="1:13" x14ac:dyDescent="0.25">
      <c r="A23" s="823" t="s">
        <v>776</v>
      </c>
      <c r="B23" s="823" t="s">
        <v>777</v>
      </c>
      <c r="C23" s="825">
        <v>134842.61000000002</v>
      </c>
      <c r="D23" s="825">
        <v>148340.84</v>
      </c>
      <c r="E23" s="825">
        <v>26607.05</v>
      </c>
      <c r="F23" s="825">
        <v>94979.24</v>
      </c>
      <c r="G23" s="825">
        <v>161449.66</v>
      </c>
      <c r="H23" s="825">
        <v>243320.08000000002</v>
      </c>
      <c r="I23" s="825">
        <v>0</v>
      </c>
      <c r="J23" s="825">
        <v>81870.42</v>
      </c>
      <c r="K23" s="819">
        <f t="shared" si="0"/>
        <v>-81870.42</v>
      </c>
      <c r="L23" s="821" t="s">
        <v>775</v>
      </c>
      <c r="M23" s="830">
        <f t="shared" si="3"/>
        <v>-81870.42</v>
      </c>
    </row>
    <row r="24" spans="1:13" x14ac:dyDescent="0.25">
      <c r="A24" s="823" t="s">
        <v>778</v>
      </c>
      <c r="B24" s="823" t="s">
        <v>779</v>
      </c>
      <c r="C24" s="825">
        <v>18770.510000000002</v>
      </c>
      <c r="D24" s="825">
        <v>0</v>
      </c>
      <c r="E24" s="825">
        <v>0</v>
      </c>
      <c r="F24" s="825">
        <v>0</v>
      </c>
      <c r="G24" s="825">
        <v>18770.510000000002</v>
      </c>
      <c r="H24" s="825">
        <v>0</v>
      </c>
      <c r="I24" s="825">
        <v>18770.510000000002</v>
      </c>
      <c r="J24" s="825">
        <v>0</v>
      </c>
      <c r="K24" s="819">
        <f t="shared" si="0"/>
        <v>18770.510000000002</v>
      </c>
      <c r="L24" s="821" t="s">
        <v>780</v>
      </c>
      <c r="M24" s="830">
        <f t="shared" si="3"/>
        <v>18770.510000000002</v>
      </c>
    </row>
    <row r="25" spans="1:13" x14ac:dyDescent="0.25">
      <c r="A25" s="823" t="s">
        <v>781</v>
      </c>
      <c r="B25" s="823" t="s">
        <v>782</v>
      </c>
      <c r="C25" s="825">
        <v>4923</v>
      </c>
      <c r="D25" s="825">
        <v>0</v>
      </c>
      <c r="E25" s="825">
        <v>0</v>
      </c>
      <c r="F25" s="825">
        <v>0</v>
      </c>
      <c r="G25" s="825">
        <v>4923</v>
      </c>
      <c r="H25" s="825">
        <v>0</v>
      </c>
      <c r="I25" s="825">
        <v>4923</v>
      </c>
      <c r="J25" s="825">
        <v>0</v>
      </c>
      <c r="K25" s="819">
        <f t="shared" si="0"/>
        <v>4923</v>
      </c>
      <c r="L25" s="821" t="s">
        <v>780</v>
      </c>
      <c r="M25" s="830">
        <f t="shared" si="3"/>
        <v>4923</v>
      </c>
    </row>
    <row r="26" spans="1:13" x14ac:dyDescent="0.25">
      <c r="A26" s="823" t="s">
        <v>783</v>
      </c>
      <c r="B26" s="823" t="s">
        <v>784</v>
      </c>
      <c r="C26" s="825">
        <v>4500</v>
      </c>
      <c r="D26" s="825">
        <v>0</v>
      </c>
      <c r="E26" s="825">
        <v>0</v>
      </c>
      <c r="F26" s="825">
        <v>0</v>
      </c>
      <c r="G26" s="825">
        <v>4500</v>
      </c>
      <c r="H26" s="825">
        <v>0</v>
      </c>
      <c r="I26" s="825">
        <v>4500</v>
      </c>
      <c r="J26" s="825">
        <v>0</v>
      </c>
      <c r="K26" s="819">
        <f t="shared" si="0"/>
        <v>4500</v>
      </c>
      <c r="L26" s="821" t="s">
        <v>780</v>
      </c>
      <c r="M26" s="830">
        <f t="shared" si="3"/>
        <v>4500</v>
      </c>
    </row>
    <row r="27" spans="1:13" x14ac:dyDescent="0.25">
      <c r="A27" s="823" t="s">
        <v>785</v>
      </c>
      <c r="B27" s="823" t="s">
        <v>786</v>
      </c>
      <c r="C27" s="825">
        <v>20000</v>
      </c>
      <c r="D27" s="825">
        <v>0</v>
      </c>
      <c r="E27" s="825">
        <v>0</v>
      </c>
      <c r="F27" s="825">
        <v>0</v>
      </c>
      <c r="G27" s="825">
        <v>20000</v>
      </c>
      <c r="H27" s="825">
        <v>0</v>
      </c>
      <c r="I27" s="825">
        <v>20000</v>
      </c>
      <c r="J27" s="825">
        <v>0</v>
      </c>
      <c r="K27" s="819">
        <f t="shared" si="0"/>
        <v>20000</v>
      </c>
      <c r="L27" s="820" t="s">
        <v>787</v>
      </c>
      <c r="M27" s="830">
        <f t="shared" si="3"/>
        <v>20000</v>
      </c>
    </row>
    <row r="28" spans="1:13" x14ac:dyDescent="0.25">
      <c r="A28" s="823" t="s">
        <v>788</v>
      </c>
      <c r="B28" s="823" t="s">
        <v>786</v>
      </c>
      <c r="C28" s="825">
        <v>20000</v>
      </c>
      <c r="D28" s="825">
        <v>0</v>
      </c>
      <c r="E28" s="825">
        <v>0</v>
      </c>
      <c r="F28" s="825">
        <v>0</v>
      </c>
      <c r="G28" s="825">
        <v>20000</v>
      </c>
      <c r="H28" s="825">
        <v>0</v>
      </c>
      <c r="I28" s="825">
        <v>20000</v>
      </c>
      <c r="J28" s="825">
        <v>0</v>
      </c>
      <c r="K28" s="819">
        <f t="shared" si="0"/>
        <v>20000</v>
      </c>
    </row>
    <row r="29" spans="1:13" x14ac:dyDescent="0.25">
      <c r="A29" s="823" t="s">
        <v>789</v>
      </c>
      <c r="B29" s="823" t="s">
        <v>790</v>
      </c>
      <c r="C29" s="825">
        <v>2054649.61</v>
      </c>
      <c r="D29" s="825">
        <v>366368.12</v>
      </c>
      <c r="E29" s="825">
        <v>121754.84</v>
      </c>
      <c r="F29" s="825">
        <v>97844.150000000009</v>
      </c>
      <c r="G29" s="825">
        <v>2176404.4500000002</v>
      </c>
      <c r="H29" s="825">
        <v>464212.27</v>
      </c>
      <c r="I29" s="825">
        <v>1712192.18</v>
      </c>
      <c r="J29" s="825">
        <v>0</v>
      </c>
      <c r="K29" s="860">
        <f t="shared" si="0"/>
        <v>1712192.18</v>
      </c>
      <c r="L29" s="820" t="s">
        <v>791</v>
      </c>
      <c r="M29" s="830">
        <f>K29</f>
        <v>1712192.18</v>
      </c>
    </row>
    <row r="30" spans="1:13" x14ac:dyDescent="0.25">
      <c r="A30" s="823" t="s">
        <v>792</v>
      </c>
      <c r="B30" s="823" t="s">
        <v>793</v>
      </c>
      <c r="C30" s="825">
        <v>141120.4</v>
      </c>
      <c r="D30" s="825">
        <v>0</v>
      </c>
      <c r="E30" s="825">
        <v>0</v>
      </c>
      <c r="F30" s="825">
        <v>0</v>
      </c>
      <c r="G30" s="825">
        <v>141120.4</v>
      </c>
      <c r="H30" s="825">
        <v>0</v>
      </c>
      <c r="I30" s="825">
        <v>141120.4</v>
      </c>
      <c r="J30" s="825">
        <v>0</v>
      </c>
      <c r="K30" s="819">
        <f t="shared" si="0"/>
        <v>141120.4</v>
      </c>
    </row>
    <row r="31" spans="1:13" x14ac:dyDescent="0.25">
      <c r="A31" s="823" t="s">
        <v>794</v>
      </c>
      <c r="B31" s="823" t="s">
        <v>795</v>
      </c>
      <c r="C31" s="825">
        <v>53145.36</v>
      </c>
      <c r="D31" s="825">
        <v>0</v>
      </c>
      <c r="E31" s="825">
        <v>0</v>
      </c>
      <c r="F31" s="825">
        <v>8144.4800000000005</v>
      </c>
      <c r="G31" s="825">
        <v>53145.36</v>
      </c>
      <c r="H31" s="825">
        <v>8144.4800000000005</v>
      </c>
      <c r="I31" s="825">
        <v>45000.88</v>
      </c>
      <c r="J31" s="825">
        <v>0</v>
      </c>
      <c r="K31" s="860">
        <f t="shared" si="0"/>
        <v>45000.88</v>
      </c>
      <c r="L31" s="820" t="s">
        <v>791</v>
      </c>
    </row>
    <row r="32" spans="1:13" x14ac:dyDescent="0.25">
      <c r="A32" s="823" t="s">
        <v>796</v>
      </c>
      <c r="B32" s="823" t="s">
        <v>797</v>
      </c>
      <c r="C32" s="825">
        <v>49240</v>
      </c>
      <c r="D32" s="825">
        <v>0</v>
      </c>
      <c r="E32" s="825">
        <v>0</v>
      </c>
      <c r="F32" s="825">
        <v>0</v>
      </c>
      <c r="G32" s="825">
        <v>49240</v>
      </c>
      <c r="H32" s="825">
        <v>0</v>
      </c>
      <c r="I32" s="825">
        <v>49240</v>
      </c>
      <c r="J32" s="825">
        <v>0</v>
      </c>
      <c r="K32" s="819">
        <f t="shared" si="0"/>
        <v>49240</v>
      </c>
    </row>
    <row r="33" spans="1:13" x14ac:dyDescent="0.25">
      <c r="A33" s="823" t="s">
        <v>798</v>
      </c>
      <c r="B33" s="823" t="s">
        <v>799</v>
      </c>
      <c r="C33" s="825">
        <v>1864289.21</v>
      </c>
      <c r="D33" s="825">
        <v>366368.12</v>
      </c>
      <c r="E33" s="825">
        <v>121754.84</v>
      </c>
      <c r="F33" s="825">
        <v>97844.150000000009</v>
      </c>
      <c r="G33" s="825">
        <v>1986044.05</v>
      </c>
      <c r="H33" s="825">
        <v>464212.27</v>
      </c>
      <c r="I33" s="825">
        <v>1521831.78</v>
      </c>
      <c r="J33" s="825">
        <v>0</v>
      </c>
      <c r="K33" s="819">
        <f t="shared" si="0"/>
        <v>1521831.78</v>
      </c>
    </row>
    <row r="34" spans="1:13" x14ac:dyDescent="0.25">
      <c r="A34" s="823" t="s">
        <v>800</v>
      </c>
      <c r="B34" s="823" t="s">
        <v>801</v>
      </c>
      <c r="C34" s="825">
        <v>213341.83000000002</v>
      </c>
      <c r="D34" s="825">
        <v>0</v>
      </c>
      <c r="E34" s="825">
        <v>0</v>
      </c>
      <c r="F34" s="825">
        <v>5164.12</v>
      </c>
      <c r="G34" s="825">
        <v>213341.83000000002</v>
      </c>
      <c r="H34" s="825">
        <v>5164.12</v>
      </c>
      <c r="I34" s="825">
        <v>208177.71</v>
      </c>
      <c r="J34" s="825">
        <v>0</v>
      </c>
      <c r="K34" s="860">
        <f t="shared" si="0"/>
        <v>208177.71</v>
      </c>
      <c r="L34" s="820" t="s">
        <v>802</v>
      </c>
      <c r="M34" s="830">
        <f t="shared" ref="M34:M36" si="4">K34</f>
        <v>208177.71</v>
      </c>
    </row>
    <row r="35" spans="1:13" x14ac:dyDescent="0.25">
      <c r="A35" s="823" t="s">
        <v>803</v>
      </c>
      <c r="B35" s="823" t="s">
        <v>804</v>
      </c>
      <c r="C35" s="825">
        <v>20602.100000000002</v>
      </c>
      <c r="D35" s="825">
        <v>0</v>
      </c>
      <c r="E35" s="825">
        <v>0</v>
      </c>
      <c r="F35" s="825">
        <v>20602.100000000002</v>
      </c>
      <c r="G35" s="825">
        <v>20602.100000000002</v>
      </c>
      <c r="H35" s="825">
        <v>20602.100000000002</v>
      </c>
      <c r="I35" s="825">
        <v>0</v>
      </c>
      <c r="J35" s="825">
        <v>0</v>
      </c>
      <c r="K35" s="819">
        <f t="shared" si="0"/>
        <v>0</v>
      </c>
      <c r="L35" s="826" t="s">
        <v>1190</v>
      </c>
      <c r="M35" s="830">
        <f t="shared" si="4"/>
        <v>0</v>
      </c>
    </row>
    <row r="36" spans="1:13" x14ac:dyDescent="0.25">
      <c r="A36" s="823" t="s">
        <v>805</v>
      </c>
      <c r="B36" s="823" t="s">
        <v>806</v>
      </c>
      <c r="C36" s="825">
        <v>308814.7</v>
      </c>
      <c r="D36" s="825">
        <v>24308.83</v>
      </c>
      <c r="E36" s="825">
        <v>0</v>
      </c>
      <c r="F36" s="825">
        <v>0</v>
      </c>
      <c r="G36" s="825">
        <v>308814.7</v>
      </c>
      <c r="H36" s="825">
        <v>24308.83</v>
      </c>
      <c r="I36" s="825">
        <v>284505.87</v>
      </c>
      <c r="J36" s="825">
        <v>0</v>
      </c>
      <c r="K36" s="819">
        <f t="shared" si="0"/>
        <v>284505.87</v>
      </c>
      <c r="L36" s="820" t="s">
        <v>868</v>
      </c>
      <c r="M36" s="830">
        <f t="shared" si="4"/>
        <v>284505.87</v>
      </c>
    </row>
    <row r="37" spans="1:13" x14ac:dyDescent="0.25">
      <c r="A37" s="823" t="s">
        <v>807</v>
      </c>
      <c r="B37" s="823" t="s">
        <v>808</v>
      </c>
      <c r="C37" s="825">
        <v>308814.7</v>
      </c>
      <c r="D37" s="825">
        <v>24308.83</v>
      </c>
      <c r="E37" s="825">
        <v>0</v>
      </c>
      <c r="F37" s="825">
        <v>0</v>
      </c>
      <c r="G37" s="825">
        <v>308814.7</v>
      </c>
      <c r="H37" s="825">
        <v>24308.83</v>
      </c>
      <c r="I37" s="825">
        <v>284505.87</v>
      </c>
      <c r="J37" s="825">
        <v>0</v>
      </c>
      <c r="K37" s="819">
        <f t="shared" si="0"/>
        <v>284505.87</v>
      </c>
    </row>
    <row r="38" spans="1:13" x14ac:dyDescent="0.25">
      <c r="A38" s="823" t="s">
        <v>809</v>
      </c>
      <c r="B38" s="823" t="s">
        <v>810</v>
      </c>
      <c r="C38" s="825">
        <v>0</v>
      </c>
      <c r="D38" s="825">
        <v>22641.19</v>
      </c>
      <c r="E38" s="825">
        <v>0</v>
      </c>
      <c r="F38" s="825">
        <v>0</v>
      </c>
      <c r="G38" s="825">
        <v>0</v>
      </c>
      <c r="H38" s="825">
        <v>22641.19</v>
      </c>
      <c r="I38" s="825">
        <v>0</v>
      </c>
      <c r="J38" s="825">
        <v>22641.19</v>
      </c>
      <c r="K38" s="819">
        <f t="shared" si="0"/>
        <v>-22641.19</v>
      </c>
    </row>
    <row r="39" spans="1:13" x14ac:dyDescent="0.25">
      <c r="A39" s="823" t="s">
        <v>811</v>
      </c>
      <c r="B39" s="823" t="s">
        <v>812</v>
      </c>
      <c r="C39" s="825">
        <v>0</v>
      </c>
      <c r="D39" s="825">
        <v>5875</v>
      </c>
      <c r="E39" s="825">
        <v>0</v>
      </c>
      <c r="F39" s="825">
        <v>0</v>
      </c>
      <c r="G39" s="825">
        <v>0</v>
      </c>
      <c r="H39" s="825">
        <v>5875</v>
      </c>
      <c r="I39" s="825">
        <v>0</v>
      </c>
      <c r="J39" s="825">
        <v>5875</v>
      </c>
      <c r="K39" s="819">
        <f t="shared" si="0"/>
        <v>-5875</v>
      </c>
      <c r="L39" s="821" t="s">
        <v>780</v>
      </c>
      <c r="M39" s="830">
        <f t="shared" ref="M39:M41" si="5">K39</f>
        <v>-5875</v>
      </c>
    </row>
    <row r="40" spans="1:13" x14ac:dyDescent="0.25">
      <c r="A40" s="823" t="s">
        <v>813</v>
      </c>
      <c r="B40" s="823" t="s">
        <v>814</v>
      </c>
      <c r="C40" s="825">
        <v>0</v>
      </c>
      <c r="D40" s="825">
        <v>16766.189999999999</v>
      </c>
      <c r="E40" s="825">
        <v>0</v>
      </c>
      <c r="F40" s="825">
        <v>0</v>
      </c>
      <c r="G40" s="825">
        <v>0</v>
      </c>
      <c r="H40" s="825">
        <v>16766.189999999999</v>
      </c>
      <c r="I40" s="825">
        <v>0</v>
      </c>
      <c r="J40" s="825">
        <v>16766.189999999999</v>
      </c>
      <c r="K40" s="819">
        <f t="shared" si="0"/>
        <v>-16766.189999999999</v>
      </c>
      <c r="L40" s="821" t="s">
        <v>780</v>
      </c>
      <c r="M40" s="830">
        <f t="shared" si="5"/>
        <v>-16766.189999999999</v>
      </c>
    </row>
    <row r="41" spans="1:13" x14ac:dyDescent="0.25">
      <c r="A41" s="823" t="s">
        <v>815</v>
      </c>
      <c r="B41" s="823" t="s">
        <v>816</v>
      </c>
      <c r="C41" s="825">
        <v>366368.12</v>
      </c>
      <c r="D41" s="825">
        <v>2012300.35</v>
      </c>
      <c r="E41" s="825">
        <v>61318.9</v>
      </c>
      <c r="F41" s="825">
        <v>16431.29</v>
      </c>
      <c r="G41" s="825">
        <v>427687.02</v>
      </c>
      <c r="H41" s="825">
        <v>2028731.6400000001</v>
      </c>
      <c r="I41" s="825">
        <v>0</v>
      </c>
      <c r="J41" s="825">
        <v>1601044.62</v>
      </c>
      <c r="K41" s="819">
        <f t="shared" si="0"/>
        <v>-1601044.62</v>
      </c>
      <c r="L41" s="820" t="s">
        <v>791</v>
      </c>
      <c r="M41" s="830">
        <f t="shared" si="5"/>
        <v>-1601044.62</v>
      </c>
    </row>
    <row r="42" spans="1:13" x14ac:dyDescent="0.25">
      <c r="A42" s="823" t="s">
        <v>817</v>
      </c>
      <c r="B42" s="823" t="s">
        <v>818</v>
      </c>
      <c r="C42" s="825">
        <v>0</v>
      </c>
      <c r="D42" s="825">
        <v>4189.34</v>
      </c>
      <c r="E42" s="825">
        <v>0</v>
      </c>
      <c r="F42" s="825">
        <v>0</v>
      </c>
      <c r="G42" s="825">
        <v>0</v>
      </c>
      <c r="H42" s="825">
        <v>4189.34</v>
      </c>
      <c r="I42" s="825">
        <v>0</v>
      </c>
      <c r="J42" s="825">
        <v>4189.34</v>
      </c>
      <c r="K42" s="819">
        <f t="shared" si="0"/>
        <v>-4189.34</v>
      </c>
    </row>
    <row r="43" spans="1:13" x14ac:dyDescent="0.25">
      <c r="A43" s="823" t="s">
        <v>819</v>
      </c>
      <c r="B43" s="823" t="s">
        <v>820</v>
      </c>
      <c r="C43" s="825">
        <v>341799.54</v>
      </c>
      <c r="D43" s="825">
        <v>1820967.82</v>
      </c>
      <c r="E43" s="825">
        <v>53174.42</v>
      </c>
      <c r="F43" s="825">
        <v>15433.61</v>
      </c>
      <c r="G43" s="825">
        <v>394973.96</v>
      </c>
      <c r="H43" s="825">
        <v>1836401.43</v>
      </c>
      <c r="I43" s="825">
        <v>0</v>
      </c>
      <c r="J43" s="825">
        <v>1441427.47</v>
      </c>
      <c r="K43" s="819">
        <f t="shared" si="0"/>
        <v>-1441427.47</v>
      </c>
    </row>
    <row r="44" spans="1:13" x14ac:dyDescent="0.25">
      <c r="A44" s="823" t="s">
        <v>821</v>
      </c>
      <c r="B44" s="823" t="s">
        <v>822</v>
      </c>
      <c r="C44" s="825">
        <v>24568.58</v>
      </c>
      <c r="D44" s="825">
        <v>187143.19</v>
      </c>
      <c r="E44" s="825">
        <v>8144.4800000000005</v>
      </c>
      <c r="F44" s="825">
        <v>997.68000000000006</v>
      </c>
      <c r="G44" s="825">
        <v>32713.06</v>
      </c>
      <c r="H44" s="825">
        <v>188140.87</v>
      </c>
      <c r="I44" s="825">
        <v>0</v>
      </c>
      <c r="J44" s="825">
        <v>155427.81</v>
      </c>
      <c r="K44" s="819">
        <f t="shared" si="0"/>
        <v>-155427.81</v>
      </c>
    </row>
    <row r="45" spans="1:13" x14ac:dyDescent="0.25">
      <c r="A45" s="823" t="s">
        <v>823</v>
      </c>
      <c r="B45" s="823" t="s">
        <v>824</v>
      </c>
      <c r="C45" s="825">
        <v>21647164.280000001</v>
      </c>
      <c r="D45" s="825">
        <v>18586880.77</v>
      </c>
      <c r="E45" s="825">
        <v>1674547.59</v>
      </c>
      <c r="F45" s="825">
        <v>1250912.04</v>
      </c>
      <c r="G45" s="825">
        <v>23321711.870000001</v>
      </c>
      <c r="H45" s="825">
        <v>19837792.809999999</v>
      </c>
      <c r="I45" s="825">
        <v>3483919.06</v>
      </c>
      <c r="J45" s="825">
        <v>0</v>
      </c>
      <c r="K45" s="819">
        <f t="shared" si="0"/>
        <v>3483919.06</v>
      </c>
      <c r="L45" s="820" t="s">
        <v>825</v>
      </c>
      <c r="M45" s="830">
        <f>K45</f>
        <v>3483919.06</v>
      </c>
    </row>
    <row r="46" spans="1:13" x14ac:dyDescent="0.25">
      <c r="A46" s="823" t="s">
        <v>826</v>
      </c>
      <c r="B46" s="823" t="s">
        <v>827</v>
      </c>
      <c r="C46" s="825">
        <v>1203073.04</v>
      </c>
      <c r="D46" s="825">
        <v>925370.67</v>
      </c>
      <c r="E46" s="825">
        <v>28508.55</v>
      </c>
      <c r="F46" s="825">
        <v>10887.53</v>
      </c>
      <c r="G46" s="825">
        <v>1231581.5900000001</v>
      </c>
      <c r="H46" s="825">
        <v>936258.20000000007</v>
      </c>
      <c r="I46" s="825">
        <v>295323.39</v>
      </c>
      <c r="J46" s="825">
        <v>0</v>
      </c>
      <c r="K46" s="819">
        <f t="shared" si="0"/>
        <v>295323.39</v>
      </c>
      <c r="L46" s="820" t="s">
        <v>825</v>
      </c>
      <c r="M46" s="830">
        <f>K46</f>
        <v>295323.39</v>
      </c>
    </row>
    <row r="47" spans="1:13" x14ac:dyDescent="0.25">
      <c r="A47" s="823" t="s">
        <v>828</v>
      </c>
      <c r="B47" s="823" t="s">
        <v>829</v>
      </c>
      <c r="C47" s="825">
        <v>1202715.04</v>
      </c>
      <c r="D47" s="825">
        <v>925012.67</v>
      </c>
      <c r="E47" s="825">
        <v>28508.55</v>
      </c>
      <c r="F47" s="825">
        <v>10887.53</v>
      </c>
      <c r="G47" s="825">
        <v>1231223.5900000001</v>
      </c>
      <c r="H47" s="825">
        <v>935900.20000000007</v>
      </c>
      <c r="I47" s="825">
        <v>295323.39</v>
      </c>
      <c r="J47" s="825">
        <v>0</v>
      </c>
      <c r="K47" s="819">
        <f t="shared" si="0"/>
        <v>295323.39</v>
      </c>
    </row>
    <row r="48" spans="1:13" x14ac:dyDescent="0.25">
      <c r="A48" s="823" t="s">
        <v>830</v>
      </c>
      <c r="B48" s="823" t="s">
        <v>831</v>
      </c>
      <c r="C48" s="825">
        <v>358</v>
      </c>
      <c r="D48" s="825">
        <v>358</v>
      </c>
      <c r="E48" s="825">
        <v>0</v>
      </c>
      <c r="F48" s="825">
        <v>0</v>
      </c>
      <c r="G48" s="825">
        <v>358</v>
      </c>
      <c r="H48" s="825">
        <v>358</v>
      </c>
      <c r="I48" s="825">
        <v>0</v>
      </c>
      <c r="J48" s="825">
        <v>0</v>
      </c>
      <c r="K48" s="819">
        <f t="shared" si="0"/>
        <v>0</v>
      </c>
    </row>
    <row r="49" spans="1:13" x14ac:dyDescent="0.25">
      <c r="A49" s="823" t="s">
        <v>832</v>
      </c>
      <c r="B49" s="823" t="s">
        <v>833</v>
      </c>
      <c r="C49" s="825">
        <v>213760.96</v>
      </c>
      <c r="D49" s="825">
        <v>180889.85</v>
      </c>
      <c r="E49" s="825">
        <v>4204.47</v>
      </c>
      <c r="F49" s="825">
        <v>0</v>
      </c>
      <c r="G49" s="825">
        <v>217965.43</v>
      </c>
      <c r="H49" s="825">
        <v>180889.85</v>
      </c>
      <c r="I49" s="825">
        <v>37075.58</v>
      </c>
      <c r="J49" s="825">
        <v>0</v>
      </c>
      <c r="K49" s="819">
        <f t="shared" si="0"/>
        <v>37075.58</v>
      </c>
      <c r="L49" s="820" t="s">
        <v>825</v>
      </c>
      <c r="M49" s="830">
        <f t="shared" ref="M49:M51" si="6">K49</f>
        <v>37075.58</v>
      </c>
    </row>
    <row r="50" spans="1:13" x14ac:dyDescent="0.25">
      <c r="A50" s="823" t="s">
        <v>834</v>
      </c>
      <c r="B50" s="823" t="s">
        <v>835</v>
      </c>
      <c r="C50" s="825">
        <v>11303796.630000001</v>
      </c>
      <c r="D50" s="825">
        <v>7898521.7599999998</v>
      </c>
      <c r="E50" s="825">
        <v>583037.9</v>
      </c>
      <c r="F50" s="825">
        <v>303175.77</v>
      </c>
      <c r="G50" s="825">
        <v>11886834.529999999</v>
      </c>
      <c r="H50" s="825">
        <v>8201697.5300000003</v>
      </c>
      <c r="I50" s="825">
        <v>3685137</v>
      </c>
      <c r="J50" s="825">
        <v>0</v>
      </c>
      <c r="K50" s="819">
        <f t="shared" si="0"/>
        <v>3685137</v>
      </c>
      <c r="L50" s="821" t="s">
        <v>836</v>
      </c>
      <c r="M50" s="830">
        <f t="shared" si="6"/>
        <v>3685137</v>
      </c>
    </row>
    <row r="51" spans="1:13" x14ac:dyDescent="0.25">
      <c r="A51" s="823" t="s">
        <v>837</v>
      </c>
      <c r="B51" s="823" t="s">
        <v>838</v>
      </c>
      <c r="C51" s="825">
        <v>4641040.25</v>
      </c>
      <c r="D51" s="825">
        <v>3922245.5100000002</v>
      </c>
      <c r="E51" s="825">
        <v>270287.34000000003</v>
      </c>
      <c r="F51" s="825">
        <v>87314.55</v>
      </c>
      <c r="G51" s="825">
        <v>4911327.59</v>
      </c>
      <c r="H51" s="825">
        <v>4009560.06</v>
      </c>
      <c r="I51" s="825">
        <v>901767.53</v>
      </c>
      <c r="J51" s="825">
        <v>0</v>
      </c>
      <c r="K51" s="819">
        <f t="shared" si="0"/>
        <v>901767.53</v>
      </c>
      <c r="L51" s="821" t="s">
        <v>839</v>
      </c>
      <c r="M51" s="830">
        <f t="shared" si="6"/>
        <v>901767.53</v>
      </c>
    </row>
    <row r="52" spans="1:13" x14ac:dyDescent="0.25">
      <c r="A52" s="823" t="s">
        <v>1152</v>
      </c>
      <c r="B52" s="823" t="s">
        <v>838</v>
      </c>
      <c r="C52" s="825">
        <v>0</v>
      </c>
      <c r="D52" s="825">
        <v>0</v>
      </c>
      <c r="E52" s="825">
        <v>84.08</v>
      </c>
      <c r="F52" s="825">
        <v>84.08</v>
      </c>
      <c r="G52" s="825">
        <v>84.08</v>
      </c>
      <c r="H52" s="825">
        <v>84.08</v>
      </c>
      <c r="I52" s="825">
        <v>0</v>
      </c>
      <c r="J52" s="825">
        <v>0</v>
      </c>
      <c r="K52" s="819">
        <f t="shared" si="0"/>
        <v>0</v>
      </c>
    </row>
    <row r="53" spans="1:13" x14ac:dyDescent="0.25">
      <c r="A53" s="823" t="s">
        <v>840</v>
      </c>
      <c r="B53" s="823" t="s">
        <v>838</v>
      </c>
      <c r="C53" s="825">
        <v>4641040.25</v>
      </c>
      <c r="D53" s="825">
        <v>3922245.5100000002</v>
      </c>
      <c r="E53" s="825">
        <v>270203.26</v>
      </c>
      <c r="F53" s="825">
        <v>87230.47</v>
      </c>
      <c r="G53" s="825">
        <v>4911243.51</v>
      </c>
      <c r="H53" s="825">
        <v>4009475.98</v>
      </c>
      <c r="I53" s="825">
        <v>901767.53</v>
      </c>
      <c r="J53" s="825">
        <v>0</v>
      </c>
      <c r="K53" s="819">
        <f t="shared" si="0"/>
        <v>901767.53</v>
      </c>
    </row>
    <row r="54" spans="1:13" x14ac:dyDescent="0.25">
      <c r="A54" s="823" t="s">
        <v>841</v>
      </c>
      <c r="B54" s="823" t="s">
        <v>842</v>
      </c>
      <c r="C54" s="825">
        <v>34497764.609999999</v>
      </c>
      <c r="D54" s="825">
        <v>39765276.630000003</v>
      </c>
      <c r="E54" s="825">
        <v>3356132.36</v>
      </c>
      <c r="F54" s="825">
        <v>3229704.73</v>
      </c>
      <c r="G54" s="825">
        <v>37853896.969999999</v>
      </c>
      <c r="H54" s="825">
        <v>42994981.359999999</v>
      </c>
      <c r="I54" s="825">
        <v>0</v>
      </c>
      <c r="J54" s="825">
        <v>5141084.3899999997</v>
      </c>
      <c r="K54" s="819">
        <f t="shared" si="0"/>
        <v>-5141084.3899999997</v>
      </c>
      <c r="L54" s="820" t="s">
        <v>843</v>
      </c>
      <c r="M54" s="830">
        <f t="shared" ref="M54:M56" si="7">K54</f>
        <v>-5141084.3899999997</v>
      </c>
    </row>
    <row r="55" spans="1:13" x14ac:dyDescent="0.25">
      <c r="A55" s="823" t="s">
        <v>844</v>
      </c>
      <c r="B55" s="823" t="s">
        <v>845</v>
      </c>
      <c r="C55" s="825">
        <v>215547.98</v>
      </c>
      <c r="D55" s="825">
        <v>215547.98</v>
      </c>
      <c r="E55" s="825">
        <v>9326.82</v>
      </c>
      <c r="F55" s="825">
        <v>9326.82</v>
      </c>
      <c r="G55" s="825">
        <v>224874.80000000002</v>
      </c>
      <c r="H55" s="825">
        <v>224874.80000000002</v>
      </c>
      <c r="I55" s="825">
        <v>0</v>
      </c>
      <c r="J55" s="825">
        <v>0</v>
      </c>
      <c r="K55" s="819">
        <f t="shared" si="0"/>
        <v>0</v>
      </c>
      <c r="L55" s="820" t="s">
        <v>843</v>
      </c>
      <c r="M55" s="830">
        <f t="shared" si="7"/>
        <v>0</v>
      </c>
    </row>
    <row r="56" spans="1:13" x14ac:dyDescent="0.25">
      <c r="A56" s="823" t="s">
        <v>846</v>
      </c>
      <c r="B56" s="823" t="s">
        <v>847</v>
      </c>
      <c r="C56" s="825">
        <v>1794925.8</v>
      </c>
      <c r="D56" s="825">
        <v>0</v>
      </c>
      <c r="E56" s="825">
        <v>7632.2</v>
      </c>
      <c r="F56" s="825">
        <v>0</v>
      </c>
      <c r="G56" s="825">
        <v>1802558</v>
      </c>
      <c r="H56" s="825">
        <v>0</v>
      </c>
      <c r="I56" s="825">
        <v>1802558</v>
      </c>
      <c r="J56" s="825">
        <v>0</v>
      </c>
      <c r="K56" s="819">
        <f t="shared" si="0"/>
        <v>1802558</v>
      </c>
      <c r="L56" s="820" t="s">
        <v>848</v>
      </c>
      <c r="M56" s="830">
        <f t="shared" si="7"/>
        <v>1802558</v>
      </c>
    </row>
    <row r="57" spans="1:13" x14ac:dyDescent="0.25">
      <c r="A57" s="823" t="s">
        <v>849</v>
      </c>
      <c r="B57" s="823" t="s">
        <v>850</v>
      </c>
      <c r="C57" s="825">
        <v>1794925.8</v>
      </c>
      <c r="D57" s="825">
        <v>0</v>
      </c>
      <c r="E57" s="825">
        <v>7632.2</v>
      </c>
      <c r="F57" s="825">
        <v>0</v>
      </c>
      <c r="G57" s="825">
        <v>1802558</v>
      </c>
      <c r="H57" s="825">
        <v>0</v>
      </c>
      <c r="I57" s="825">
        <v>1802558</v>
      </c>
      <c r="J57" s="825">
        <v>0</v>
      </c>
      <c r="K57" s="819">
        <f t="shared" si="0"/>
        <v>1802558</v>
      </c>
    </row>
    <row r="58" spans="1:13" x14ac:dyDescent="0.25">
      <c r="A58" s="823" t="s">
        <v>851</v>
      </c>
      <c r="B58" s="823" t="s">
        <v>852</v>
      </c>
      <c r="C58" s="825">
        <v>43407022.719999999</v>
      </c>
      <c r="D58" s="825">
        <v>37520881.840000004</v>
      </c>
      <c r="E58" s="825">
        <v>8183507.4300000006</v>
      </c>
      <c r="F58" s="825">
        <v>8502316.9000000004</v>
      </c>
      <c r="G58" s="825">
        <v>51590530.149999999</v>
      </c>
      <c r="H58" s="825">
        <v>46023198.740000002</v>
      </c>
      <c r="I58" s="825">
        <v>5567331.4100000001</v>
      </c>
      <c r="J58" s="825">
        <v>0</v>
      </c>
      <c r="K58" s="819">
        <f t="shared" si="0"/>
        <v>5567331.4100000001</v>
      </c>
      <c r="L58" s="820" t="s">
        <v>853</v>
      </c>
      <c r="M58" s="830">
        <f>K58</f>
        <v>5567331.4100000001</v>
      </c>
    </row>
    <row r="59" spans="1:13" x14ac:dyDescent="0.25">
      <c r="A59" s="823" t="s">
        <v>854</v>
      </c>
      <c r="B59" s="823" t="s">
        <v>855</v>
      </c>
      <c r="C59" s="825">
        <v>43349028.240000002</v>
      </c>
      <c r="D59" s="825">
        <v>37520881.840000004</v>
      </c>
      <c r="E59" s="825">
        <v>8183507.4300000006</v>
      </c>
      <c r="F59" s="825">
        <v>8502316.9000000004</v>
      </c>
      <c r="G59" s="825">
        <v>51532535.670000002</v>
      </c>
      <c r="H59" s="825">
        <v>46023198.740000002</v>
      </c>
      <c r="I59" s="825">
        <v>5509336.9299999997</v>
      </c>
      <c r="J59" s="825">
        <v>0</v>
      </c>
      <c r="K59" s="819">
        <f t="shared" si="0"/>
        <v>5509336.9299999997</v>
      </c>
    </row>
    <row r="60" spans="1:13" x14ac:dyDescent="0.25">
      <c r="A60" s="823" t="s">
        <v>856</v>
      </c>
      <c r="B60" s="823" t="s">
        <v>857</v>
      </c>
      <c r="C60" s="825">
        <v>57994.48</v>
      </c>
      <c r="D60" s="825">
        <v>0</v>
      </c>
      <c r="E60" s="825">
        <v>0</v>
      </c>
      <c r="F60" s="825">
        <v>0</v>
      </c>
      <c r="G60" s="825">
        <v>57994.48</v>
      </c>
      <c r="H60" s="825">
        <v>0</v>
      </c>
      <c r="I60" s="825">
        <v>57994.48</v>
      </c>
      <c r="J60" s="825">
        <v>0</v>
      </c>
      <c r="K60" s="819">
        <f t="shared" si="0"/>
        <v>57994.48</v>
      </c>
    </row>
    <row r="61" spans="1:13" x14ac:dyDescent="0.25">
      <c r="A61" s="823" t="s">
        <v>858</v>
      </c>
      <c r="B61" s="823" t="s">
        <v>859</v>
      </c>
      <c r="C61" s="825">
        <v>0</v>
      </c>
      <c r="D61" s="825">
        <v>5210507.63</v>
      </c>
      <c r="E61" s="825">
        <v>0</v>
      </c>
      <c r="F61" s="825">
        <v>3821293.92</v>
      </c>
      <c r="G61" s="825">
        <v>0</v>
      </c>
      <c r="H61" s="825">
        <v>9031801.5500000007</v>
      </c>
      <c r="I61" s="825">
        <v>0</v>
      </c>
      <c r="J61" s="825">
        <v>9031801.5500000007</v>
      </c>
      <c r="K61" s="819">
        <f t="shared" si="0"/>
        <v>-9031801.5500000007</v>
      </c>
      <c r="L61" s="820" t="s">
        <v>860</v>
      </c>
      <c r="M61" s="830">
        <f t="shared" ref="M61:M65" si="8">K61</f>
        <v>-9031801.5500000007</v>
      </c>
    </row>
    <row r="62" spans="1:13" x14ac:dyDescent="0.25">
      <c r="A62" s="823" t="s">
        <v>861</v>
      </c>
      <c r="B62" s="823" t="s">
        <v>862</v>
      </c>
      <c r="C62" s="825">
        <v>875609.70000000007</v>
      </c>
      <c r="D62" s="825">
        <v>917676</v>
      </c>
      <c r="E62" s="825">
        <v>133583</v>
      </c>
      <c r="F62" s="825">
        <v>98787</v>
      </c>
      <c r="G62" s="825">
        <v>1009192.7000000001</v>
      </c>
      <c r="H62" s="825">
        <v>1016463</v>
      </c>
      <c r="I62" s="825">
        <v>0</v>
      </c>
      <c r="J62" s="825">
        <v>7270.3</v>
      </c>
      <c r="K62" s="819">
        <f t="shared" si="0"/>
        <v>-7270.3</v>
      </c>
      <c r="L62" s="820" t="s">
        <v>863</v>
      </c>
      <c r="M62" s="830">
        <f t="shared" si="8"/>
        <v>-7270.3</v>
      </c>
    </row>
    <row r="63" spans="1:13" x14ac:dyDescent="0.25">
      <c r="A63" s="823" t="s">
        <v>864</v>
      </c>
      <c r="B63" s="823" t="s">
        <v>865</v>
      </c>
      <c r="C63" s="825">
        <v>2444</v>
      </c>
      <c r="D63" s="825">
        <v>2444</v>
      </c>
      <c r="E63" s="825">
        <v>0</v>
      </c>
      <c r="F63" s="825">
        <v>0</v>
      </c>
      <c r="G63" s="825">
        <v>2444</v>
      </c>
      <c r="H63" s="825">
        <v>2444</v>
      </c>
      <c r="I63" s="825">
        <v>0</v>
      </c>
      <c r="J63" s="825">
        <v>0</v>
      </c>
      <c r="K63" s="819">
        <f t="shared" si="0"/>
        <v>0</v>
      </c>
      <c r="L63" s="820" t="s">
        <v>863</v>
      </c>
      <c r="M63" s="830">
        <f t="shared" si="8"/>
        <v>0</v>
      </c>
    </row>
    <row r="64" spans="1:13" x14ac:dyDescent="0.25">
      <c r="A64" s="823" t="s">
        <v>869</v>
      </c>
      <c r="B64" s="823" t="s">
        <v>870</v>
      </c>
      <c r="C64" s="825">
        <v>1259.7</v>
      </c>
      <c r="D64" s="825">
        <v>1259.7</v>
      </c>
      <c r="E64" s="825">
        <v>0</v>
      </c>
      <c r="F64" s="825">
        <v>0</v>
      </c>
      <c r="G64" s="825">
        <v>1259.7</v>
      </c>
      <c r="H64" s="825">
        <v>1259.7</v>
      </c>
      <c r="I64" s="825">
        <v>0</v>
      </c>
      <c r="J64" s="825">
        <v>0</v>
      </c>
      <c r="K64" s="819">
        <f t="shared" si="0"/>
        <v>0</v>
      </c>
      <c r="L64" s="820" t="s">
        <v>863</v>
      </c>
      <c r="M64" s="830">
        <f t="shared" si="8"/>
        <v>0</v>
      </c>
    </row>
    <row r="65" spans="1:13" x14ac:dyDescent="0.25">
      <c r="A65" s="823" t="s">
        <v>871</v>
      </c>
      <c r="B65" s="823" t="s">
        <v>872</v>
      </c>
      <c r="C65" s="825">
        <v>311293</v>
      </c>
      <c r="D65" s="825">
        <v>345314</v>
      </c>
      <c r="E65" s="825">
        <v>34021</v>
      </c>
      <c r="F65" s="825">
        <v>34579</v>
      </c>
      <c r="G65" s="825">
        <v>345314</v>
      </c>
      <c r="H65" s="825">
        <v>379893</v>
      </c>
      <c r="I65" s="825">
        <v>0</v>
      </c>
      <c r="J65" s="825">
        <v>34579</v>
      </c>
      <c r="K65" s="819">
        <f t="shared" si="0"/>
        <v>-34579</v>
      </c>
      <c r="L65" s="820" t="s">
        <v>863</v>
      </c>
      <c r="M65" s="830">
        <f t="shared" si="8"/>
        <v>-34579</v>
      </c>
    </row>
    <row r="66" spans="1:13" x14ac:dyDescent="0.25">
      <c r="A66" s="823" t="s">
        <v>873</v>
      </c>
      <c r="B66" s="823" t="s">
        <v>874</v>
      </c>
      <c r="C66" s="825">
        <v>9958</v>
      </c>
      <c r="D66" s="825">
        <v>9958</v>
      </c>
      <c r="E66" s="825">
        <v>0</v>
      </c>
      <c r="F66" s="825">
        <v>0</v>
      </c>
      <c r="G66" s="825">
        <v>9958</v>
      </c>
      <c r="H66" s="825">
        <v>9958</v>
      </c>
      <c r="I66" s="825">
        <v>0</v>
      </c>
      <c r="J66" s="825">
        <v>0</v>
      </c>
      <c r="K66" s="819">
        <f t="shared" si="0"/>
        <v>0</v>
      </c>
    </row>
    <row r="67" spans="1:13" x14ac:dyDescent="0.25">
      <c r="A67" s="823" t="s">
        <v>875</v>
      </c>
      <c r="B67" s="823" t="s">
        <v>876</v>
      </c>
      <c r="C67" s="825">
        <v>210296</v>
      </c>
      <c r="D67" s="825">
        <v>234597</v>
      </c>
      <c r="E67" s="825">
        <v>24301</v>
      </c>
      <c r="F67" s="825">
        <v>24700</v>
      </c>
      <c r="G67" s="825">
        <v>234597</v>
      </c>
      <c r="H67" s="825">
        <v>259297</v>
      </c>
      <c r="I67" s="825">
        <v>0</v>
      </c>
      <c r="J67" s="825">
        <v>24700</v>
      </c>
      <c r="K67" s="819">
        <f t="shared" si="0"/>
        <v>-24700</v>
      </c>
    </row>
    <row r="68" spans="1:13" x14ac:dyDescent="0.25">
      <c r="A68" s="823" t="s">
        <v>877</v>
      </c>
      <c r="B68" s="823" t="s">
        <v>878</v>
      </c>
      <c r="C68" s="825">
        <v>3267</v>
      </c>
      <c r="D68" s="825">
        <v>3267</v>
      </c>
      <c r="E68" s="825">
        <v>0</v>
      </c>
      <c r="F68" s="825">
        <v>0</v>
      </c>
      <c r="G68" s="825">
        <v>3267</v>
      </c>
      <c r="H68" s="825">
        <v>3267</v>
      </c>
      <c r="I68" s="825">
        <v>0</v>
      </c>
      <c r="J68" s="825">
        <v>0</v>
      </c>
      <c r="K68" s="819">
        <f t="shared" si="0"/>
        <v>0</v>
      </c>
    </row>
    <row r="69" spans="1:13" x14ac:dyDescent="0.25">
      <c r="A69" s="823" t="s">
        <v>879</v>
      </c>
      <c r="B69" s="823" t="s">
        <v>880</v>
      </c>
      <c r="C69" s="825">
        <v>84622</v>
      </c>
      <c r="D69" s="825">
        <v>94342</v>
      </c>
      <c r="E69" s="825">
        <v>9720</v>
      </c>
      <c r="F69" s="825">
        <v>9879</v>
      </c>
      <c r="G69" s="825">
        <v>94342</v>
      </c>
      <c r="H69" s="825">
        <v>104221</v>
      </c>
      <c r="I69" s="825">
        <v>0</v>
      </c>
      <c r="J69" s="825">
        <v>9879</v>
      </c>
      <c r="K69" s="819">
        <f t="shared" si="0"/>
        <v>-9879</v>
      </c>
    </row>
    <row r="70" spans="1:13" x14ac:dyDescent="0.25">
      <c r="A70" s="823" t="s">
        <v>881</v>
      </c>
      <c r="B70" s="823" t="s">
        <v>882</v>
      </c>
      <c r="C70" s="825">
        <v>112</v>
      </c>
      <c r="D70" s="825">
        <v>112</v>
      </c>
      <c r="E70" s="825">
        <v>0</v>
      </c>
      <c r="F70" s="825">
        <v>0</v>
      </c>
      <c r="G70" s="825">
        <v>112</v>
      </c>
      <c r="H70" s="825">
        <v>112</v>
      </c>
      <c r="I70" s="825">
        <v>0</v>
      </c>
      <c r="J70" s="825">
        <v>0</v>
      </c>
      <c r="K70" s="819">
        <f t="shared" si="0"/>
        <v>0</v>
      </c>
    </row>
    <row r="71" spans="1:13" x14ac:dyDescent="0.25">
      <c r="A71" s="823" t="s">
        <v>883</v>
      </c>
      <c r="B71" s="823" t="s">
        <v>884</v>
      </c>
      <c r="C71" s="825">
        <v>2530</v>
      </c>
      <c r="D71" s="825">
        <v>2530</v>
      </c>
      <c r="E71" s="825">
        <v>0</v>
      </c>
      <c r="F71" s="825">
        <v>0</v>
      </c>
      <c r="G71" s="825">
        <v>2530</v>
      </c>
      <c r="H71" s="825">
        <v>2530</v>
      </c>
      <c r="I71" s="825">
        <v>0</v>
      </c>
      <c r="J71" s="825">
        <v>0</v>
      </c>
      <c r="K71" s="819">
        <f t="shared" si="0"/>
        <v>0</v>
      </c>
    </row>
    <row r="72" spans="1:13" x14ac:dyDescent="0.25">
      <c r="A72" s="823" t="s">
        <v>885</v>
      </c>
      <c r="B72" s="823" t="s">
        <v>886</v>
      </c>
      <c r="C72" s="825">
        <v>508</v>
      </c>
      <c r="D72" s="825">
        <v>508</v>
      </c>
      <c r="E72" s="825">
        <v>0</v>
      </c>
      <c r="F72" s="825">
        <v>0</v>
      </c>
      <c r="G72" s="825">
        <v>508</v>
      </c>
      <c r="H72" s="825">
        <v>508</v>
      </c>
      <c r="I72" s="825">
        <v>0</v>
      </c>
      <c r="J72" s="825">
        <v>0</v>
      </c>
      <c r="K72" s="819">
        <f t="shared" si="0"/>
        <v>0</v>
      </c>
    </row>
    <row r="73" spans="1:13" x14ac:dyDescent="0.25">
      <c r="A73" s="823" t="s">
        <v>887</v>
      </c>
      <c r="B73" s="823" t="s">
        <v>888</v>
      </c>
      <c r="C73" s="825">
        <v>19079</v>
      </c>
      <c r="D73" s="825">
        <v>21266</v>
      </c>
      <c r="E73" s="825">
        <v>2187</v>
      </c>
      <c r="F73" s="825">
        <v>2223</v>
      </c>
      <c r="G73" s="825">
        <v>21266</v>
      </c>
      <c r="H73" s="825">
        <v>23489</v>
      </c>
      <c r="I73" s="825">
        <v>0</v>
      </c>
      <c r="J73" s="825">
        <v>2223</v>
      </c>
      <c r="K73" s="819">
        <f t="shared" si="0"/>
        <v>-2223</v>
      </c>
      <c r="L73" s="820" t="s">
        <v>863</v>
      </c>
      <c r="M73" s="830">
        <f>K73</f>
        <v>-2223</v>
      </c>
    </row>
    <row r="74" spans="1:13" x14ac:dyDescent="0.25">
      <c r="A74" s="823" t="s">
        <v>889</v>
      </c>
      <c r="B74" s="823" t="s">
        <v>890</v>
      </c>
      <c r="C74" s="825">
        <v>314</v>
      </c>
      <c r="D74" s="825">
        <v>314</v>
      </c>
      <c r="E74" s="825">
        <v>0</v>
      </c>
      <c r="F74" s="825">
        <v>0</v>
      </c>
      <c r="G74" s="825">
        <v>314</v>
      </c>
      <c r="H74" s="825">
        <v>314</v>
      </c>
      <c r="I74" s="825">
        <v>0</v>
      </c>
      <c r="J74" s="825">
        <v>0</v>
      </c>
      <c r="K74" s="819">
        <f t="shared" ref="K74:K123" si="9">I74-J74</f>
        <v>0</v>
      </c>
    </row>
    <row r="75" spans="1:13" x14ac:dyDescent="0.25">
      <c r="A75" s="823" t="s">
        <v>891</v>
      </c>
      <c r="B75" s="823" t="s">
        <v>892</v>
      </c>
      <c r="C75" s="825">
        <v>315</v>
      </c>
      <c r="D75" s="825">
        <v>315</v>
      </c>
      <c r="E75" s="825">
        <v>0</v>
      </c>
      <c r="F75" s="825">
        <v>0</v>
      </c>
      <c r="G75" s="825">
        <v>315</v>
      </c>
      <c r="H75" s="825">
        <v>315</v>
      </c>
      <c r="I75" s="825">
        <v>0</v>
      </c>
      <c r="J75" s="825">
        <v>0</v>
      </c>
      <c r="K75" s="819">
        <f t="shared" si="9"/>
        <v>0</v>
      </c>
    </row>
    <row r="76" spans="1:13" x14ac:dyDescent="0.25">
      <c r="A76" s="823" t="s">
        <v>893</v>
      </c>
      <c r="B76" s="823" t="s">
        <v>894</v>
      </c>
      <c r="C76" s="825">
        <v>18450</v>
      </c>
      <c r="D76" s="825">
        <v>20637</v>
      </c>
      <c r="E76" s="825">
        <v>2187</v>
      </c>
      <c r="F76" s="825">
        <v>2223</v>
      </c>
      <c r="G76" s="825">
        <v>20637</v>
      </c>
      <c r="H76" s="825">
        <v>22860</v>
      </c>
      <c r="I76" s="825">
        <v>0</v>
      </c>
      <c r="J76" s="825">
        <v>2223</v>
      </c>
      <c r="K76" s="819">
        <f t="shared" si="9"/>
        <v>-2223</v>
      </c>
    </row>
    <row r="77" spans="1:13" x14ac:dyDescent="0.25">
      <c r="A77" s="823" t="s">
        <v>895</v>
      </c>
      <c r="B77" s="823" t="s">
        <v>896</v>
      </c>
      <c r="C77" s="825">
        <v>425855</v>
      </c>
      <c r="D77" s="825">
        <v>409099</v>
      </c>
      <c r="E77" s="825">
        <v>0</v>
      </c>
      <c r="F77" s="825">
        <v>111265</v>
      </c>
      <c r="G77" s="825">
        <v>425855</v>
      </c>
      <c r="H77" s="825">
        <v>520364</v>
      </c>
      <c r="I77" s="825">
        <v>0</v>
      </c>
      <c r="J77" s="825">
        <v>94509</v>
      </c>
      <c r="K77" s="819">
        <f t="shared" si="9"/>
        <v>-94509</v>
      </c>
      <c r="L77" s="820" t="s">
        <v>863</v>
      </c>
      <c r="M77" s="830">
        <f t="shared" ref="M77:M78" si="10">K77</f>
        <v>-94509</v>
      </c>
    </row>
    <row r="78" spans="1:13" x14ac:dyDescent="0.25">
      <c r="A78" s="823" t="s">
        <v>897</v>
      </c>
      <c r="B78" s="823" t="s">
        <v>898</v>
      </c>
      <c r="C78" s="825">
        <v>19833052.460000001</v>
      </c>
      <c r="D78" s="825">
        <v>19421370.600000001</v>
      </c>
      <c r="E78" s="825">
        <v>3952903.25</v>
      </c>
      <c r="F78" s="825">
        <v>4963202.97</v>
      </c>
      <c r="G78" s="825">
        <v>23785955.710000001</v>
      </c>
      <c r="H78" s="825">
        <v>24384573.57</v>
      </c>
      <c r="I78" s="825">
        <v>0</v>
      </c>
      <c r="J78" s="825">
        <v>598617.86</v>
      </c>
      <c r="K78" s="819">
        <f t="shared" si="9"/>
        <v>-598617.86</v>
      </c>
      <c r="L78" s="820" t="s">
        <v>868</v>
      </c>
      <c r="M78" s="830">
        <f t="shared" si="10"/>
        <v>-598617.86</v>
      </c>
    </row>
    <row r="79" spans="1:13" x14ac:dyDescent="0.25">
      <c r="A79" s="823" t="s">
        <v>899</v>
      </c>
      <c r="B79" s="823" t="s">
        <v>900</v>
      </c>
      <c r="C79" s="825">
        <v>1347091.19</v>
      </c>
      <c r="D79" s="825">
        <v>1347091.19</v>
      </c>
      <c r="E79" s="825">
        <v>315102</v>
      </c>
      <c r="F79" s="825">
        <v>981066.25</v>
      </c>
      <c r="G79" s="825">
        <v>1662193.19</v>
      </c>
      <c r="H79" s="825">
        <v>2328157.44</v>
      </c>
      <c r="I79" s="825">
        <v>0</v>
      </c>
      <c r="J79" s="825">
        <v>665964.25</v>
      </c>
      <c r="K79" s="819">
        <f t="shared" si="9"/>
        <v>-665964.25</v>
      </c>
    </row>
    <row r="80" spans="1:13" x14ac:dyDescent="0.25">
      <c r="A80" s="823" t="s">
        <v>901</v>
      </c>
      <c r="B80" s="823" t="s">
        <v>902</v>
      </c>
      <c r="C80" s="825">
        <v>1662193.19</v>
      </c>
      <c r="D80" s="825">
        <v>1347091.19</v>
      </c>
      <c r="E80" s="825">
        <v>0</v>
      </c>
      <c r="F80" s="825">
        <v>315102</v>
      </c>
      <c r="G80" s="825">
        <v>1662193.19</v>
      </c>
      <c r="H80" s="825">
        <v>1662193.19</v>
      </c>
      <c r="I80" s="825">
        <v>0</v>
      </c>
      <c r="J80" s="825">
        <v>0</v>
      </c>
      <c r="K80" s="819">
        <f t="shared" si="9"/>
        <v>0</v>
      </c>
    </row>
    <row r="81" spans="1:13" x14ac:dyDescent="0.25">
      <c r="A81" s="823" t="s">
        <v>903</v>
      </c>
      <c r="B81" s="823" t="s">
        <v>904</v>
      </c>
      <c r="C81" s="825">
        <v>4792749.95</v>
      </c>
      <c r="D81" s="825">
        <v>4792749.95</v>
      </c>
      <c r="E81" s="825">
        <v>526906.91</v>
      </c>
      <c r="F81" s="825">
        <v>526906.91</v>
      </c>
      <c r="G81" s="825">
        <v>5319656.8600000003</v>
      </c>
      <c r="H81" s="825">
        <v>5319656.8600000003</v>
      </c>
      <c r="I81" s="825">
        <v>0</v>
      </c>
      <c r="J81" s="825">
        <v>0</v>
      </c>
      <c r="K81" s="819">
        <f t="shared" si="9"/>
        <v>0</v>
      </c>
    </row>
    <row r="82" spans="1:13" x14ac:dyDescent="0.25">
      <c r="A82" s="823" t="s">
        <v>905</v>
      </c>
      <c r="B82" s="823" t="s">
        <v>906</v>
      </c>
      <c r="C82" s="825">
        <v>5594995.0600000005</v>
      </c>
      <c r="D82" s="825">
        <v>5594995.0600000005</v>
      </c>
      <c r="E82" s="825">
        <v>1507973.16</v>
      </c>
      <c r="F82" s="825">
        <v>1507973.16</v>
      </c>
      <c r="G82" s="825">
        <v>7102968.2199999997</v>
      </c>
      <c r="H82" s="825">
        <v>7102968.2199999997</v>
      </c>
      <c r="I82" s="825">
        <v>0</v>
      </c>
      <c r="J82" s="825">
        <v>0</v>
      </c>
      <c r="K82" s="819">
        <f t="shared" si="9"/>
        <v>0</v>
      </c>
    </row>
    <row r="83" spans="1:13" x14ac:dyDescent="0.25">
      <c r="A83" s="823" t="s">
        <v>907</v>
      </c>
      <c r="B83" s="823" t="s">
        <v>908</v>
      </c>
      <c r="C83" s="825">
        <v>2865178.91</v>
      </c>
      <c r="D83" s="825">
        <v>2768599.0500000003</v>
      </c>
      <c r="E83" s="825">
        <v>296310.73</v>
      </c>
      <c r="F83" s="825">
        <v>325544.2</v>
      </c>
      <c r="G83" s="825">
        <v>3161489.64</v>
      </c>
      <c r="H83" s="825">
        <v>3094143.25</v>
      </c>
      <c r="I83" s="825">
        <v>67346.39</v>
      </c>
      <c r="J83" s="825">
        <v>0</v>
      </c>
      <c r="K83" s="819">
        <f t="shared" si="9"/>
        <v>67346.39</v>
      </c>
    </row>
    <row r="84" spans="1:13" x14ac:dyDescent="0.25">
      <c r="A84" s="823" t="s">
        <v>909</v>
      </c>
      <c r="B84" s="823" t="s">
        <v>910</v>
      </c>
      <c r="C84" s="825">
        <v>3570844.16</v>
      </c>
      <c r="D84" s="825">
        <v>3570844.16</v>
      </c>
      <c r="E84" s="825">
        <v>1306610.45</v>
      </c>
      <c r="F84" s="825">
        <v>1306610.45</v>
      </c>
      <c r="G84" s="825">
        <v>4877454.6100000003</v>
      </c>
      <c r="H84" s="825">
        <v>4877454.6100000003</v>
      </c>
      <c r="I84" s="825">
        <v>0</v>
      </c>
      <c r="J84" s="825">
        <v>0</v>
      </c>
      <c r="K84" s="819">
        <f t="shared" si="9"/>
        <v>0</v>
      </c>
    </row>
    <row r="85" spans="1:13" x14ac:dyDescent="0.25">
      <c r="A85" s="823" t="s">
        <v>911</v>
      </c>
      <c r="B85" s="823" t="s">
        <v>912</v>
      </c>
      <c r="C85" s="825">
        <v>58929</v>
      </c>
      <c r="D85" s="825">
        <v>65102</v>
      </c>
      <c r="E85" s="825">
        <v>10887.82</v>
      </c>
      <c r="F85" s="825">
        <v>6213</v>
      </c>
      <c r="G85" s="825">
        <v>69816.820000000007</v>
      </c>
      <c r="H85" s="825">
        <v>71315</v>
      </c>
      <c r="I85" s="825">
        <v>0</v>
      </c>
      <c r="J85" s="825">
        <v>1498.18</v>
      </c>
      <c r="K85" s="819">
        <f t="shared" si="9"/>
        <v>-1498.18</v>
      </c>
      <c r="L85" s="820" t="s">
        <v>863</v>
      </c>
      <c r="M85" s="830">
        <f t="shared" ref="M85:M86" si="11">K85</f>
        <v>-1498.18</v>
      </c>
    </row>
    <row r="86" spans="1:13" x14ac:dyDescent="0.25">
      <c r="A86" s="823" t="s">
        <v>913</v>
      </c>
      <c r="B86" s="823" t="s">
        <v>914</v>
      </c>
      <c r="C86" s="825">
        <v>215247.2</v>
      </c>
      <c r="D86" s="825">
        <v>195116.94</v>
      </c>
      <c r="E86" s="825">
        <v>23</v>
      </c>
      <c r="F86" s="825">
        <v>27540</v>
      </c>
      <c r="G86" s="825">
        <v>215270.2</v>
      </c>
      <c r="H86" s="825">
        <v>222656.94</v>
      </c>
      <c r="I86" s="825">
        <v>0</v>
      </c>
      <c r="J86" s="825">
        <v>7386.74</v>
      </c>
      <c r="K86" s="819">
        <f t="shared" si="9"/>
        <v>-7386.74</v>
      </c>
      <c r="L86" s="820" t="s">
        <v>863</v>
      </c>
      <c r="M86" s="830">
        <f t="shared" si="11"/>
        <v>-7386.74</v>
      </c>
    </row>
    <row r="87" spans="1:13" x14ac:dyDescent="0.25">
      <c r="A87" s="823" t="s">
        <v>915</v>
      </c>
      <c r="B87" s="823" t="s">
        <v>916</v>
      </c>
      <c r="C87" s="825">
        <v>48617</v>
      </c>
      <c r="D87" s="825">
        <v>48617</v>
      </c>
      <c r="E87" s="825">
        <v>0</v>
      </c>
      <c r="F87" s="825">
        <v>27540</v>
      </c>
      <c r="G87" s="825">
        <v>48617</v>
      </c>
      <c r="H87" s="825">
        <v>76157</v>
      </c>
      <c r="I87" s="825">
        <v>0</v>
      </c>
      <c r="J87" s="825">
        <v>27540</v>
      </c>
      <c r="K87" s="819">
        <f t="shared" si="9"/>
        <v>-27540</v>
      </c>
    </row>
    <row r="88" spans="1:13" x14ac:dyDescent="0.25">
      <c r="A88" s="823" t="s">
        <v>917</v>
      </c>
      <c r="B88" s="823" t="s">
        <v>918</v>
      </c>
      <c r="C88" s="825">
        <v>6149.2</v>
      </c>
      <c r="D88" s="825">
        <v>6149.2</v>
      </c>
      <c r="E88" s="825">
        <v>0</v>
      </c>
      <c r="F88" s="825">
        <v>0</v>
      </c>
      <c r="G88" s="825">
        <v>6149.2</v>
      </c>
      <c r="H88" s="825">
        <v>6149.2</v>
      </c>
      <c r="I88" s="825">
        <v>0</v>
      </c>
      <c r="J88" s="825">
        <v>0</v>
      </c>
      <c r="K88" s="819">
        <f t="shared" si="9"/>
        <v>0</v>
      </c>
    </row>
    <row r="89" spans="1:13" x14ac:dyDescent="0.25">
      <c r="A89" s="823" t="s">
        <v>1169</v>
      </c>
      <c r="B89" s="823" t="s">
        <v>1170</v>
      </c>
      <c r="C89" s="825">
        <v>160481</v>
      </c>
      <c r="D89" s="825">
        <v>140350.74</v>
      </c>
      <c r="E89" s="825">
        <v>23</v>
      </c>
      <c r="F89" s="825">
        <v>0</v>
      </c>
      <c r="G89" s="825">
        <v>160504</v>
      </c>
      <c r="H89" s="825">
        <v>140350.74</v>
      </c>
      <c r="I89" s="825">
        <v>0</v>
      </c>
      <c r="J89" s="825">
        <v>-20153.260000000002</v>
      </c>
      <c r="K89" s="819">
        <f t="shared" si="9"/>
        <v>20153.260000000002</v>
      </c>
    </row>
    <row r="90" spans="1:13" x14ac:dyDescent="0.25">
      <c r="A90" s="823" t="s">
        <v>921</v>
      </c>
      <c r="B90" s="823" t="s">
        <v>922</v>
      </c>
      <c r="C90" s="825">
        <v>3189</v>
      </c>
      <c r="D90" s="825">
        <v>387</v>
      </c>
      <c r="E90" s="825">
        <v>0</v>
      </c>
      <c r="F90" s="825">
        <v>0</v>
      </c>
      <c r="G90" s="825">
        <v>3189</v>
      </c>
      <c r="H90" s="825">
        <v>387</v>
      </c>
      <c r="I90" s="825">
        <v>2802</v>
      </c>
      <c r="J90" s="825">
        <v>0</v>
      </c>
      <c r="K90" s="819">
        <f t="shared" si="9"/>
        <v>2802</v>
      </c>
      <c r="L90" s="820" t="s">
        <v>868</v>
      </c>
      <c r="M90" s="830">
        <f>K90</f>
        <v>2802</v>
      </c>
    </row>
    <row r="91" spans="1:13" x14ac:dyDescent="0.25">
      <c r="A91" s="823" t="s">
        <v>923</v>
      </c>
      <c r="B91" s="823" t="s">
        <v>924</v>
      </c>
      <c r="C91" s="825">
        <v>3189</v>
      </c>
      <c r="D91" s="825">
        <v>387</v>
      </c>
      <c r="E91" s="825">
        <v>0</v>
      </c>
      <c r="F91" s="825">
        <v>0</v>
      </c>
      <c r="G91" s="825">
        <v>3189</v>
      </c>
      <c r="H91" s="825">
        <v>387</v>
      </c>
      <c r="I91" s="825">
        <v>2802</v>
      </c>
      <c r="J91" s="825">
        <v>0</v>
      </c>
      <c r="K91" s="819">
        <f t="shared" si="9"/>
        <v>2802</v>
      </c>
    </row>
    <row r="92" spans="1:13" x14ac:dyDescent="0.25">
      <c r="A92" s="823" t="s">
        <v>925</v>
      </c>
      <c r="B92" s="823" t="s">
        <v>926</v>
      </c>
      <c r="C92" s="825">
        <v>506371.83</v>
      </c>
      <c r="D92" s="825">
        <v>662050</v>
      </c>
      <c r="E92" s="825">
        <v>0</v>
      </c>
      <c r="F92" s="825">
        <v>0</v>
      </c>
      <c r="G92" s="825">
        <v>506371.83</v>
      </c>
      <c r="H92" s="825">
        <v>662050</v>
      </c>
      <c r="I92" s="825">
        <v>0</v>
      </c>
      <c r="J92" s="825">
        <v>155678.17000000001</v>
      </c>
      <c r="K92" s="819">
        <f t="shared" si="9"/>
        <v>-155678.17000000001</v>
      </c>
      <c r="L92" s="820" t="s">
        <v>927</v>
      </c>
      <c r="M92" s="830">
        <f>K92</f>
        <v>-155678.17000000001</v>
      </c>
    </row>
    <row r="93" spans="1:13" x14ac:dyDescent="0.25">
      <c r="A93" s="823" t="s">
        <v>928</v>
      </c>
      <c r="B93" s="823" t="s">
        <v>929</v>
      </c>
      <c r="C93" s="825">
        <v>506371.83</v>
      </c>
      <c r="D93" s="825">
        <v>662050</v>
      </c>
      <c r="E93" s="825">
        <v>0</v>
      </c>
      <c r="F93" s="825">
        <v>0</v>
      </c>
      <c r="G93" s="825">
        <v>506371.83</v>
      </c>
      <c r="H93" s="825">
        <v>662050</v>
      </c>
      <c r="I93" s="825">
        <v>0</v>
      </c>
      <c r="J93" s="825">
        <v>155678.17000000001</v>
      </c>
      <c r="K93" s="819">
        <f t="shared" si="9"/>
        <v>-155678.17000000001</v>
      </c>
    </row>
    <row r="94" spans="1:13" x14ac:dyDescent="0.25">
      <c r="A94" s="823" t="s">
        <v>930</v>
      </c>
      <c r="B94" s="823" t="s">
        <v>931</v>
      </c>
      <c r="C94" s="825">
        <v>948711</v>
      </c>
      <c r="D94" s="825">
        <v>948711</v>
      </c>
      <c r="E94" s="825">
        <v>550790</v>
      </c>
      <c r="F94" s="825">
        <v>550800</v>
      </c>
      <c r="G94" s="825">
        <v>1499501</v>
      </c>
      <c r="H94" s="825">
        <v>1499511</v>
      </c>
      <c r="I94" s="825">
        <v>0</v>
      </c>
      <c r="J94" s="825">
        <v>10</v>
      </c>
      <c r="K94" s="819">
        <f t="shared" si="9"/>
        <v>-10</v>
      </c>
      <c r="L94" s="821" t="s">
        <v>932</v>
      </c>
      <c r="M94" s="830">
        <f>K94</f>
        <v>-10</v>
      </c>
    </row>
    <row r="95" spans="1:13" x14ac:dyDescent="0.25">
      <c r="A95" s="823" t="s">
        <v>933</v>
      </c>
      <c r="B95" s="823" t="s">
        <v>934</v>
      </c>
      <c r="C95" s="825">
        <v>948711</v>
      </c>
      <c r="D95" s="825">
        <v>948711</v>
      </c>
      <c r="E95" s="825">
        <v>550790</v>
      </c>
      <c r="F95" s="825">
        <v>550800</v>
      </c>
      <c r="G95" s="825">
        <v>1499501</v>
      </c>
      <c r="H95" s="825">
        <v>1499511</v>
      </c>
      <c r="I95" s="825">
        <v>0</v>
      </c>
      <c r="J95" s="825">
        <v>10</v>
      </c>
      <c r="K95" s="819">
        <f t="shared" si="9"/>
        <v>-10</v>
      </c>
    </row>
    <row r="96" spans="1:13" x14ac:dyDescent="0.25">
      <c r="A96" s="823" t="s">
        <v>935</v>
      </c>
      <c r="B96" s="823" t="s">
        <v>936</v>
      </c>
      <c r="C96" s="825">
        <v>0</v>
      </c>
      <c r="D96" s="825">
        <v>0</v>
      </c>
      <c r="E96" s="825">
        <v>236808.79</v>
      </c>
      <c r="F96" s="825">
        <v>0</v>
      </c>
      <c r="G96" s="825">
        <v>236808.79</v>
      </c>
      <c r="H96" s="825">
        <v>0</v>
      </c>
      <c r="I96" s="825">
        <v>236808.79</v>
      </c>
      <c r="J96" s="825">
        <v>0</v>
      </c>
      <c r="K96" s="819">
        <f t="shared" si="9"/>
        <v>236808.79</v>
      </c>
      <c r="L96" s="820" t="s">
        <v>868</v>
      </c>
    </row>
    <row r="97" spans="1:13" x14ac:dyDescent="0.25">
      <c r="A97" s="823" t="s">
        <v>937</v>
      </c>
      <c r="B97" s="823" t="s">
        <v>938</v>
      </c>
      <c r="C97" s="825">
        <v>3085.06</v>
      </c>
      <c r="D97" s="825">
        <v>3085.06</v>
      </c>
      <c r="E97" s="825">
        <v>0</v>
      </c>
      <c r="F97" s="825">
        <v>0</v>
      </c>
      <c r="G97" s="825">
        <v>3085.06</v>
      </c>
      <c r="H97" s="825">
        <v>3085.06</v>
      </c>
      <c r="I97" s="825">
        <v>0</v>
      </c>
      <c r="J97" s="825">
        <v>0</v>
      </c>
      <c r="K97" s="819">
        <f t="shared" si="9"/>
        <v>0</v>
      </c>
      <c r="L97" s="820" t="s">
        <v>863</v>
      </c>
      <c r="M97" s="830">
        <f t="shared" ref="M97:M98" si="12">K97</f>
        <v>0</v>
      </c>
    </row>
    <row r="98" spans="1:13" x14ac:dyDescent="0.25">
      <c r="A98" s="823" t="s">
        <v>939</v>
      </c>
      <c r="B98" s="823" t="s">
        <v>940</v>
      </c>
      <c r="C98" s="825">
        <v>9452.2900000000009</v>
      </c>
      <c r="D98" s="825">
        <v>24388.06</v>
      </c>
      <c r="E98" s="825">
        <v>0</v>
      </c>
      <c r="F98" s="825">
        <v>0</v>
      </c>
      <c r="G98" s="825">
        <v>9452.2900000000009</v>
      </c>
      <c r="H98" s="825">
        <v>24388.06</v>
      </c>
      <c r="I98" s="825">
        <v>0</v>
      </c>
      <c r="J98" s="825">
        <v>14935.77</v>
      </c>
      <c r="K98" s="819">
        <f t="shared" si="9"/>
        <v>-14935.77</v>
      </c>
      <c r="L98" s="820" t="s">
        <v>941</v>
      </c>
      <c r="M98" s="830">
        <f t="shared" si="12"/>
        <v>-14935.77</v>
      </c>
    </row>
    <row r="99" spans="1:13" x14ac:dyDescent="0.25">
      <c r="A99" s="823" t="s">
        <v>942</v>
      </c>
      <c r="B99" s="823" t="s">
        <v>943</v>
      </c>
      <c r="C99" s="825">
        <v>9452.2900000000009</v>
      </c>
      <c r="D99" s="825">
        <v>24388.06</v>
      </c>
      <c r="E99" s="825">
        <v>0</v>
      </c>
      <c r="F99" s="825">
        <v>0</v>
      </c>
      <c r="G99" s="825">
        <v>9452.2900000000009</v>
      </c>
      <c r="H99" s="825">
        <v>24388.06</v>
      </c>
      <c r="I99" s="825">
        <v>0</v>
      </c>
      <c r="J99" s="825">
        <v>14935.77</v>
      </c>
      <c r="K99" s="819">
        <f t="shared" si="9"/>
        <v>-14935.77</v>
      </c>
    </row>
    <row r="100" spans="1:13" x14ac:dyDescent="0.25">
      <c r="A100" s="823" t="s">
        <v>944</v>
      </c>
      <c r="B100" s="823" t="s">
        <v>945</v>
      </c>
      <c r="C100" s="825">
        <v>0</v>
      </c>
      <c r="D100" s="825">
        <v>57994.48</v>
      </c>
      <c r="E100" s="825">
        <v>0</v>
      </c>
      <c r="F100" s="825">
        <v>0</v>
      </c>
      <c r="G100" s="825">
        <v>0</v>
      </c>
      <c r="H100" s="825">
        <v>57994.48</v>
      </c>
      <c r="I100" s="825">
        <v>0</v>
      </c>
      <c r="J100" s="825">
        <v>57994.48</v>
      </c>
      <c r="K100" s="819">
        <f t="shared" si="9"/>
        <v>-57994.48</v>
      </c>
      <c r="L100" s="820" t="s">
        <v>853</v>
      </c>
      <c r="M100" s="830">
        <f t="shared" ref="M100:M101" si="13">K100</f>
        <v>-57994.48</v>
      </c>
    </row>
    <row r="101" spans="1:13" x14ac:dyDescent="0.25">
      <c r="A101" s="823" t="s">
        <v>950</v>
      </c>
      <c r="B101" s="823" t="s">
        <v>951</v>
      </c>
      <c r="C101" s="825">
        <v>28758927.560000002</v>
      </c>
      <c r="D101" s="825">
        <v>28033290.030000001</v>
      </c>
      <c r="E101" s="825">
        <v>8649325.540000001</v>
      </c>
      <c r="F101" s="825">
        <v>3007832.54</v>
      </c>
      <c r="G101" s="825">
        <v>37408253.100000001</v>
      </c>
      <c r="H101" s="825">
        <v>31041122.57</v>
      </c>
      <c r="I101" s="825">
        <v>6367130.5300000003</v>
      </c>
      <c r="J101" s="825">
        <v>0</v>
      </c>
      <c r="K101" s="819">
        <f t="shared" si="9"/>
        <v>6367130.5300000003</v>
      </c>
      <c r="L101" s="820" t="s">
        <v>954</v>
      </c>
      <c r="M101" s="830">
        <f t="shared" si="13"/>
        <v>6367130.5300000003</v>
      </c>
    </row>
    <row r="102" spans="1:13" x14ac:dyDescent="0.25">
      <c r="A102" s="823" t="s">
        <v>952</v>
      </c>
      <c r="B102" s="823" t="s">
        <v>953</v>
      </c>
      <c r="C102" s="825">
        <v>24121295.390000001</v>
      </c>
      <c r="D102" s="825">
        <v>23397509.949999999</v>
      </c>
      <c r="E102" s="825">
        <v>8649325.540000001</v>
      </c>
      <c r="F102" s="825">
        <v>3007831.02</v>
      </c>
      <c r="G102" s="825">
        <v>32770620.93</v>
      </c>
      <c r="H102" s="825">
        <v>26405340.969999999</v>
      </c>
      <c r="I102" s="825">
        <v>6365279.96</v>
      </c>
      <c r="J102" s="825">
        <v>0</v>
      </c>
      <c r="K102" s="819">
        <f t="shared" si="9"/>
        <v>6365279.96</v>
      </c>
    </row>
    <row r="103" spans="1:13" x14ac:dyDescent="0.25">
      <c r="A103" s="823" t="s">
        <v>1153</v>
      </c>
      <c r="B103" s="823" t="s">
        <v>1154</v>
      </c>
      <c r="C103" s="825">
        <v>937.24</v>
      </c>
      <c r="D103" s="825">
        <v>9.94</v>
      </c>
      <c r="E103" s="825">
        <v>0</v>
      </c>
      <c r="F103" s="825">
        <v>0</v>
      </c>
      <c r="G103" s="825">
        <v>937.24</v>
      </c>
      <c r="H103" s="825">
        <v>9.94</v>
      </c>
      <c r="I103" s="825">
        <v>927.30000000000007</v>
      </c>
      <c r="J103" s="825">
        <v>0</v>
      </c>
      <c r="K103" s="819">
        <f t="shared" si="9"/>
        <v>927.30000000000007</v>
      </c>
    </row>
    <row r="104" spans="1:13" x14ac:dyDescent="0.25">
      <c r="A104" s="823" t="s">
        <v>955</v>
      </c>
      <c r="B104" s="823" t="s">
        <v>956</v>
      </c>
      <c r="C104" s="825">
        <v>174541.52</v>
      </c>
      <c r="D104" s="825">
        <v>0</v>
      </c>
      <c r="E104" s="825">
        <v>0</v>
      </c>
      <c r="F104" s="825">
        <v>0</v>
      </c>
      <c r="G104" s="825">
        <v>174541.52</v>
      </c>
      <c r="H104" s="825">
        <v>0</v>
      </c>
      <c r="I104" s="825">
        <v>174541.52</v>
      </c>
      <c r="J104" s="825">
        <v>0</v>
      </c>
      <c r="K104" s="819">
        <f t="shared" si="9"/>
        <v>174541.52</v>
      </c>
      <c r="L104" s="820" t="s">
        <v>954</v>
      </c>
    </row>
    <row r="105" spans="1:13" x14ac:dyDescent="0.25">
      <c r="A105" s="823" t="s">
        <v>275</v>
      </c>
      <c r="B105" s="823" t="s">
        <v>957</v>
      </c>
      <c r="C105" s="825">
        <v>7984.6100000000006</v>
      </c>
      <c r="D105" s="825">
        <v>0</v>
      </c>
      <c r="E105" s="825">
        <v>0</v>
      </c>
      <c r="F105" s="825">
        <v>0</v>
      </c>
      <c r="G105" s="825">
        <v>7984.6100000000006</v>
      </c>
      <c r="H105" s="825">
        <v>0</v>
      </c>
      <c r="I105" s="825">
        <v>7984.6100000000006</v>
      </c>
      <c r="J105" s="825">
        <v>0</v>
      </c>
      <c r="K105" s="819">
        <f t="shared" si="9"/>
        <v>7984.6100000000006</v>
      </c>
    </row>
    <row r="106" spans="1:13" x14ac:dyDescent="0.25">
      <c r="A106" s="823" t="s">
        <v>959</v>
      </c>
      <c r="B106" s="823" t="s">
        <v>1171</v>
      </c>
      <c r="C106" s="825">
        <v>23467050.02</v>
      </c>
      <c r="D106" s="825">
        <v>22895447.199999999</v>
      </c>
      <c r="E106" s="825">
        <v>8299586.3799999999</v>
      </c>
      <c r="F106" s="825">
        <v>2717326.42</v>
      </c>
      <c r="G106" s="825">
        <v>31766636.400000002</v>
      </c>
      <c r="H106" s="825">
        <v>25612773.620000001</v>
      </c>
      <c r="I106" s="825">
        <v>6153862.7800000003</v>
      </c>
      <c r="J106" s="825">
        <v>0</v>
      </c>
      <c r="K106" s="819">
        <f t="shared" si="9"/>
        <v>6153862.7800000003</v>
      </c>
    </row>
    <row r="107" spans="1:13" x14ac:dyDescent="0.25">
      <c r="A107" s="823" t="s">
        <v>961</v>
      </c>
      <c r="B107" s="823" t="s">
        <v>962</v>
      </c>
      <c r="C107" s="825">
        <v>2581.3000000000002</v>
      </c>
      <c r="D107" s="825">
        <v>0</v>
      </c>
      <c r="E107" s="825">
        <v>0</v>
      </c>
      <c r="F107" s="825">
        <v>0</v>
      </c>
      <c r="G107" s="825">
        <v>2581.3000000000002</v>
      </c>
      <c r="H107" s="825">
        <v>0</v>
      </c>
      <c r="I107" s="825">
        <v>2581.3000000000002</v>
      </c>
      <c r="J107" s="825">
        <v>0</v>
      </c>
      <c r="K107" s="819">
        <f t="shared" si="9"/>
        <v>2581.3000000000002</v>
      </c>
    </row>
    <row r="108" spans="1:13" x14ac:dyDescent="0.25">
      <c r="A108" s="823" t="s">
        <v>963</v>
      </c>
      <c r="B108" s="823" t="s">
        <v>964</v>
      </c>
      <c r="C108" s="825">
        <v>3575090.0100000002</v>
      </c>
      <c r="D108" s="825">
        <v>3508741.6</v>
      </c>
      <c r="E108" s="825">
        <v>310739.16000000003</v>
      </c>
      <c r="F108" s="825">
        <v>275635.94</v>
      </c>
      <c r="G108" s="825">
        <v>3885829.17</v>
      </c>
      <c r="H108" s="825">
        <v>3784377.54</v>
      </c>
      <c r="I108" s="825">
        <v>101451.63</v>
      </c>
      <c r="J108" s="825">
        <v>0</v>
      </c>
      <c r="K108" s="819">
        <f t="shared" si="9"/>
        <v>101451.63</v>
      </c>
    </row>
    <row r="109" spans="1:13" x14ac:dyDescent="0.25">
      <c r="A109" s="823" t="s">
        <v>965</v>
      </c>
      <c r="B109" s="823" t="s">
        <v>966</v>
      </c>
      <c r="C109" s="825">
        <v>86129.95</v>
      </c>
      <c r="D109" s="825">
        <v>21882.100000000002</v>
      </c>
      <c r="E109" s="825">
        <v>30000</v>
      </c>
      <c r="F109" s="825">
        <v>6468.3</v>
      </c>
      <c r="G109" s="825">
        <v>116129.95</v>
      </c>
      <c r="H109" s="825">
        <v>28350.400000000001</v>
      </c>
      <c r="I109" s="825">
        <v>87779.55</v>
      </c>
      <c r="J109" s="825">
        <v>0</v>
      </c>
      <c r="K109" s="819">
        <f t="shared" si="9"/>
        <v>87779.55</v>
      </c>
    </row>
    <row r="110" spans="1:13" x14ac:dyDescent="0.25">
      <c r="A110" s="823" t="s">
        <v>967</v>
      </c>
      <c r="B110" s="823" t="s">
        <v>968</v>
      </c>
      <c r="C110" s="825">
        <v>50.120000000000005</v>
      </c>
      <c r="D110" s="825">
        <v>0</v>
      </c>
      <c r="E110" s="825">
        <v>0</v>
      </c>
      <c r="F110" s="825">
        <v>0</v>
      </c>
      <c r="G110" s="825">
        <v>50.120000000000005</v>
      </c>
      <c r="H110" s="825">
        <v>0</v>
      </c>
      <c r="I110" s="825">
        <v>50.120000000000005</v>
      </c>
      <c r="J110" s="825">
        <v>0</v>
      </c>
      <c r="K110" s="819">
        <f t="shared" si="9"/>
        <v>50.120000000000005</v>
      </c>
    </row>
    <row r="111" spans="1:13" x14ac:dyDescent="0.25">
      <c r="A111" s="823" t="s">
        <v>969</v>
      </c>
      <c r="B111" s="823" t="s">
        <v>970</v>
      </c>
      <c r="C111" s="825">
        <v>118459.12</v>
      </c>
      <c r="D111" s="825">
        <v>108416.09</v>
      </c>
      <c r="E111" s="825">
        <v>9000</v>
      </c>
      <c r="F111" s="825">
        <v>8400.36</v>
      </c>
      <c r="G111" s="825">
        <v>127459.12000000001</v>
      </c>
      <c r="H111" s="825">
        <v>116816.45</v>
      </c>
      <c r="I111" s="825">
        <v>10642.67</v>
      </c>
      <c r="J111" s="825">
        <v>0</v>
      </c>
      <c r="K111" s="819">
        <f t="shared" si="9"/>
        <v>10642.67</v>
      </c>
    </row>
    <row r="112" spans="1:13" x14ac:dyDescent="0.25">
      <c r="A112" s="823" t="s">
        <v>971</v>
      </c>
      <c r="B112" s="823" t="s">
        <v>972</v>
      </c>
      <c r="C112" s="825">
        <v>4134012.48</v>
      </c>
      <c r="D112" s="825">
        <v>4134012.36</v>
      </c>
      <c r="E112" s="825">
        <v>0</v>
      </c>
      <c r="F112" s="825">
        <v>0</v>
      </c>
      <c r="G112" s="825">
        <v>4134012.48</v>
      </c>
      <c r="H112" s="825">
        <v>4134012.36</v>
      </c>
      <c r="I112" s="825">
        <v>0.12</v>
      </c>
      <c r="J112" s="825">
        <v>0</v>
      </c>
      <c r="K112" s="819">
        <f t="shared" si="9"/>
        <v>0.12</v>
      </c>
    </row>
    <row r="113" spans="1:13" x14ac:dyDescent="0.25">
      <c r="A113" s="823" t="s">
        <v>1158</v>
      </c>
      <c r="B113" s="823" t="s">
        <v>1159</v>
      </c>
      <c r="C113" s="825">
        <v>503619.69</v>
      </c>
      <c r="D113" s="825">
        <v>501767.72000000003</v>
      </c>
      <c r="E113" s="825">
        <v>0</v>
      </c>
      <c r="F113" s="825">
        <v>1.52</v>
      </c>
      <c r="G113" s="825">
        <v>503619.69</v>
      </c>
      <c r="H113" s="825">
        <v>501769.24</v>
      </c>
      <c r="I113" s="825">
        <v>1850.45</v>
      </c>
      <c r="J113" s="825">
        <v>0</v>
      </c>
      <c r="K113" s="819">
        <f t="shared" si="9"/>
        <v>1850.45</v>
      </c>
    </row>
    <row r="114" spans="1:13" x14ac:dyDescent="0.25">
      <c r="A114" s="823" t="s">
        <v>973</v>
      </c>
      <c r="B114" s="823" t="s">
        <v>960</v>
      </c>
      <c r="C114" s="825">
        <v>14787178.620000001</v>
      </c>
      <c r="D114" s="825">
        <v>16037734.220000001</v>
      </c>
      <c r="E114" s="825">
        <v>0</v>
      </c>
      <c r="F114" s="825">
        <v>1334829.23</v>
      </c>
      <c r="G114" s="825">
        <v>14787178.620000001</v>
      </c>
      <c r="H114" s="825">
        <v>17372563.449999999</v>
      </c>
      <c r="I114" s="825">
        <v>0</v>
      </c>
      <c r="J114" s="825">
        <v>2585384.83</v>
      </c>
      <c r="K114" s="819">
        <f t="shared" si="9"/>
        <v>-2585384.83</v>
      </c>
      <c r="L114" s="820" t="s">
        <v>1155</v>
      </c>
      <c r="M114" s="830">
        <f>K114</f>
        <v>-2585384.83</v>
      </c>
    </row>
    <row r="115" spans="1:13" x14ac:dyDescent="0.25">
      <c r="A115" s="823" t="s">
        <v>975</v>
      </c>
      <c r="B115" s="823" t="s">
        <v>1172</v>
      </c>
      <c r="C115" s="825">
        <v>14787178.620000001</v>
      </c>
      <c r="D115" s="825">
        <v>16037734.220000001</v>
      </c>
      <c r="E115" s="825">
        <v>0</v>
      </c>
      <c r="F115" s="825">
        <v>1334829.23</v>
      </c>
      <c r="G115" s="825">
        <v>14787178.620000001</v>
      </c>
      <c r="H115" s="825">
        <v>17372563.449999999</v>
      </c>
      <c r="I115" s="825">
        <v>0</v>
      </c>
      <c r="J115" s="825">
        <v>2585384.83</v>
      </c>
      <c r="K115" s="819">
        <f t="shared" si="9"/>
        <v>-2585384.83</v>
      </c>
    </row>
    <row r="116" spans="1:13" x14ac:dyDescent="0.25">
      <c r="A116" s="823" t="s">
        <v>977</v>
      </c>
      <c r="B116" s="823" t="s">
        <v>978</v>
      </c>
      <c r="C116" s="825">
        <v>145325.13</v>
      </c>
      <c r="D116" s="825">
        <v>116236.40000000001</v>
      </c>
      <c r="E116" s="825">
        <v>5078.6500000000005</v>
      </c>
      <c r="F116" s="825">
        <v>4085.55</v>
      </c>
      <c r="G116" s="825">
        <v>150403.78</v>
      </c>
      <c r="H116" s="825">
        <v>120321.95</v>
      </c>
      <c r="I116" s="825">
        <v>30081.83</v>
      </c>
      <c r="J116" s="825">
        <v>0</v>
      </c>
      <c r="K116" s="819">
        <f t="shared" si="9"/>
        <v>30081.83</v>
      </c>
      <c r="L116" s="820" t="s">
        <v>954</v>
      </c>
      <c r="M116" s="830">
        <f>K116</f>
        <v>30081.83</v>
      </c>
    </row>
    <row r="117" spans="1:13" x14ac:dyDescent="0.25">
      <c r="A117" s="823" t="s">
        <v>979</v>
      </c>
      <c r="B117" s="823" t="s">
        <v>980</v>
      </c>
      <c r="C117" s="825">
        <v>131681.4</v>
      </c>
      <c r="D117" s="825">
        <v>116236.40000000001</v>
      </c>
      <c r="E117" s="825">
        <v>5078.6500000000005</v>
      </c>
      <c r="F117" s="825">
        <v>4085.55</v>
      </c>
      <c r="G117" s="825">
        <v>136760.04999999999</v>
      </c>
      <c r="H117" s="825">
        <v>120321.95</v>
      </c>
      <c r="I117" s="825">
        <v>16438.099999999999</v>
      </c>
      <c r="J117" s="825">
        <v>0</v>
      </c>
      <c r="K117" s="819">
        <f t="shared" si="9"/>
        <v>16438.099999999999</v>
      </c>
    </row>
    <row r="118" spans="1:13" x14ac:dyDescent="0.25">
      <c r="A118" s="823" t="s">
        <v>981</v>
      </c>
      <c r="B118" s="823" t="s">
        <v>982</v>
      </c>
      <c r="C118" s="825">
        <v>13643.73</v>
      </c>
      <c r="D118" s="825">
        <v>0</v>
      </c>
      <c r="E118" s="825">
        <v>0</v>
      </c>
      <c r="F118" s="825">
        <v>0</v>
      </c>
      <c r="G118" s="825">
        <v>13643.73</v>
      </c>
      <c r="H118" s="825">
        <v>0</v>
      </c>
      <c r="I118" s="825">
        <v>13643.73</v>
      </c>
      <c r="J118" s="825">
        <v>0</v>
      </c>
      <c r="K118" s="819">
        <f t="shared" si="9"/>
        <v>13643.73</v>
      </c>
    </row>
    <row r="119" spans="1:13" x14ac:dyDescent="0.25">
      <c r="A119" s="823" t="s">
        <v>983</v>
      </c>
      <c r="B119" s="823" t="s">
        <v>984</v>
      </c>
      <c r="C119" s="825">
        <v>488783.05</v>
      </c>
      <c r="D119" s="825">
        <v>488783.05</v>
      </c>
      <c r="E119" s="825">
        <v>26848.62</v>
      </c>
      <c r="F119" s="825">
        <v>26848.62</v>
      </c>
      <c r="G119" s="825">
        <v>515631.67</v>
      </c>
      <c r="H119" s="825">
        <v>515631.67</v>
      </c>
      <c r="I119" s="825">
        <v>0</v>
      </c>
      <c r="J119" s="825">
        <v>0</v>
      </c>
      <c r="K119" s="819">
        <f t="shared" si="9"/>
        <v>0</v>
      </c>
    </row>
    <row r="120" spans="1:13" x14ac:dyDescent="0.25">
      <c r="A120" s="823" t="s">
        <v>985</v>
      </c>
      <c r="B120" s="823" t="s">
        <v>984</v>
      </c>
      <c r="C120" s="825">
        <v>488783.05</v>
      </c>
      <c r="D120" s="825">
        <v>488783.05</v>
      </c>
      <c r="E120" s="825">
        <v>26848.62</v>
      </c>
      <c r="F120" s="825">
        <v>26848.62</v>
      </c>
      <c r="G120" s="825">
        <v>515631.67</v>
      </c>
      <c r="H120" s="825">
        <v>515631.67</v>
      </c>
      <c r="I120" s="825">
        <v>0</v>
      </c>
      <c r="J120" s="825">
        <v>0</v>
      </c>
      <c r="K120" s="819">
        <f t="shared" si="9"/>
        <v>0</v>
      </c>
    </row>
    <row r="121" spans="1:13" x14ac:dyDescent="0.25">
      <c r="A121" s="823" t="s">
        <v>986</v>
      </c>
      <c r="B121" s="823" t="s">
        <v>987</v>
      </c>
      <c r="C121" s="825">
        <v>41412.5</v>
      </c>
      <c r="D121" s="825">
        <v>41412.5</v>
      </c>
      <c r="E121" s="825">
        <v>8050</v>
      </c>
      <c r="F121" s="825">
        <v>8050</v>
      </c>
      <c r="G121" s="825">
        <v>49462.5</v>
      </c>
      <c r="H121" s="825">
        <v>49462.5</v>
      </c>
      <c r="I121" s="825">
        <v>0</v>
      </c>
      <c r="J121" s="825">
        <v>0</v>
      </c>
      <c r="K121" s="819">
        <f t="shared" si="9"/>
        <v>0</v>
      </c>
    </row>
    <row r="122" spans="1:13" x14ac:dyDescent="0.25">
      <c r="A122" s="823" t="s">
        <v>988</v>
      </c>
      <c r="B122" s="823" t="s">
        <v>989</v>
      </c>
      <c r="C122" s="825">
        <v>841282.87</v>
      </c>
      <c r="D122" s="825">
        <v>578938.46</v>
      </c>
      <c r="E122" s="825">
        <v>11468</v>
      </c>
      <c r="F122" s="825">
        <v>273812.41000000003</v>
      </c>
      <c r="G122" s="825">
        <v>852750.87</v>
      </c>
      <c r="H122" s="825">
        <v>852750.87</v>
      </c>
      <c r="I122" s="825">
        <v>0</v>
      </c>
      <c r="J122" s="825">
        <v>0</v>
      </c>
      <c r="K122" s="819">
        <f t="shared" si="9"/>
        <v>0</v>
      </c>
      <c r="L122" s="820" t="s">
        <v>954</v>
      </c>
      <c r="M122" s="830">
        <f t="shared" ref="M122:M123" si="14">K122</f>
        <v>0</v>
      </c>
    </row>
    <row r="123" spans="1:13" x14ac:dyDescent="0.25">
      <c r="A123" s="823" t="s">
        <v>990</v>
      </c>
      <c r="B123" s="823" t="s">
        <v>991</v>
      </c>
      <c r="C123" s="825">
        <v>6072372.4400000004</v>
      </c>
      <c r="D123" s="825">
        <v>6072372.4400000004</v>
      </c>
      <c r="E123" s="825">
        <v>209000</v>
      </c>
      <c r="F123" s="825">
        <v>209000</v>
      </c>
      <c r="G123" s="825">
        <v>6281372.4400000004</v>
      </c>
      <c r="H123" s="825">
        <v>6281372.4400000004</v>
      </c>
      <c r="I123" s="825">
        <v>0</v>
      </c>
      <c r="J123" s="825">
        <v>0</v>
      </c>
      <c r="K123" s="819">
        <f t="shared" si="9"/>
        <v>0</v>
      </c>
      <c r="L123" s="820" t="s">
        <v>954</v>
      </c>
      <c r="M123" s="830">
        <f t="shared" si="14"/>
        <v>0</v>
      </c>
    </row>
    <row r="124" spans="1:13" x14ac:dyDescent="0.25">
      <c r="A124" s="823" t="s">
        <v>992</v>
      </c>
      <c r="B124" s="823" t="s">
        <v>993</v>
      </c>
      <c r="C124" s="825">
        <v>19536152.400000002</v>
      </c>
      <c r="D124" s="825">
        <v>19536152.400000002</v>
      </c>
      <c r="E124" s="825">
        <v>1250912.04</v>
      </c>
      <c r="F124" s="825">
        <v>1250912.04</v>
      </c>
      <c r="G124" s="825">
        <v>20787064.440000001</v>
      </c>
      <c r="H124" s="825">
        <v>20787064.440000001</v>
      </c>
      <c r="I124" s="825">
        <v>0</v>
      </c>
      <c r="J124" s="825">
        <v>0</v>
      </c>
      <c r="K124" s="819">
        <f>-H124</f>
        <v>-20787064.440000001</v>
      </c>
    </row>
    <row r="125" spans="1:13" x14ac:dyDescent="0.25">
      <c r="A125" s="823" t="s">
        <v>994</v>
      </c>
      <c r="B125" s="823" t="s">
        <v>995</v>
      </c>
      <c r="C125" s="825">
        <v>18880099.830000002</v>
      </c>
      <c r="D125" s="825">
        <v>18880099.830000002</v>
      </c>
      <c r="E125" s="825">
        <v>1250912.04</v>
      </c>
      <c r="F125" s="825">
        <v>1250912.04</v>
      </c>
      <c r="G125" s="825">
        <v>20131011.870000001</v>
      </c>
      <c r="H125" s="825">
        <v>20131011.870000001</v>
      </c>
      <c r="I125" s="825">
        <v>0</v>
      </c>
      <c r="J125" s="825">
        <v>0</v>
      </c>
      <c r="K125" s="819">
        <f t="shared" ref="K125:K170" si="15">-H125</f>
        <v>-20131011.870000001</v>
      </c>
      <c r="L125" s="821" t="s">
        <v>996</v>
      </c>
      <c r="M125" s="830">
        <f t="shared" ref="M125:M127" si="16">K125</f>
        <v>-20131011.870000001</v>
      </c>
    </row>
    <row r="126" spans="1:13" x14ac:dyDescent="0.25">
      <c r="A126" s="823" t="s">
        <v>997</v>
      </c>
      <c r="B126" s="823" t="s">
        <v>998</v>
      </c>
      <c r="C126" s="825">
        <v>656052.57000000007</v>
      </c>
      <c r="D126" s="825">
        <v>656052.57000000007</v>
      </c>
      <c r="E126" s="825">
        <v>0</v>
      </c>
      <c r="F126" s="825">
        <v>0</v>
      </c>
      <c r="G126" s="825">
        <v>656052.57000000007</v>
      </c>
      <c r="H126" s="825">
        <v>656052.57000000007</v>
      </c>
      <c r="I126" s="825">
        <v>0</v>
      </c>
      <c r="J126" s="825">
        <v>0</v>
      </c>
      <c r="K126" s="819">
        <f t="shared" si="15"/>
        <v>-656052.57000000007</v>
      </c>
      <c r="L126" s="821" t="s">
        <v>999</v>
      </c>
      <c r="M126" s="830">
        <f t="shared" si="16"/>
        <v>-656052.57000000007</v>
      </c>
    </row>
    <row r="127" spans="1:13" x14ac:dyDescent="0.25">
      <c r="A127" s="823" t="s">
        <v>1000</v>
      </c>
      <c r="B127" s="823" t="s">
        <v>1001</v>
      </c>
      <c r="C127" s="825">
        <v>420722.36</v>
      </c>
      <c r="D127" s="825">
        <v>420722.36</v>
      </c>
      <c r="E127" s="825">
        <v>30050.3</v>
      </c>
      <c r="F127" s="825">
        <v>30050.3</v>
      </c>
      <c r="G127" s="825">
        <v>450772.66000000003</v>
      </c>
      <c r="H127" s="825">
        <v>450772.66000000003</v>
      </c>
      <c r="I127" s="825">
        <v>0</v>
      </c>
      <c r="J127" s="825">
        <v>0</v>
      </c>
      <c r="K127" s="819">
        <f t="shared" si="15"/>
        <v>-450772.66000000003</v>
      </c>
      <c r="L127" s="821" t="s">
        <v>1002</v>
      </c>
      <c r="M127" s="830">
        <f t="shared" si="16"/>
        <v>-450772.66000000003</v>
      </c>
    </row>
    <row r="128" spans="1:13" x14ac:dyDescent="0.25">
      <c r="A128" s="823" t="s">
        <v>1003</v>
      </c>
      <c r="B128" s="823" t="s">
        <v>1004</v>
      </c>
      <c r="C128" s="825">
        <v>107538.02</v>
      </c>
      <c r="D128" s="825">
        <v>107538.02</v>
      </c>
      <c r="E128" s="825">
        <v>10887.53</v>
      </c>
      <c r="F128" s="825">
        <v>10887.53</v>
      </c>
      <c r="G128" s="825">
        <v>118425.55</v>
      </c>
      <c r="H128" s="825">
        <v>118425.55</v>
      </c>
      <c r="I128" s="825">
        <v>0</v>
      </c>
      <c r="J128" s="825">
        <v>0</v>
      </c>
      <c r="K128" s="819">
        <f t="shared" si="15"/>
        <v>-118425.55</v>
      </c>
    </row>
    <row r="129" spans="1:13" x14ac:dyDescent="0.25">
      <c r="A129" s="823" t="s">
        <v>1005</v>
      </c>
      <c r="B129" s="823" t="s">
        <v>1006</v>
      </c>
      <c r="C129" s="825">
        <v>260427.86000000002</v>
      </c>
      <c r="D129" s="825">
        <v>260427.86000000002</v>
      </c>
      <c r="E129" s="825">
        <v>18248.48</v>
      </c>
      <c r="F129" s="825">
        <v>18248.48</v>
      </c>
      <c r="G129" s="825">
        <v>278676.34000000003</v>
      </c>
      <c r="H129" s="825">
        <v>278676.34000000003</v>
      </c>
      <c r="I129" s="825">
        <v>0</v>
      </c>
      <c r="J129" s="825">
        <v>0</v>
      </c>
      <c r="K129" s="819">
        <f t="shared" si="15"/>
        <v>-278676.34000000003</v>
      </c>
    </row>
    <row r="130" spans="1:13" x14ac:dyDescent="0.25">
      <c r="A130" s="823" t="s">
        <v>1007</v>
      </c>
      <c r="B130" s="823" t="s">
        <v>1008</v>
      </c>
      <c r="C130" s="825">
        <v>51381.48</v>
      </c>
      <c r="D130" s="825">
        <v>51381.48</v>
      </c>
      <c r="E130" s="825">
        <v>914.29</v>
      </c>
      <c r="F130" s="825">
        <v>914.29</v>
      </c>
      <c r="G130" s="825">
        <v>52295.770000000004</v>
      </c>
      <c r="H130" s="825">
        <v>52295.770000000004</v>
      </c>
      <c r="I130" s="825">
        <v>0</v>
      </c>
      <c r="J130" s="825">
        <v>0</v>
      </c>
      <c r="K130" s="819">
        <f t="shared" si="15"/>
        <v>-52295.770000000004</v>
      </c>
    </row>
    <row r="131" spans="1:13" x14ac:dyDescent="0.25">
      <c r="A131" s="823" t="s">
        <v>1173</v>
      </c>
      <c r="B131" s="823" t="s">
        <v>1174</v>
      </c>
      <c r="C131" s="825">
        <v>1375</v>
      </c>
      <c r="D131" s="825">
        <v>1375</v>
      </c>
      <c r="E131" s="825">
        <v>0</v>
      </c>
      <c r="F131" s="825">
        <v>0</v>
      </c>
      <c r="G131" s="825">
        <v>1375</v>
      </c>
      <c r="H131" s="825">
        <v>1375</v>
      </c>
      <c r="I131" s="825">
        <v>0</v>
      </c>
      <c r="J131" s="825">
        <v>0</v>
      </c>
      <c r="K131" s="819">
        <f t="shared" si="15"/>
        <v>-1375</v>
      </c>
    </row>
    <row r="132" spans="1:13" x14ac:dyDescent="0.25">
      <c r="A132" s="823" t="s">
        <v>1009</v>
      </c>
      <c r="B132" s="823" t="s">
        <v>1010</v>
      </c>
      <c r="C132" s="825">
        <v>66897.430000000008</v>
      </c>
      <c r="D132" s="825">
        <v>66897.430000000008</v>
      </c>
      <c r="E132" s="825">
        <v>6723.24</v>
      </c>
      <c r="F132" s="825">
        <v>6723.24</v>
      </c>
      <c r="G132" s="825">
        <v>73620.67</v>
      </c>
      <c r="H132" s="825">
        <v>73620.67</v>
      </c>
      <c r="I132" s="825">
        <v>0</v>
      </c>
      <c r="J132" s="825">
        <v>0</v>
      </c>
      <c r="K132" s="819">
        <f t="shared" si="15"/>
        <v>-73620.67</v>
      </c>
      <c r="L132" s="821" t="s">
        <v>1002</v>
      </c>
      <c r="M132" s="830">
        <f t="shared" ref="M132:M134" si="17">K132</f>
        <v>-73620.67</v>
      </c>
    </row>
    <row r="133" spans="1:13" x14ac:dyDescent="0.25">
      <c r="A133" s="823" t="s">
        <v>1011</v>
      </c>
      <c r="B133" s="823" t="s">
        <v>1012</v>
      </c>
      <c r="C133" s="825">
        <v>180889.85</v>
      </c>
      <c r="D133" s="825">
        <v>180889.85</v>
      </c>
      <c r="E133" s="825">
        <v>0</v>
      </c>
      <c r="F133" s="825">
        <v>0</v>
      </c>
      <c r="G133" s="825">
        <v>180889.85</v>
      </c>
      <c r="H133" s="825">
        <v>180889.85</v>
      </c>
      <c r="I133" s="825">
        <v>0</v>
      </c>
      <c r="J133" s="825">
        <v>0</v>
      </c>
      <c r="K133" s="819">
        <f t="shared" si="15"/>
        <v>-180889.85</v>
      </c>
      <c r="L133" s="821" t="s">
        <v>1002</v>
      </c>
      <c r="M133" s="830">
        <f t="shared" si="17"/>
        <v>-180889.85</v>
      </c>
    </row>
    <row r="134" spans="1:13" x14ac:dyDescent="0.25">
      <c r="A134" s="823" t="s">
        <v>1013</v>
      </c>
      <c r="B134" s="823" t="s">
        <v>1014</v>
      </c>
      <c r="C134" s="825">
        <v>1039.26</v>
      </c>
      <c r="D134" s="825">
        <v>1039.26</v>
      </c>
      <c r="E134" s="825">
        <v>98.79</v>
      </c>
      <c r="F134" s="825">
        <v>98.79</v>
      </c>
      <c r="G134" s="825">
        <v>1138.05</v>
      </c>
      <c r="H134" s="825">
        <v>1138.05</v>
      </c>
      <c r="I134" s="825">
        <v>0</v>
      </c>
      <c r="J134" s="825">
        <v>0</v>
      </c>
      <c r="K134" s="819">
        <f t="shared" si="15"/>
        <v>-1138.05</v>
      </c>
      <c r="L134" s="820" t="s">
        <v>1040</v>
      </c>
      <c r="M134" s="830">
        <f t="shared" si="17"/>
        <v>-1138.05</v>
      </c>
    </row>
    <row r="135" spans="1:13" x14ac:dyDescent="0.25">
      <c r="A135" s="823" t="s">
        <v>1015</v>
      </c>
      <c r="B135" s="823" t="s">
        <v>1016</v>
      </c>
      <c r="C135" s="825">
        <v>3770929.59</v>
      </c>
      <c r="D135" s="825">
        <v>3770929.59</v>
      </c>
      <c r="E135" s="825">
        <v>87230.47</v>
      </c>
      <c r="F135" s="825">
        <v>87230.47</v>
      </c>
      <c r="G135" s="825">
        <v>3858160.06</v>
      </c>
      <c r="H135" s="825">
        <v>3858160.06</v>
      </c>
      <c r="I135" s="825">
        <v>0</v>
      </c>
      <c r="J135" s="825">
        <v>0</v>
      </c>
      <c r="K135" s="819">
        <f t="shared" si="15"/>
        <v>-3858160.06</v>
      </c>
    </row>
    <row r="136" spans="1:13" x14ac:dyDescent="0.25">
      <c r="A136" s="823" t="s">
        <v>1017</v>
      </c>
      <c r="B136" s="823" t="s">
        <v>1018</v>
      </c>
      <c r="C136" s="825">
        <v>2563420.5300000003</v>
      </c>
      <c r="D136" s="825">
        <v>2563420.5300000003</v>
      </c>
      <c r="E136" s="825">
        <v>0</v>
      </c>
      <c r="F136" s="825">
        <v>0</v>
      </c>
      <c r="G136" s="825">
        <v>2563420.5300000003</v>
      </c>
      <c r="H136" s="825">
        <v>2563420.5300000003</v>
      </c>
      <c r="I136" s="825">
        <v>0</v>
      </c>
      <c r="J136" s="825">
        <v>0</v>
      </c>
      <c r="K136" s="819">
        <f t="shared" si="15"/>
        <v>-2563420.5300000003</v>
      </c>
      <c r="L136" s="821" t="s">
        <v>1019</v>
      </c>
      <c r="M136" s="830">
        <f t="shared" ref="M136:M143" si="18">K136</f>
        <v>-2563420.5300000003</v>
      </c>
    </row>
    <row r="137" spans="1:13" x14ac:dyDescent="0.25">
      <c r="A137" s="823" t="s">
        <v>1020</v>
      </c>
      <c r="B137" s="823" t="s">
        <v>1021</v>
      </c>
      <c r="C137" s="825">
        <v>1207509.06</v>
      </c>
      <c r="D137" s="825">
        <v>1207509.06</v>
      </c>
      <c r="E137" s="825">
        <v>87230.47</v>
      </c>
      <c r="F137" s="825">
        <v>87230.47</v>
      </c>
      <c r="G137" s="825">
        <v>1294739.53</v>
      </c>
      <c r="H137" s="825">
        <v>1294739.53</v>
      </c>
      <c r="I137" s="825">
        <v>0</v>
      </c>
      <c r="J137" s="825">
        <v>0</v>
      </c>
      <c r="K137" s="819">
        <f t="shared" si="15"/>
        <v>-1294739.53</v>
      </c>
      <c r="L137" s="821" t="s">
        <v>1022</v>
      </c>
      <c r="M137" s="830">
        <f t="shared" si="18"/>
        <v>-1294739.53</v>
      </c>
    </row>
    <row r="138" spans="1:13" x14ac:dyDescent="0.25">
      <c r="A138" s="823" t="s">
        <v>1023</v>
      </c>
      <c r="B138" s="823" t="s">
        <v>1024</v>
      </c>
      <c r="C138" s="825">
        <v>-26715.07</v>
      </c>
      <c r="D138" s="825">
        <v>-26715.07</v>
      </c>
      <c r="E138" s="825">
        <v>0</v>
      </c>
      <c r="F138" s="825">
        <v>0</v>
      </c>
      <c r="G138" s="825">
        <v>-26715.07</v>
      </c>
      <c r="H138" s="825">
        <v>-26715.07</v>
      </c>
      <c r="I138" s="825">
        <v>0</v>
      </c>
      <c r="J138" s="825">
        <v>0</v>
      </c>
      <c r="K138" s="819">
        <f t="shared" si="15"/>
        <v>26715.07</v>
      </c>
      <c r="L138" s="820" t="s">
        <v>1025</v>
      </c>
      <c r="M138" s="830">
        <f t="shared" si="18"/>
        <v>26715.07</v>
      </c>
    </row>
    <row r="139" spans="1:13" x14ac:dyDescent="0.25">
      <c r="A139" s="823" t="s">
        <v>1026</v>
      </c>
      <c r="B139" s="823" t="s">
        <v>1027</v>
      </c>
      <c r="C139" s="825">
        <v>121968.06</v>
      </c>
      <c r="D139" s="825">
        <v>121968.06</v>
      </c>
      <c r="E139" s="825">
        <v>14169.48</v>
      </c>
      <c r="F139" s="825">
        <v>14169.48</v>
      </c>
      <c r="G139" s="825">
        <v>136137.54</v>
      </c>
      <c r="H139" s="825">
        <v>136137.54</v>
      </c>
      <c r="I139" s="825">
        <v>0</v>
      </c>
      <c r="J139" s="825">
        <v>0</v>
      </c>
      <c r="K139" s="819">
        <f t="shared" si="15"/>
        <v>-136137.54</v>
      </c>
      <c r="L139" s="820" t="s">
        <v>1028</v>
      </c>
      <c r="M139" s="830">
        <f t="shared" si="18"/>
        <v>-136137.54</v>
      </c>
    </row>
    <row r="140" spans="1:13" x14ac:dyDescent="0.25">
      <c r="A140" s="823" t="s">
        <v>1029</v>
      </c>
      <c r="B140" s="823" t="s">
        <v>1030</v>
      </c>
      <c r="C140" s="825">
        <v>1040470.36</v>
      </c>
      <c r="D140" s="825">
        <v>1040470.36</v>
      </c>
      <c r="E140" s="825">
        <v>61525.22</v>
      </c>
      <c r="F140" s="825">
        <v>61525.22</v>
      </c>
      <c r="G140" s="825">
        <v>1101995.58</v>
      </c>
      <c r="H140" s="825">
        <v>1101995.58</v>
      </c>
      <c r="I140" s="825">
        <v>0</v>
      </c>
      <c r="J140" s="825">
        <v>0</v>
      </c>
      <c r="K140" s="819">
        <f t="shared" si="15"/>
        <v>-1101995.58</v>
      </c>
      <c r="L140" s="821" t="s">
        <v>1031</v>
      </c>
      <c r="M140" s="830">
        <f t="shared" si="18"/>
        <v>-1101995.58</v>
      </c>
    </row>
    <row r="141" spans="1:13" x14ac:dyDescent="0.25">
      <c r="A141" s="823" t="s">
        <v>1032</v>
      </c>
      <c r="B141" s="823" t="s">
        <v>1033</v>
      </c>
      <c r="C141" s="825">
        <v>158092.94</v>
      </c>
      <c r="D141" s="825">
        <v>158092.94</v>
      </c>
      <c r="E141" s="825">
        <v>8255.98</v>
      </c>
      <c r="F141" s="825">
        <v>8255.98</v>
      </c>
      <c r="G141" s="825">
        <v>166348.92000000001</v>
      </c>
      <c r="H141" s="825">
        <v>166348.92000000001</v>
      </c>
      <c r="I141" s="825">
        <v>0</v>
      </c>
      <c r="J141" s="825">
        <v>0</v>
      </c>
      <c r="K141" s="819">
        <f t="shared" si="15"/>
        <v>-166348.92000000001</v>
      </c>
      <c r="L141" s="820" t="s">
        <v>1028</v>
      </c>
      <c r="M141" s="830">
        <f t="shared" si="18"/>
        <v>-166348.92000000001</v>
      </c>
    </row>
    <row r="142" spans="1:13" x14ac:dyDescent="0.25">
      <c r="A142" s="823" t="s">
        <v>1160</v>
      </c>
      <c r="B142" s="823" t="s">
        <v>1161</v>
      </c>
      <c r="C142" s="825">
        <v>49.46</v>
      </c>
      <c r="D142" s="825">
        <v>49.46</v>
      </c>
      <c r="E142" s="825">
        <v>0</v>
      </c>
      <c r="F142" s="825">
        <v>0</v>
      </c>
      <c r="G142" s="825">
        <v>49.46</v>
      </c>
      <c r="H142" s="825">
        <v>49.46</v>
      </c>
      <c r="I142" s="825">
        <v>0</v>
      </c>
      <c r="J142" s="825">
        <v>0</v>
      </c>
      <c r="K142" s="819">
        <f t="shared" si="15"/>
        <v>-49.46</v>
      </c>
      <c r="L142" s="820" t="s">
        <v>1028</v>
      </c>
      <c r="M142" s="830">
        <f t="shared" si="18"/>
        <v>-49.46</v>
      </c>
    </row>
    <row r="143" spans="1:13" x14ac:dyDescent="0.25">
      <c r="A143" s="823" t="s">
        <v>1034</v>
      </c>
      <c r="B143" s="823" t="s">
        <v>1035</v>
      </c>
      <c r="C143" s="825">
        <v>15238.67</v>
      </c>
      <c r="D143" s="825">
        <v>15238.67</v>
      </c>
      <c r="E143" s="825">
        <v>0</v>
      </c>
      <c r="F143" s="825">
        <v>0</v>
      </c>
      <c r="G143" s="825">
        <v>15238.67</v>
      </c>
      <c r="H143" s="825">
        <v>15238.67</v>
      </c>
      <c r="I143" s="825">
        <v>0</v>
      </c>
      <c r="J143" s="825">
        <v>0</v>
      </c>
      <c r="K143" s="819">
        <f t="shared" si="15"/>
        <v>-15238.67</v>
      </c>
      <c r="L143" s="820" t="s">
        <v>1028</v>
      </c>
      <c r="M143" s="830">
        <f t="shared" si="18"/>
        <v>-15238.67</v>
      </c>
    </row>
    <row r="144" spans="1:13" x14ac:dyDescent="0.25">
      <c r="A144" s="823" t="s">
        <v>1036</v>
      </c>
      <c r="B144" s="823" t="s">
        <v>1037</v>
      </c>
      <c r="C144" s="825">
        <v>42051.360000000001</v>
      </c>
      <c r="D144" s="825">
        <v>42051.360000000001</v>
      </c>
      <c r="E144" s="825">
        <v>1233.74</v>
      </c>
      <c r="F144" s="825">
        <v>1233.74</v>
      </c>
      <c r="G144" s="825">
        <v>43285.1</v>
      </c>
      <c r="H144" s="825">
        <v>43285.1</v>
      </c>
      <c r="I144" s="825">
        <v>0</v>
      </c>
      <c r="J144" s="825">
        <v>0</v>
      </c>
      <c r="K144" s="819">
        <f t="shared" si="15"/>
        <v>-43285.1</v>
      </c>
    </row>
    <row r="145" spans="1:13" x14ac:dyDescent="0.25">
      <c r="A145" s="823" t="s">
        <v>1038</v>
      </c>
      <c r="B145" s="823" t="s">
        <v>1039</v>
      </c>
      <c r="C145" s="825">
        <v>26615.47</v>
      </c>
      <c r="D145" s="825">
        <v>26615.47</v>
      </c>
      <c r="E145" s="825">
        <v>1193.74</v>
      </c>
      <c r="F145" s="825">
        <v>1193.74</v>
      </c>
      <c r="G145" s="825">
        <v>27809.21</v>
      </c>
      <c r="H145" s="825">
        <v>27809.21</v>
      </c>
      <c r="I145" s="825">
        <v>0</v>
      </c>
      <c r="J145" s="825">
        <v>0</v>
      </c>
      <c r="K145" s="819">
        <f t="shared" si="15"/>
        <v>-27809.21</v>
      </c>
      <c r="L145" s="820" t="s">
        <v>1040</v>
      </c>
      <c r="M145" s="830">
        <f t="shared" ref="M145:M155" si="19">K145</f>
        <v>-27809.21</v>
      </c>
    </row>
    <row r="146" spans="1:13" x14ac:dyDescent="0.25">
      <c r="A146" s="823" t="s">
        <v>1041</v>
      </c>
      <c r="B146" s="823" t="s">
        <v>1042</v>
      </c>
      <c r="C146" s="825">
        <v>15435.89</v>
      </c>
      <c r="D146" s="825">
        <v>15435.89</v>
      </c>
      <c r="E146" s="825">
        <v>40</v>
      </c>
      <c r="F146" s="825">
        <v>40</v>
      </c>
      <c r="G146" s="825">
        <v>15475.89</v>
      </c>
      <c r="H146" s="825">
        <v>15475.89</v>
      </c>
      <c r="I146" s="825">
        <v>0</v>
      </c>
      <c r="J146" s="825">
        <v>0</v>
      </c>
      <c r="K146" s="819">
        <f t="shared" si="15"/>
        <v>-15475.89</v>
      </c>
      <c r="L146" s="820" t="s">
        <v>1028</v>
      </c>
      <c r="M146" s="830">
        <f t="shared" si="19"/>
        <v>-15475.89</v>
      </c>
    </row>
    <row r="147" spans="1:13" x14ac:dyDescent="0.25">
      <c r="A147" s="823" t="s">
        <v>1043</v>
      </c>
      <c r="B147" s="823" t="s">
        <v>1044</v>
      </c>
      <c r="C147" s="825">
        <v>656782.07000000007</v>
      </c>
      <c r="D147" s="825">
        <v>656782.07000000007</v>
      </c>
      <c r="E147" s="825">
        <v>55587.18</v>
      </c>
      <c r="F147" s="825">
        <v>55587.18</v>
      </c>
      <c r="G147" s="825">
        <v>712369.25</v>
      </c>
      <c r="H147" s="825">
        <v>712369.25</v>
      </c>
      <c r="I147" s="825">
        <v>0</v>
      </c>
      <c r="J147" s="825">
        <v>0</v>
      </c>
      <c r="K147" s="819">
        <f t="shared" si="15"/>
        <v>-712369.25</v>
      </c>
      <c r="L147" s="820" t="s">
        <v>1045</v>
      </c>
      <c r="M147" s="830">
        <f t="shared" si="19"/>
        <v>-712369.25</v>
      </c>
    </row>
    <row r="148" spans="1:13" x14ac:dyDescent="0.25">
      <c r="A148" s="823" t="s">
        <v>1046</v>
      </c>
      <c r="B148" s="823" t="s">
        <v>1047</v>
      </c>
      <c r="C148" s="825">
        <v>184483.94</v>
      </c>
      <c r="D148" s="825">
        <v>184483.94</v>
      </c>
      <c r="E148" s="825">
        <v>20218.670000000002</v>
      </c>
      <c r="F148" s="825">
        <v>20218.670000000002</v>
      </c>
      <c r="G148" s="825">
        <v>204702.61000000002</v>
      </c>
      <c r="H148" s="825">
        <v>204702.61000000002</v>
      </c>
      <c r="I148" s="825">
        <v>0</v>
      </c>
      <c r="J148" s="825">
        <v>0</v>
      </c>
      <c r="K148" s="819">
        <f t="shared" si="15"/>
        <v>-204702.61000000002</v>
      </c>
      <c r="L148" s="820" t="s">
        <v>1040</v>
      </c>
      <c r="M148" s="830">
        <f t="shared" si="19"/>
        <v>-204702.61000000002</v>
      </c>
    </row>
    <row r="149" spans="1:13" x14ac:dyDescent="0.25">
      <c r="A149" s="823" t="s">
        <v>1048</v>
      </c>
      <c r="B149" s="823" t="s">
        <v>1049</v>
      </c>
      <c r="C149" s="825">
        <v>76793.540000000008</v>
      </c>
      <c r="D149" s="825">
        <v>76793.540000000008</v>
      </c>
      <c r="E149" s="825">
        <v>6623.72</v>
      </c>
      <c r="F149" s="825">
        <v>6623.72</v>
      </c>
      <c r="G149" s="825">
        <v>83417.259999999995</v>
      </c>
      <c r="H149" s="825">
        <v>83417.259999999995</v>
      </c>
      <c r="I149" s="825">
        <v>0</v>
      </c>
      <c r="J149" s="825">
        <v>0</v>
      </c>
      <c r="K149" s="819">
        <f t="shared" si="15"/>
        <v>-83417.259999999995</v>
      </c>
      <c r="L149" s="820" t="s">
        <v>1040</v>
      </c>
      <c r="M149" s="830">
        <f t="shared" si="19"/>
        <v>-83417.259999999995</v>
      </c>
    </row>
    <row r="150" spans="1:13" x14ac:dyDescent="0.25">
      <c r="A150" s="823" t="s">
        <v>1050</v>
      </c>
      <c r="B150" s="823" t="s">
        <v>1051</v>
      </c>
      <c r="C150" s="825">
        <v>127115.47</v>
      </c>
      <c r="D150" s="825">
        <v>127115.47</v>
      </c>
      <c r="E150" s="825">
        <v>2452.21</v>
      </c>
      <c r="F150" s="825">
        <v>2452.21</v>
      </c>
      <c r="G150" s="825">
        <v>129567.68000000001</v>
      </c>
      <c r="H150" s="825">
        <v>129567.68000000001</v>
      </c>
      <c r="I150" s="825">
        <v>0</v>
      </c>
      <c r="J150" s="825">
        <v>0</v>
      </c>
      <c r="K150" s="819">
        <f t="shared" si="15"/>
        <v>-129567.68000000001</v>
      </c>
      <c r="L150" s="820" t="s">
        <v>1040</v>
      </c>
      <c r="M150" s="830">
        <f t="shared" si="19"/>
        <v>-129567.68000000001</v>
      </c>
    </row>
    <row r="151" spans="1:13" x14ac:dyDescent="0.25">
      <c r="A151" s="823" t="s">
        <v>1052</v>
      </c>
      <c r="B151" s="823" t="s">
        <v>1053</v>
      </c>
      <c r="C151" s="825">
        <v>4895173.79</v>
      </c>
      <c r="D151" s="825">
        <v>4895173.79</v>
      </c>
      <c r="E151" s="825">
        <v>798655.87</v>
      </c>
      <c r="F151" s="825">
        <v>798655.87</v>
      </c>
      <c r="G151" s="825">
        <v>5693829.6600000001</v>
      </c>
      <c r="H151" s="825">
        <v>5693829.6600000001</v>
      </c>
      <c r="I151" s="825">
        <v>0</v>
      </c>
      <c r="J151" s="825">
        <v>0</v>
      </c>
      <c r="K151" s="819">
        <f t="shared" si="15"/>
        <v>-5693829.6600000001</v>
      </c>
      <c r="L151" s="820" t="s">
        <v>1040</v>
      </c>
      <c r="M151" s="830">
        <f t="shared" si="19"/>
        <v>-5693829.6600000001</v>
      </c>
    </row>
    <row r="152" spans="1:13" x14ac:dyDescent="0.25">
      <c r="A152" s="823" t="s">
        <v>1054</v>
      </c>
      <c r="B152" s="823" t="s">
        <v>1055</v>
      </c>
      <c r="C152" s="825">
        <v>17589.05</v>
      </c>
      <c r="D152" s="825">
        <v>17589.05</v>
      </c>
      <c r="E152" s="825">
        <v>792</v>
      </c>
      <c r="F152" s="825">
        <v>792</v>
      </c>
      <c r="G152" s="825">
        <v>18381.05</v>
      </c>
      <c r="H152" s="825">
        <v>18381.05</v>
      </c>
      <c r="I152" s="825">
        <v>0</v>
      </c>
      <c r="J152" s="825">
        <v>0</v>
      </c>
      <c r="K152" s="819">
        <f t="shared" si="15"/>
        <v>-18381.05</v>
      </c>
      <c r="L152" s="820" t="s">
        <v>1040</v>
      </c>
      <c r="M152" s="830">
        <f t="shared" si="19"/>
        <v>-18381.05</v>
      </c>
    </row>
    <row r="153" spans="1:13" x14ac:dyDescent="0.25">
      <c r="A153" s="823" t="s">
        <v>1056</v>
      </c>
      <c r="B153" s="823" t="s">
        <v>1057</v>
      </c>
      <c r="C153" s="825">
        <v>910183</v>
      </c>
      <c r="D153" s="825">
        <v>910183</v>
      </c>
      <c r="E153" s="825">
        <v>98787</v>
      </c>
      <c r="F153" s="825">
        <v>98787</v>
      </c>
      <c r="G153" s="825">
        <v>1008970</v>
      </c>
      <c r="H153" s="825">
        <v>1008970</v>
      </c>
      <c r="I153" s="825">
        <v>0</v>
      </c>
      <c r="J153" s="825">
        <v>0</v>
      </c>
      <c r="K153" s="819">
        <f t="shared" si="15"/>
        <v>-1008970</v>
      </c>
      <c r="L153" s="820" t="s">
        <v>1058</v>
      </c>
      <c r="M153" s="830">
        <f t="shared" si="19"/>
        <v>-1008970</v>
      </c>
    </row>
    <row r="154" spans="1:13" x14ac:dyDescent="0.25">
      <c r="A154" s="823" t="s">
        <v>1059</v>
      </c>
      <c r="B154" s="823" t="s">
        <v>1060</v>
      </c>
      <c r="C154" s="825">
        <v>41412.5</v>
      </c>
      <c r="D154" s="825">
        <v>41412.5</v>
      </c>
      <c r="E154" s="825">
        <v>8050</v>
      </c>
      <c r="F154" s="825">
        <v>8050</v>
      </c>
      <c r="G154" s="825">
        <v>49462.5</v>
      </c>
      <c r="H154" s="825">
        <v>49462.5</v>
      </c>
      <c r="I154" s="825">
        <v>0</v>
      </c>
      <c r="J154" s="825">
        <v>0</v>
      </c>
      <c r="K154" s="819">
        <f t="shared" si="15"/>
        <v>-49462.5</v>
      </c>
      <c r="L154" s="820" t="s">
        <v>1183</v>
      </c>
      <c r="M154" s="830">
        <f t="shared" si="19"/>
        <v>-49462.5</v>
      </c>
    </row>
    <row r="155" spans="1:13" x14ac:dyDescent="0.25">
      <c r="A155" s="823" t="s">
        <v>1061</v>
      </c>
      <c r="B155" s="823" t="s">
        <v>1062</v>
      </c>
      <c r="C155" s="825">
        <v>20480</v>
      </c>
      <c r="D155" s="825">
        <v>20480</v>
      </c>
      <c r="E155" s="825">
        <v>2223</v>
      </c>
      <c r="F155" s="825">
        <v>2223</v>
      </c>
      <c r="G155" s="825">
        <v>22703</v>
      </c>
      <c r="H155" s="825">
        <v>22703</v>
      </c>
      <c r="I155" s="825">
        <v>0</v>
      </c>
      <c r="J155" s="825">
        <v>0</v>
      </c>
      <c r="K155" s="819">
        <f t="shared" si="15"/>
        <v>-22703</v>
      </c>
      <c r="L155" s="820" t="s">
        <v>1184</v>
      </c>
      <c r="M155" s="830">
        <f t="shared" si="19"/>
        <v>-22703</v>
      </c>
    </row>
    <row r="156" spans="1:13" x14ac:dyDescent="0.25">
      <c r="A156" s="823" t="s">
        <v>1073</v>
      </c>
      <c r="B156" s="823" t="s">
        <v>1074</v>
      </c>
      <c r="C156" s="825">
        <v>20480</v>
      </c>
      <c r="D156" s="825">
        <v>20480</v>
      </c>
      <c r="E156" s="825">
        <v>2223</v>
      </c>
      <c r="F156" s="825">
        <v>2223</v>
      </c>
      <c r="G156" s="825">
        <v>22703</v>
      </c>
      <c r="H156" s="825">
        <v>22703</v>
      </c>
      <c r="I156" s="825">
        <v>0</v>
      </c>
      <c r="J156" s="825">
        <v>0</v>
      </c>
      <c r="K156" s="819">
        <f t="shared" si="15"/>
        <v>-22703</v>
      </c>
    </row>
    <row r="157" spans="1:13" x14ac:dyDescent="0.25">
      <c r="A157" s="823" t="s">
        <v>1175</v>
      </c>
      <c r="B157" s="823" t="s">
        <v>1176</v>
      </c>
      <c r="C157" s="825">
        <v>2273.0500000000002</v>
      </c>
      <c r="D157" s="825">
        <v>2273.0500000000002</v>
      </c>
      <c r="E157" s="825">
        <v>271.70999999999998</v>
      </c>
      <c r="F157" s="825">
        <v>271.70999999999998</v>
      </c>
      <c r="G157" s="825">
        <v>2544.7600000000002</v>
      </c>
      <c r="H157" s="825">
        <v>2544.7600000000002</v>
      </c>
      <c r="I157" s="825">
        <v>0</v>
      </c>
      <c r="J157" s="825">
        <v>0</v>
      </c>
      <c r="K157" s="819">
        <f t="shared" si="15"/>
        <v>-2544.7600000000002</v>
      </c>
      <c r="L157" s="820" t="s">
        <v>1040</v>
      </c>
      <c r="M157" s="830">
        <f>K157</f>
        <v>-2544.7600000000002</v>
      </c>
    </row>
    <row r="158" spans="1:13" x14ac:dyDescent="0.25">
      <c r="A158" s="823" t="s">
        <v>1075</v>
      </c>
      <c r="B158" s="823" t="s">
        <v>1076</v>
      </c>
      <c r="C158" s="825">
        <v>36200.29</v>
      </c>
      <c r="D158" s="825">
        <v>36200.29</v>
      </c>
      <c r="E158" s="825">
        <v>57083.85</v>
      </c>
      <c r="F158" s="825">
        <v>57083.85</v>
      </c>
      <c r="G158" s="825">
        <v>93284.14</v>
      </c>
      <c r="H158" s="825">
        <v>93284.14</v>
      </c>
      <c r="I158" s="825">
        <v>0</v>
      </c>
      <c r="J158" s="825">
        <v>0</v>
      </c>
      <c r="K158" s="819">
        <f t="shared" si="15"/>
        <v>-93284.14</v>
      </c>
      <c r="L158" s="820" t="s">
        <v>1040</v>
      </c>
      <c r="M158" s="830">
        <f>K158</f>
        <v>-93284.14</v>
      </c>
    </row>
    <row r="159" spans="1:13" x14ac:dyDescent="0.25">
      <c r="A159" s="823" t="s">
        <v>1077</v>
      </c>
      <c r="B159" s="823" t="s">
        <v>1078</v>
      </c>
      <c r="C159" s="825">
        <v>3897.78</v>
      </c>
      <c r="D159" s="825">
        <v>3897.78</v>
      </c>
      <c r="E159" s="825">
        <v>1341</v>
      </c>
      <c r="F159" s="825">
        <v>1341</v>
      </c>
      <c r="G159" s="825">
        <v>5238.78</v>
      </c>
      <c r="H159" s="825">
        <v>5238.78</v>
      </c>
      <c r="I159" s="825">
        <v>0</v>
      </c>
      <c r="J159" s="825">
        <v>0</v>
      </c>
      <c r="K159" s="819">
        <f t="shared" si="15"/>
        <v>-5238.78</v>
      </c>
    </row>
    <row r="160" spans="1:13" x14ac:dyDescent="0.25">
      <c r="A160" s="823" t="s">
        <v>1079</v>
      </c>
      <c r="B160" s="823" t="s">
        <v>1080</v>
      </c>
      <c r="C160" s="825">
        <v>12843.5</v>
      </c>
      <c r="D160" s="825">
        <v>12843.5</v>
      </c>
      <c r="E160" s="825">
        <v>4000</v>
      </c>
      <c r="F160" s="825">
        <v>4000</v>
      </c>
      <c r="G160" s="825">
        <v>16843.5</v>
      </c>
      <c r="H160" s="825">
        <v>16843.5</v>
      </c>
      <c r="I160" s="825">
        <v>0</v>
      </c>
      <c r="J160" s="825">
        <v>0</v>
      </c>
      <c r="K160" s="819">
        <f t="shared" si="15"/>
        <v>-16843.5</v>
      </c>
    </row>
    <row r="161" spans="1:13" x14ac:dyDescent="0.25">
      <c r="A161" s="823" t="s">
        <v>1164</v>
      </c>
      <c r="B161" s="823" t="s">
        <v>1165</v>
      </c>
      <c r="C161" s="825">
        <v>0</v>
      </c>
      <c r="D161" s="825">
        <v>0</v>
      </c>
      <c r="E161" s="825">
        <v>49833.85</v>
      </c>
      <c r="F161" s="825">
        <v>49833.85</v>
      </c>
      <c r="G161" s="825">
        <v>49833.85</v>
      </c>
      <c r="H161" s="825">
        <v>49833.85</v>
      </c>
      <c r="I161" s="825">
        <v>0</v>
      </c>
      <c r="J161" s="825">
        <v>0</v>
      </c>
      <c r="K161" s="819">
        <f t="shared" si="15"/>
        <v>-49833.85</v>
      </c>
    </row>
    <row r="162" spans="1:13" x14ac:dyDescent="0.25">
      <c r="A162" s="823" t="s">
        <v>1081</v>
      </c>
      <c r="B162" s="823" t="s">
        <v>1082</v>
      </c>
      <c r="C162" s="825">
        <v>19459.010000000002</v>
      </c>
      <c r="D162" s="825">
        <v>19459.010000000002</v>
      </c>
      <c r="E162" s="825">
        <v>1909</v>
      </c>
      <c r="F162" s="825">
        <v>1909</v>
      </c>
      <c r="G162" s="825">
        <v>21368.010000000002</v>
      </c>
      <c r="H162" s="825">
        <v>21368.010000000002</v>
      </c>
      <c r="I162" s="825">
        <v>0</v>
      </c>
      <c r="J162" s="825">
        <v>0</v>
      </c>
      <c r="K162" s="819">
        <f t="shared" si="15"/>
        <v>-21368.010000000002</v>
      </c>
    </row>
    <row r="163" spans="1:13" x14ac:dyDescent="0.25">
      <c r="A163" s="823" t="s">
        <v>1083</v>
      </c>
      <c r="B163" s="823" t="s">
        <v>1084</v>
      </c>
      <c r="C163" s="825">
        <v>540229.98</v>
      </c>
      <c r="D163" s="825">
        <v>540229.98</v>
      </c>
      <c r="E163" s="825">
        <v>15842.24</v>
      </c>
      <c r="F163" s="825">
        <v>15842.24</v>
      </c>
      <c r="G163" s="825">
        <v>556072.22</v>
      </c>
      <c r="H163" s="825">
        <v>556072.22</v>
      </c>
      <c r="I163" s="825">
        <v>0</v>
      </c>
      <c r="J163" s="825">
        <v>0</v>
      </c>
      <c r="K163" s="819">
        <f t="shared" si="15"/>
        <v>-556072.22</v>
      </c>
      <c r="L163" s="820" t="s">
        <v>1185</v>
      </c>
      <c r="M163" s="830">
        <f t="shared" ref="M163:M165" si="20">K163</f>
        <v>-556072.22</v>
      </c>
    </row>
    <row r="164" spans="1:13" x14ac:dyDescent="0.25">
      <c r="A164" s="823" t="s">
        <v>1086</v>
      </c>
      <c r="B164" s="823" t="s">
        <v>1087</v>
      </c>
      <c r="C164" s="825">
        <v>156060.26</v>
      </c>
      <c r="D164" s="825">
        <v>156060.26</v>
      </c>
      <c r="E164" s="825">
        <v>1395.26</v>
      </c>
      <c r="F164" s="825">
        <v>1395.26</v>
      </c>
      <c r="G164" s="825">
        <v>157455.51999999999</v>
      </c>
      <c r="H164" s="825">
        <v>157455.51999999999</v>
      </c>
      <c r="I164" s="825">
        <v>0</v>
      </c>
      <c r="J164" s="825">
        <v>0</v>
      </c>
      <c r="K164" s="819">
        <f t="shared" si="15"/>
        <v>-157455.51999999999</v>
      </c>
      <c r="L164" s="820" t="s">
        <v>1088</v>
      </c>
      <c r="M164" s="830">
        <f t="shared" si="20"/>
        <v>-157455.51999999999</v>
      </c>
    </row>
    <row r="165" spans="1:13" x14ac:dyDescent="0.25">
      <c r="A165" s="823" t="s">
        <v>1089</v>
      </c>
      <c r="B165" s="823" t="s">
        <v>1090</v>
      </c>
      <c r="C165" s="825">
        <v>225319.96</v>
      </c>
      <c r="D165" s="825">
        <v>225319.96</v>
      </c>
      <c r="E165" s="825">
        <v>16431.29</v>
      </c>
      <c r="F165" s="825">
        <v>16431.29</v>
      </c>
      <c r="G165" s="825">
        <v>241751.25</v>
      </c>
      <c r="H165" s="825">
        <v>241751.25</v>
      </c>
      <c r="I165" s="825">
        <v>0</v>
      </c>
      <c r="J165" s="825">
        <v>0</v>
      </c>
      <c r="K165" s="819">
        <f t="shared" si="15"/>
        <v>-241751.25</v>
      </c>
      <c r="L165" s="821" t="s">
        <v>1091</v>
      </c>
      <c r="M165" s="830">
        <f t="shared" si="20"/>
        <v>-241751.25</v>
      </c>
    </row>
    <row r="166" spans="1:13" x14ac:dyDescent="0.25">
      <c r="A166" s="823" t="s">
        <v>1092</v>
      </c>
      <c r="B166" s="823" t="s">
        <v>1093</v>
      </c>
      <c r="C166" s="825">
        <v>5126.53</v>
      </c>
      <c r="D166" s="825">
        <v>5126.53</v>
      </c>
      <c r="E166" s="825">
        <v>997.68000000000006</v>
      </c>
      <c r="F166" s="825">
        <v>997.68000000000006</v>
      </c>
      <c r="G166" s="825">
        <v>6124.21</v>
      </c>
      <c r="H166" s="825">
        <v>6124.21</v>
      </c>
      <c r="I166" s="825">
        <v>0</v>
      </c>
      <c r="J166" s="825">
        <v>0</v>
      </c>
      <c r="K166" s="819">
        <f t="shared" si="15"/>
        <v>-6124.21</v>
      </c>
    </row>
    <row r="167" spans="1:13" x14ac:dyDescent="0.25">
      <c r="A167" s="823" t="s">
        <v>1094</v>
      </c>
      <c r="B167" s="823" t="s">
        <v>1095</v>
      </c>
      <c r="C167" s="825">
        <v>188095.02</v>
      </c>
      <c r="D167" s="825">
        <v>188095.02</v>
      </c>
      <c r="E167" s="825">
        <v>13415.84</v>
      </c>
      <c r="F167" s="825">
        <v>13415.84</v>
      </c>
      <c r="G167" s="825">
        <v>201510.86000000002</v>
      </c>
      <c r="H167" s="825">
        <v>201510.86000000002</v>
      </c>
      <c r="I167" s="825">
        <v>0</v>
      </c>
      <c r="J167" s="825">
        <v>0</v>
      </c>
      <c r="K167" s="819">
        <f t="shared" si="15"/>
        <v>-201510.86000000002</v>
      </c>
    </row>
    <row r="168" spans="1:13" x14ac:dyDescent="0.25">
      <c r="A168" s="823" t="s">
        <v>1096</v>
      </c>
      <c r="B168" s="823" t="s">
        <v>1097</v>
      </c>
      <c r="C168" s="825">
        <v>23531.670000000002</v>
      </c>
      <c r="D168" s="825">
        <v>23531.670000000002</v>
      </c>
      <c r="E168" s="825">
        <v>2017.77</v>
      </c>
      <c r="F168" s="825">
        <v>2017.77</v>
      </c>
      <c r="G168" s="825">
        <v>25549.440000000002</v>
      </c>
      <c r="H168" s="825">
        <v>25549.440000000002</v>
      </c>
      <c r="I168" s="825">
        <v>0</v>
      </c>
      <c r="J168" s="825">
        <v>0</v>
      </c>
      <c r="K168" s="819">
        <f t="shared" si="15"/>
        <v>-25549.440000000002</v>
      </c>
    </row>
    <row r="169" spans="1:13" x14ac:dyDescent="0.25">
      <c r="A169" s="823" t="s">
        <v>1098</v>
      </c>
      <c r="B169" s="823" t="s">
        <v>1099</v>
      </c>
      <c r="C169" s="825">
        <v>8566.74</v>
      </c>
      <c r="D169" s="825">
        <v>8566.74</v>
      </c>
      <c r="E169" s="825">
        <v>0</v>
      </c>
      <c r="F169" s="825">
        <v>0</v>
      </c>
      <c r="G169" s="825">
        <v>8566.74</v>
      </c>
      <c r="H169" s="825">
        <v>8566.74</v>
      </c>
      <c r="I169" s="825">
        <v>0</v>
      </c>
      <c r="J169" s="825">
        <v>0</v>
      </c>
      <c r="K169" s="819">
        <f t="shared" si="15"/>
        <v>-8566.74</v>
      </c>
    </row>
    <row r="170" spans="1:13" x14ac:dyDescent="0.25">
      <c r="A170" s="823" t="s">
        <v>1100</v>
      </c>
      <c r="B170" s="823" t="s">
        <v>1101</v>
      </c>
      <c r="C170" s="825">
        <v>279330</v>
      </c>
      <c r="D170" s="825">
        <v>279330</v>
      </c>
      <c r="E170" s="825">
        <v>111265</v>
      </c>
      <c r="F170" s="825">
        <v>111265</v>
      </c>
      <c r="G170" s="825">
        <v>390595</v>
      </c>
      <c r="H170" s="825">
        <v>390595</v>
      </c>
      <c r="I170" s="825">
        <v>0</v>
      </c>
      <c r="J170" s="825">
        <v>0</v>
      </c>
      <c r="K170" s="819">
        <f t="shared" si="15"/>
        <v>-390595</v>
      </c>
      <c r="L170" s="821" t="s">
        <v>1102</v>
      </c>
      <c r="M170" s="830">
        <f t="shared" ref="M170:M174" si="21">K170</f>
        <v>-390595</v>
      </c>
    </row>
    <row r="171" spans="1:13" x14ac:dyDescent="0.25">
      <c r="A171" s="823" t="s">
        <v>1103</v>
      </c>
      <c r="B171" s="823" t="s">
        <v>1104</v>
      </c>
      <c r="C171" s="825">
        <v>16883509.23</v>
      </c>
      <c r="D171" s="825">
        <v>16883509.23</v>
      </c>
      <c r="E171" s="825">
        <v>2163391.7800000003</v>
      </c>
      <c r="F171" s="825">
        <v>2163391.7800000003</v>
      </c>
      <c r="G171" s="825">
        <v>19046901.010000002</v>
      </c>
      <c r="H171" s="825">
        <v>19046901.010000002</v>
      </c>
      <c r="I171" s="825">
        <v>0</v>
      </c>
      <c r="J171" s="825">
        <v>0</v>
      </c>
      <c r="K171" s="819">
        <f>H171</f>
        <v>19046901.010000002</v>
      </c>
      <c r="L171" s="821" t="s">
        <v>1105</v>
      </c>
      <c r="M171" s="830">
        <f t="shared" si="21"/>
        <v>19046901.010000002</v>
      </c>
    </row>
    <row r="172" spans="1:13" x14ac:dyDescent="0.25">
      <c r="A172" s="823" t="s">
        <v>1106</v>
      </c>
      <c r="B172" s="823" t="s">
        <v>1107</v>
      </c>
      <c r="C172" s="825">
        <v>9787304.1799999997</v>
      </c>
      <c r="D172" s="825">
        <v>9787304.1799999997</v>
      </c>
      <c r="E172" s="825">
        <v>315135.66000000003</v>
      </c>
      <c r="F172" s="825">
        <v>315135.66000000003</v>
      </c>
      <c r="G172" s="825">
        <v>10102439.84</v>
      </c>
      <c r="H172" s="825">
        <v>10102439.84</v>
      </c>
      <c r="I172" s="825">
        <v>0</v>
      </c>
      <c r="J172" s="825">
        <v>0</v>
      </c>
      <c r="K172" s="819">
        <f t="shared" ref="K172:K185" si="22">H172</f>
        <v>10102439.84</v>
      </c>
      <c r="L172" s="821" t="s">
        <v>1108</v>
      </c>
      <c r="M172" s="830">
        <f t="shared" si="21"/>
        <v>10102439.84</v>
      </c>
    </row>
    <row r="173" spans="1:13" x14ac:dyDescent="0.25">
      <c r="A173" s="823" t="s">
        <v>1109</v>
      </c>
      <c r="B173" s="823" t="s">
        <v>1110</v>
      </c>
      <c r="C173" s="825">
        <v>1775535.54</v>
      </c>
      <c r="D173" s="825">
        <v>1775535.54</v>
      </c>
      <c r="E173" s="825">
        <v>162639.66</v>
      </c>
      <c r="F173" s="825">
        <v>162639.66</v>
      </c>
      <c r="G173" s="825">
        <v>1938175.2</v>
      </c>
      <c r="H173" s="825">
        <v>1938175.2</v>
      </c>
      <c r="I173" s="825">
        <v>0</v>
      </c>
      <c r="J173" s="825">
        <v>0</v>
      </c>
      <c r="K173" s="819">
        <f t="shared" si="22"/>
        <v>1938175.2</v>
      </c>
      <c r="L173" s="821" t="s">
        <v>1111</v>
      </c>
      <c r="M173" s="830">
        <f t="shared" si="21"/>
        <v>1938175.2</v>
      </c>
    </row>
    <row r="174" spans="1:13" x14ac:dyDescent="0.25">
      <c r="A174" s="823" t="s">
        <v>1112</v>
      </c>
      <c r="B174" s="823" t="s">
        <v>1113</v>
      </c>
      <c r="C174" s="825">
        <v>73287.210000000006</v>
      </c>
      <c r="D174" s="825">
        <v>73287.210000000006</v>
      </c>
      <c r="E174" s="825">
        <v>4192.3</v>
      </c>
      <c r="F174" s="825">
        <v>4192.3</v>
      </c>
      <c r="G174" s="825">
        <v>77479.509999999995</v>
      </c>
      <c r="H174" s="825">
        <v>77479.509999999995</v>
      </c>
      <c r="I174" s="825">
        <v>0</v>
      </c>
      <c r="J174" s="825">
        <v>0</v>
      </c>
      <c r="K174" s="819">
        <f t="shared" si="22"/>
        <v>77479.509999999995</v>
      </c>
      <c r="L174" s="820" t="s">
        <v>1114</v>
      </c>
      <c r="M174" s="830">
        <f t="shared" si="21"/>
        <v>77479.509999999995</v>
      </c>
    </row>
    <row r="175" spans="1:13" x14ac:dyDescent="0.25">
      <c r="A175" s="823" t="s">
        <v>1115</v>
      </c>
      <c r="B175" s="823" t="s">
        <v>1116</v>
      </c>
      <c r="C175" s="825">
        <v>3978554.27</v>
      </c>
      <c r="D175" s="825">
        <v>3978554.27</v>
      </c>
      <c r="E175" s="825">
        <v>274086.46000000002</v>
      </c>
      <c r="F175" s="825">
        <v>274086.46000000002</v>
      </c>
      <c r="G175" s="825">
        <v>4252640.7300000004</v>
      </c>
      <c r="H175" s="825">
        <v>4252640.7300000004</v>
      </c>
      <c r="I175" s="825">
        <v>0</v>
      </c>
      <c r="J175" s="825">
        <v>0</v>
      </c>
      <c r="K175" s="819">
        <f t="shared" si="22"/>
        <v>4252640.7300000004</v>
      </c>
    </row>
    <row r="176" spans="1:13" x14ac:dyDescent="0.25">
      <c r="A176" s="823" t="s">
        <v>1117</v>
      </c>
      <c r="B176" s="823" t="s">
        <v>1118</v>
      </c>
      <c r="C176" s="825">
        <v>2379183.79</v>
      </c>
      <c r="D176" s="825">
        <v>2379183.79</v>
      </c>
      <c r="E176" s="825">
        <v>60970.91</v>
      </c>
      <c r="F176" s="825">
        <v>60970.91</v>
      </c>
      <c r="G176" s="825">
        <v>2440154.7000000002</v>
      </c>
      <c r="H176" s="825">
        <v>2440154.7000000002</v>
      </c>
      <c r="I176" s="825">
        <v>0</v>
      </c>
      <c r="J176" s="825">
        <v>0</v>
      </c>
      <c r="K176" s="819">
        <f t="shared" si="22"/>
        <v>2440154.7000000002</v>
      </c>
      <c r="L176" s="820" t="s">
        <v>1119</v>
      </c>
      <c r="M176" s="830">
        <f t="shared" ref="M176:M180" si="23">K176</f>
        <v>2440154.7000000002</v>
      </c>
    </row>
    <row r="177" spans="1:13" x14ac:dyDescent="0.25">
      <c r="A177" s="823" t="s">
        <v>1120</v>
      </c>
      <c r="B177" s="823" t="s">
        <v>1121</v>
      </c>
      <c r="C177" s="825">
        <v>1599370.48</v>
      </c>
      <c r="D177" s="825">
        <v>1599370.48</v>
      </c>
      <c r="E177" s="825">
        <v>213115.55000000002</v>
      </c>
      <c r="F177" s="825">
        <v>213115.55000000002</v>
      </c>
      <c r="G177" s="825">
        <v>1812486.03</v>
      </c>
      <c r="H177" s="825">
        <v>1812486.03</v>
      </c>
      <c r="I177" s="825">
        <v>0</v>
      </c>
      <c r="J177" s="825">
        <v>0</v>
      </c>
      <c r="K177" s="819">
        <f t="shared" si="22"/>
        <v>1812486.03</v>
      </c>
      <c r="L177" s="821" t="s">
        <v>1122</v>
      </c>
      <c r="M177" s="830">
        <f t="shared" si="23"/>
        <v>1812486.03</v>
      </c>
    </row>
    <row r="178" spans="1:13" x14ac:dyDescent="0.25">
      <c r="A178" s="823" t="s">
        <v>1127</v>
      </c>
      <c r="B178" s="823" t="s">
        <v>1128</v>
      </c>
      <c r="C178" s="825">
        <v>-173210.36000000002</v>
      </c>
      <c r="D178" s="825">
        <v>-173210.36000000002</v>
      </c>
      <c r="E178" s="825">
        <v>0</v>
      </c>
      <c r="F178" s="825">
        <v>0</v>
      </c>
      <c r="G178" s="825">
        <v>-173210.36000000002</v>
      </c>
      <c r="H178" s="825">
        <v>-173210.36000000002</v>
      </c>
      <c r="I178" s="825">
        <v>0</v>
      </c>
      <c r="J178" s="825">
        <v>0</v>
      </c>
      <c r="K178" s="819">
        <f t="shared" si="22"/>
        <v>-173210.36000000002</v>
      </c>
      <c r="L178" s="820" t="s">
        <v>1128</v>
      </c>
      <c r="M178" s="830">
        <f t="shared" si="23"/>
        <v>-173210.36000000002</v>
      </c>
    </row>
    <row r="179" spans="1:13" x14ac:dyDescent="0.25">
      <c r="A179" s="823" t="s">
        <v>1129</v>
      </c>
      <c r="B179" s="823" t="s">
        <v>1130</v>
      </c>
      <c r="C179" s="825">
        <v>10028267.380000001</v>
      </c>
      <c r="D179" s="825">
        <v>10028267.380000001</v>
      </c>
      <c r="E179" s="825">
        <v>583037.9</v>
      </c>
      <c r="F179" s="825">
        <v>583037.9</v>
      </c>
      <c r="G179" s="825">
        <v>10611305.279999999</v>
      </c>
      <c r="H179" s="825">
        <v>10611305.279999999</v>
      </c>
      <c r="I179" s="825">
        <v>0</v>
      </c>
      <c r="J179" s="825">
        <v>0</v>
      </c>
      <c r="K179" s="819">
        <f t="shared" si="22"/>
        <v>10611305.279999999</v>
      </c>
      <c r="L179" s="820" t="s">
        <v>1131</v>
      </c>
      <c r="M179" s="830">
        <f t="shared" si="23"/>
        <v>10611305.279999999</v>
      </c>
    </row>
    <row r="180" spans="1:13" x14ac:dyDescent="0.25">
      <c r="A180" s="823" t="s">
        <v>1132</v>
      </c>
      <c r="B180" s="823" t="s">
        <v>1114</v>
      </c>
      <c r="C180" s="825">
        <v>54124.47</v>
      </c>
      <c r="D180" s="825">
        <v>54124.47</v>
      </c>
      <c r="E180" s="825">
        <v>49289.270000000004</v>
      </c>
      <c r="F180" s="825">
        <v>49289.270000000004</v>
      </c>
      <c r="G180" s="825">
        <v>103413.74</v>
      </c>
      <c r="H180" s="825">
        <v>103413.74</v>
      </c>
      <c r="I180" s="825">
        <v>0</v>
      </c>
      <c r="J180" s="825">
        <v>0</v>
      </c>
      <c r="K180" s="819">
        <f t="shared" si="22"/>
        <v>103413.74</v>
      </c>
      <c r="L180" s="820" t="s">
        <v>1114</v>
      </c>
      <c r="M180" s="830">
        <f t="shared" si="23"/>
        <v>103413.74</v>
      </c>
    </row>
    <row r="181" spans="1:13" x14ac:dyDescent="0.25">
      <c r="A181" s="823" t="s">
        <v>1133</v>
      </c>
      <c r="B181" s="823" t="s">
        <v>1134</v>
      </c>
      <c r="C181" s="825">
        <v>48680.13</v>
      </c>
      <c r="D181" s="825">
        <v>48680.13</v>
      </c>
      <c r="E181" s="825">
        <v>0</v>
      </c>
      <c r="F181" s="825">
        <v>0</v>
      </c>
      <c r="G181" s="825">
        <v>48680.13</v>
      </c>
      <c r="H181" s="825">
        <v>48680.13</v>
      </c>
      <c r="I181" s="825">
        <v>0</v>
      </c>
      <c r="J181" s="825">
        <v>0</v>
      </c>
      <c r="K181" s="819">
        <f t="shared" si="22"/>
        <v>48680.13</v>
      </c>
    </row>
    <row r="182" spans="1:13" x14ac:dyDescent="0.25">
      <c r="A182" s="823" t="s">
        <v>1135</v>
      </c>
      <c r="B182" s="823" t="s">
        <v>1136</v>
      </c>
      <c r="C182" s="825">
        <v>5444.34</v>
      </c>
      <c r="D182" s="825">
        <v>5444.34</v>
      </c>
      <c r="E182" s="825">
        <v>49289.270000000004</v>
      </c>
      <c r="F182" s="825">
        <v>49289.270000000004</v>
      </c>
      <c r="G182" s="825">
        <v>54733.61</v>
      </c>
      <c r="H182" s="825">
        <v>54733.61</v>
      </c>
      <c r="I182" s="825">
        <v>0</v>
      </c>
      <c r="J182" s="825">
        <v>0</v>
      </c>
      <c r="K182" s="819">
        <f t="shared" si="22"/>
        <v>54733.61</v>
      </c>
    </row>
    <row r="183" spans="1:13" x14ac:dyDescent="0.25">
      <c r="A183" s="823" t="s">
        <v>1137</v>
      </c>
      <c r="B183" s="823" t="s">
        <v>1138</v>
      </c>
      <c r="C183" s="825">
        <v>448671.66000000003</v>
      </c>
      <c r="D183" s="825">
        <v>448671.66000000003</v>
      </c>
      <c r="E183" s="825">
        <v>0</v>
      </c>
      <c r="F183" s="825">
        <v>0</v>
      </c>
      <c r="G183" s="825">
        <v>448671.66000000003</v>
      </c>
      <c r="H183" s="825">
        <v>448671.66000000003</v>
      </c>
      <c r="I183" s="825">
        <v>0</v>
      </c>
      <c r="J183" s="825">
        <v>0</v>
      </c>
      <c r="K183" s="819">
        <f t="shared" si="22"/>
        <v>448671.66000000003</v>
      </c>
      <c r="L183" s="820" t="s">
        <v>1182</v>
      </c>
      <c r="M183" s="830">
        <f t="shared" ref="M183:M185" si="24">K183</f>
        <v>448671.66000000003</v>
      </c>
    </row>
    <row r="184" spans="1:13" x14ac:dyDescent="0.25">
      <c r="A184" s="823" t="s">
        <v>1140</v>
      </c>
      <c r="B184" s="823" t="s">
        <v>1141</v>
      </c>
      <c r="C184" s="825">
        <v>3992.15</v>
      </c>
      <c r="D184" s="825">
        <v>3992.15</v>
      </c>
      <c r="E184" s="825">
        <v>0.28000000000000003</v>
      </c>
      <c r="F184" s="825">
        <v>0.28000000000000003</v>
      </c>
      <c r="G184" s="825">
        <v>3992.4300000000003</v>
      </c>
      <c r="H184" s="825">
        <v>3992.4300000000003</v>
      </c>
      <c r="I184" s="825">
        <v>0</v>
      </c>
      <c r="J184" s="825">
        <v>0</v>
      </c>
      <c r="K184" s="819">
        <f t="shared" si="22"/>
        <v>3992.4300000000003</v>
      </c>
      <c r="L184" s="820" t="s">
        <v>1142</v>
      </c>
      <c r="M184" s="830">
        <f t="shared" si="24"/>
        <v>3992.4300000000003</v>
      </c>
    </row>
    <row r="185" spans="1:13" x14ac:dyDescent="0.25">
      <c r="A185" s="823" t="s">
        <v>1145</v>
      </c>
      <c r="B185" s="823" t="s">
        <v>1146</v>
      </c>
      <c r="C185" s="825">
        <v>9452.2900000000009</v>
      </c>
      <c r="D185" s="825">
        <v>9452.2900000000009</v>
      </c>
      <c r="E185" s="825">
        <v>0</v>
      </c>
      <c r="F185" s="825">
        <v>0</v>
      </c>
      <c r="G185" s="825">
        <v>9452.2900000000009</v>
      </c>
      <c r="H185" s="825">
        <v>9452.2900000000009</v>
      </c>
      <c r="I185" s="825">
        <v>0</v>
      </c>
      <c r="J185" s="825">
        <v>0</v>
      </c>
      <c r="K185" s="819">
        <f t="shared" si="22"/>
        <v>9452.2900000000009</v>
      </c>
      <c r="L185" s="821" t="s">
        <v>1180</v>
      </c>
      <c r="M185" s="830">
        <f t="shared" si="24"/>
        <v>9452.2900000000009</v>
      </c>
    </row>
    <row r="186" spans="1:13" x14ac:dyDescent="0.25">
      <c r="A186" s="823" t="s">
        <v>162</v>
      </c>
      <c r="B186" s="823" t="s">
        <v>1147</v>
      </c>
      <c r="C186" s="825">
        <v>310510360.63</v>
      </c>
      <c r="D186" s="825">
        <v>310510360.63</v>
      </c>
      <c r="E186" s="825">
        <v>37573415.07</v>
      </c>
      <c r="F186" s="825">
        <v>37573415.07</v>
      </c>
      <c r="G186" s="825">
        <v>348083775.69999999</v>
      </c>
      <c r="H186" s="825">
        <v>348083775.69999999</v>
      </c>
      <c r="I186" s="825">
        <v>24882546.789999999</v>
      </c>
      <c r="J186" s="825">
        <v>24882546.789999999</v>
      </c>
      <c r="K186" s="640">
        <f>SUBTOTAL(9,K4:K185)</f>
        <v>1927787.1299999997</v>
      </c>
      <c r="M186" s="819">
        <f>SUM(M4:M123)</f>
        <v>-456351.18999999954</v>
      </c>
    </row>
  </sheetData>
  <autoFilter ref="A8:L8"/>
  <mergeCells count="13">
    <mergeCell ref="A5:G5"/>
    <mergeCell ref="H5:J5"/>
    <mergeCell ref="A1:G1"/>
    <mergeCell ref="H1:J1"/>
    <mergeCell ref="A2:G2"/>
    <mergeCell ref="H2:J2"/>
    <mergeCell ref="A3:J4"/>
    <mergeCell ref="A6:J6"/>
    <mergeCell ref="A7:B7"/>
    <mergeCell ref="C7:D7"/>
    <mergeCell ref="E7:F7"/>
    <mergeCell ref="G7:H7"/>
    <mergeCell ref="I7:J7"/>
  </mergeCell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1"/>
  <sheetViews>
    <sheetView workbookViewId="0">
      <selection activeCell="D6" sqref="D6"/>
    </sheetView>
  </sheetViews>
  <sheetFormatPr defaultColWidth="8" defaultRowHeight="13.8" x14ac:dyDescent="0.25"/>
  <cols>
    <col min="1" max="1" width="10.109375" style="890" customWidth="1"/>
    <col min="2" max="3" width="9.5546875" style="890" customWidth="1"/>
    <col min="4" max="4" width="10.88671875" style="890" customWidth="1"/>
    <col min="5" max="5" width="28.77734375" style="890" customWidth="1"/>
    <col min="6" max="6" width="8" style="890" customWidth="1"/>
    <col min="7" max="16384" width="8" style="890"/>
  </cols>
  <sheetData>
    <row r="1" spans="1:5" x14ac:dyDescent="0.25">
      <c r="A1" s="889" t="s">
        <v>1569</v>
      </c>
      <c r="B1" s="889"/>
    </row>
    <row r="3" spans="1:5" x14ac:dyDescent="0.25">
      <c r="A3" s="889" t="s">
        <v>1570</v>
      </c>
    </row>
    <row r="5" spans="1:5" x14ac:dyDescent="0.25">
      <c r="A5" s="889" t="s">
        <v>1571</v>
      </c>
      <c r="B5" s="889" t="s">
        <v>1572</v>
      </c>
      <c r="C5" s="889" t="s">
        <v>1573</v>
      </c>
      <c r="D5" s="889" t="s">
        <v>1574</v>
      </c>
      <c r="E5" s="890" t="s">
        <v>1575</v>
      </c>
    </row>
    <row r="6" spans="1:5" x14ac:dyDescent="0.25">
      <c r="A6" s="891">
        <v>41897</v>
      </c>
      <c r="B6" s="890">
        <v>4</v>
      </c>
      <c r="C6" s="892">
        <v>1450</v>
      </c>
      <c r="D6" s="892">
        <v>5800</v>
      </c>
      <c r="E6" s="890" t="s">
        <v>1576</v>
      </c>
    </row>
    <row r="7" spans="1:5" x14ac:dyDescent="0.25">
      <c r="A7" s="891">
        <v>41897</v>
      </c>
      <c r="B7" s="890">
        <v>4</v>
      </c>
      <c r="C7" s="892">
        <v>650</v>
      </c>
      <c r="D7" s="892">
        <v>2600</v>
      </c>
      <c r="E7" s="890" t="s">
        <v>1577</v>
      </c>
    </row>
    <row r="8" spans="1:5" x14ac:dyDescent="0.25">
      <c r="A8" s="891">
        <v>41897</v>
      </c>
      <c r="B8" s="890">
        <v>1</v>
      </c>
      <c r="C8" s="892">
        <v>7000</v>
      </c>
      <c r="D8" s="892">
        <v>7000</v>
      </c>
      <c r="E8" s="890" t="s">
        <v>1578</v>
      </c>
    </row>
    <row r="9" spans="1:5" x14ac:dyDescent="0.25">
      <c r="A9" s="891">
        <v>41897</v>
      </c>
      <c r="B9" s="890">
        <v>15</v>
      </c>
      <c r="C9" s="892">
        <v>200</v>
      </c>
      <c r="D9" s="892">
        <v>3000</v>
      </c>
      <c r="E9" s="890" t="s">
        <v>1579</v>
      </c>
    </row>
    <row r="10" spans="1:5" x14ac:dyDescent="0.25">
      <c r="A10" s="891">
        <v>41897</v>
      </c>
      <c r="B10" s="890">
        <v>1</v>
      </c>
      <c r="C10" s="892">
        <v>1500</v>
      </c>
      <c r="D10" s="892">
        <v>1500</v>
      </c>
      <c r="E10" s="890" t="s">
        <v>1580</v>
      </c>
    </row>
    <row r="11" spans="1:5" x14ac:dyDescent="0.25">
      <c r="A11" s="891">
        <v>42646</v>
      </c>
      <c r="B11" s="890">
        <v>1</v>
      </c>
      <c r="C11" s="892">
        <v>283</v>
      </c>
      <c r="D11" s="892">
        <v>283</v>
      </c>
      <c r="E11" s="890" t="s">
        <v>1581</v>
      </c>
    </row>
    <row r="12" spans="1:5" x14ac:dyDescent="0.25">
      <c r="A12" s="891">
        <v>42646</v>
      </c>
      <c r="B12" s="890">
        <v>4</v>
      </c>
      <c r="C12" s="892">
        <v>681</v>
      </c>
      <c r="D12" s="892">
        <v>2724</v>
      </c>
      <c r="E12" s="890" t="s">
        <v>1582</v>
      </c>
    </row>
    <row r="13" spans="1:5" x14ac:dyDescent="0.25">
      <c r="A13" s="891">
        <v>42646</v>
      </c>
      <c r="B13" s="890">
        <v>2</v>
      </c>
      <c r="C13" s="892">
        <v>958</v>
      </c>
      <c r="D13" s="892">
        <v>1916</v>
      </c>
      <c r="E13" s="890" t="s">
        <v>1583</v>
      </c>
    </row>
    <row r="14" spans="1:5" x14ac:dyDescent="0.25">
      <c r="A14" s="891">
        <v>42835</v>
      </c>
      <c r="B14" s="890">
        <v>1</v>
      </c>
      <c r="C14" s="892">
        <v>891.17</v>
      </c>
      <c r="D14" s="892">
        <v>891.17</v>
      </c>
      <c r="E14" s="890" t="s">
        <v>1583</v>
      </c>
    </row>
    <row r="15" spans="1:5" x14ac:dyDescent="0.25">
      <c r="A15" s="891">
        <v>42835</v>
      </c>
      <c r="B15" s="890">
        <v>1</v>
      </c>
      <c r="C15" s="892">
        <v>475.02</v>
      </c>
      <c r="D15" s="892">
        <v>475.02</v>
      </c>
      <c r="E15" s="890" t="s">
        <v>1584</v>
      </c>
    </row>
    <row r="16" spans="1:5" x14ac:dyDescent="0.25">
      <c r="A16" s="891">
        <v>43350</v>
      </c>
      <c r="B16" s="890">
        <v>14</v>
      </c>
      <c r="C16" s="892">
        <v>114.88</v>
      </c>
      <c r="D16" s="892">
        <v>1608.32</v>
      </c>
      <c r="E16" s="890" t="s">
        <v>1585</v>
      </c>
    </row>
    <row r="17" spans="1:5" x14ac:dyDescent="0.25">
      <c r="A17" s="891">
        <v>43350</v>
      </c>
      <c r="B17" s="890">
        <v>2</v>
      </c>
      <c r="C17" s="892">
        <v>198</v>
      </c>
      <c r="D17" s="892">
        <v>396</v>
      </c>
      <c r="E17" s="890" t="s">
        <v>1586</v>
      </c>
    </row>
    <row r="18" spans="1:5" x14ac:dyDescent="0.25">
      <c r="A18" s="889" t="s">
        <v>162</v>
      </c>
      <c r="C18" s="892"/>
      <c r="D18" s="893">
        <f>SUM(D6:D17)</f>
        <v>28193.51</v>
      </c>
    </row>
    <row r="19" spans="1:5" x14ac:dyDescent="0.25">
      <c r="C19" s="892"/>
      <c r="D19" s="892"/>
    </row>
    <row r="20" spans="1:5" x14ac:dyDescent="0.25">
      <c r="C20" s="892"/>
      <c r="D20" s="892"/>
    </row>
    <row r="21" spans="1:5" x14ac:dyDescent="0.25">
      <c r="C21" s="892"/>
      <c r="D21" s="892"/>
    </row>
  </sheetData>
  <pageMargins left="0" right="0" top="0.39409448818897608" bottom="0.39409448818897608" header="0" footer="0"/>
  <headerFooter>
    <oddHeader>&amp;C&amp;A</oddHeader>
    <oddFooter>&amp;CPage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133"/>
  <sheetViews>
    <sheetView workbookViewId="0">
      <pane xSplit="5" ySplit="6" topLeftCell="U111" activePane="bottomRight" state="frozen"/>
      <selection pane="topRight" activeCell="F1" sqref="F1"/>
      <selection pane="bottomLeft" activeCell="A7" sqref="A7"/>
      <selection pane="bottomRight" activeCell="AG120" sqref="AG120"/>
    </sheetView>
  </sheetViews>
  <sheetFormatPr defaultRowHeight="13.2" x14ac:dyDescent="0.25"/>
  <cols>
    <col min="1" max="1" width="3.6640625" style="815" customWidth="1"/>
    <col min="2" max="2" width="5.6640625" style="815" customWidth="1"/>
    <col min="3" max="3" width="3.6640625" style="815" customWidth="1"/>
    <col min="4" max="5" width="7.6640625" style="815" customWidth="1"/>
    <col min="6" max="6" width="9.6640625" style="815" customWidth="1"/>
    <col min="7" max="8" width="6.6640625" style="815" customWidth="1"/>
    <col min="9" max="9" width="3.6640625" style="815" customWidth="1"/>
    <col min="10" max="10" width="14.44140625" style="815" customWidth="1"/>
    <col min="11" max="11" width="13.33203125" style="815" customWidth="1"/>
    <col min="12" max="12" width="12" style="815" customWidth="1"/>
    <col min="13" max="13" width="5.6640625" style="815" customWidth="1"/>
    <col min="14" max="14" width="10.33203125" style="815" customWidth="1"/>
    <col min="15" max="15" width="10.5546875" style="815" customWidth="1"/>
    <col min="16" max="16" width="5.6640625" style="815" customWidth="1"/>
    <col min="17" max="17" width="12.6640625" style="815" customWidth="1"/>
    <col min="18" max="18" width="11.44140625" style="815" customWidth="1"/>
    <col min="19" max="19" width="5.6640625" style="815" customWidth="1"/>
    <col min="20" max="20" width="40.6640625" style="815" customWidth="1"/>
    <col min="21" max="21" width="13.44140625" style="815" customWidth="1"/>
    <col min="22" max="22" width="9.6640625" style="815" customWidth="1"/>
    <col min="23" max="23" width="22.6640625" style="815" customWidth="1"/>
    <col min="24" max="24" width="8.88671875" style="815"/>
    <col min="25" max="25" width="12.88671875" style="815" customWidth="1"/>
    <col min="26" max="28" width="8.88671875" style="815"/>
    <col min="29" max="29" width="9.77734375" style="815" bestFit="1" customWidth="1"/>
    <col min="30" max="256" width="8.88671875" style="815"/>
    <col min="257" max="257" width="3.6640625" style="815" customWidth="1"/>
    <col min="258" max="258" width="5.6640625" style="815" customWidth="1"/>
    <col min="259" max="259" width="3.6640625" style="815" customWidth="1"/>
    <col min="260" max="261" width="7.6640625" style="815" customWidth="1"/>
    <col min="262" max="262" width="9.6640625" style="815" customWidth="1"/>
    <col min="263" max="264" width="6.6640625" style="815" customWidth="1"/>
    <col min="265" max="265" width="3.6640625" style="815" customWidth="1"/>
    <col min="266" max="266" width="14.44140625" style="815" customWidth="1"/>
    <col min="267" max="267" width="13.33203125" style="815" customWidth="1"/>
    <col min="268" max="268" width="12" style="815" customWidth="1"/>
    <col min="269" max="269" width="5.6640625" style="815" customWidth="1"/>
    <col min="270" max="270" width="10.33203125" style="815" customWidth="1"/>
    <col min="271" max="271" width="10.5546875" style="815" customWidth="1"/>
    <col min="272" max="272" width="5.6640625" style="815" customWidth="1"/>
    <col min="273" max="273" width="12.6640625" style="815" customWidth="1"/>
    <col min="274" max="274" width="11.44140625" style="815" customWidth="1"/>
    <col min="275" max="275" width="5.6640625" style="815" customWidth="1"/>
    <col min="276" max="276" width="40.6640625" style="815" customWidth="1"/>
    <col min="277" max="277" width="13.44140625" style="815" customWidth="1"/>
    <col min="278" max="278" width="9.6640625" style="815" customWidth="1"/>
    <col min="279" max="279" width="22.6640625" style="815" customWidth="1"/>
    <col min="280" max="512" width="8.88671875" style="815"/>
    <col min="513" max="513" width="3.6640625" style="815" customWidth="1"/>
    <col min="514" max="514" width="5.6640625" style="815" customWidth="1"/>
    <col min="515" max="515" width="3.6640625" style="815" customWidth="1"/>
    <col min="516" max="517" width="7.6640625" style="815" customWidth="1"/>
    <col min="518" max="518" width="9.6640625" style="815" customWidth="1"/>
    <col min="519" max="520" width="6.6640625" style="815" customWidth="1"/>
    <col min="521" max="521" width="3.6640625" style="815" customWidth="1"/>
    <col min="522" max="522" width="14.44140625" style="815" customWidth="1"/>
    <col min="523" max="523" width="13.33203125" style="815" customWidth="1"/>
    <col min="524" max="524" width="12" style="815" customWidth="1"/>
    <col min="525" max="525" width="5.6640625" style="815" customWidth="1"/>
    <col min="526" max="526" width="10.33203125" style="815" customWidth="1"/>
    <col min="527" max="527" width="10.5546875" style="815" customWidth="1"/>
    <col min="528" max="528" width="5.6640625" style="815" customWidth="1"/>
    <col min="529" max="529" width="12.6640625" style="815" customWidth="1"/>
    <col min="530" max="530" width="11.44140625" style="815" customWidth="1"/>
    <col min="531" max="531" width="5.6640625" style="815" customWidth="1"/>
    <col min="532" max="532" width="40.6640625" style="815" customWidth="1"/>
    <col min="533" max="533" width="13.44140625" style="815" customWidth="1"/>
    <col min="534" max="534" width="9.6640625" style="815" customWidth="1"/>
    <col min="535" max="535" width="22.6640625" style="815" customWidth="1"/>
    <col min="536" max="768" width="8.88671875" style="815"/>
    <col min="769" max="769" width="3.6640625" style="815" customWidth="1"/>
    <col min="770" max="770" width="5.6640625" style="815" customWidth="1"/>
    <col min="771" max="771" width="3.6640625" style="815" customWidth="1"/>
    <col min="772" max="773" width="7.6640625" style="815" customWidth="1"/>
    <col min="774" max="774" width="9.6640625" style="815" customWidth="1"/>
    <col min="775" max="776" width="6.6640625" style="815" customWidth="1"/>
    <col min="777" max="777" width="3.6640625" style="815" customWidth="1"/>
    <col min="778" max="778" width="14.44140625" style="815" customWidth="1"/>
    <col min="779" max="779" width="13.33203125" style="815" customWidth="1"/>
    <col min="780" max="780" width="12" style="815" customWidth="1"/>
    <col min="781" max="781" width="5.6640625" style="815" customWidth="1"/>
    <col min="782" max="782" width="10.33203125" style="815" customWidth="1"/>
    <col min="783" max="783" width="10.5546875" style="815" customWidth="1"/>
    <col min="784" max="784" width="5.6640625" style="815" customWidth="1"/>
    <col min="785" max="785" width="12.6640625" style="815" customWidth="1"/>
    <col min="786" max="786" width="11.44140625" style="815" customWidth="1"/>
    <col min="787" max="787" width="5.6640625" style="815" customWidth="1"/>
    <col min="788" max="788" width="40.6640625" style="815" customWidth="1"/>
    <col min="789" max="789" width="13.44140625" style="815" customWidth="1"/>
    <col min="790" max="790" width="9.6640625" style="815" customWidth="1"/>
    <col min="791" max="791" width="22.6640625" style="815" customWidth="1"/>
    <col min="792" max="1024" width="8.88671875" style="815"/>
    <col min="1025" max="1025" width="3.6640625" style="815" customWidth="1"/>
    <col min="1026" max="1026" width="5.6640625" style="815" customWidth="1"/>
    <col min="1027" max="1027" width="3.6640625" style="815" customWidth="1"/>
    <col min="1028" max="1029" width="7.6640625" style="815" customWidth="1"/>
    <col min="1030" max="1030" width="9.6640625" style="815" customWidth="1"/>
    <col min="1031" max="1032" width="6.6640625" style="815" customWidth="1"/>
    <col min="1033" max="1033" width="3.6640625" style="815" customWidth="1"/>
    <col min="1034" max="1034" width="14.44140625" style="815" customWidth="1"/>
    <col min="1035" max="1035" width="13.33203125" style="815" customWidth="1"/>
    <col min="1036" max="1036" width="12" style="815" customWidth="1"/>
    <col min="1037" max="1037" width="5.6640625" style="815" customWidth="1"/>
    <col min="1038" max="1038" width="10.33203125" style="815" customWidth="1"/>
    <col min="1039" max="1039" width="10.5546875" style="815" customWidth="1"/>
    <col min="1040" max="1040" width="5.6640625" style="815" customWidth="1"/>
    <col min="1041" max="1041" width="12.6640625" style="815" customWidth="1"/>
    <col min="1042" max="1042" width="11.44140625" style="815" customWidth="1"/>
    <col min="1043" max="1043" width="5.6640625" style="815" customWidth="1"/>
    <col min="1044" max="1044" width="40.6640625" style="815" customWidth="1"/>
    <col min="1045" max="1045" width="13.44140625" style="815" customWidth="1"/>
    <col min="1046" max="1046" width="9.6640625" style="815" customWidth="1"/>
    <col min="1047" max="1047" width="22.6640625" style="815" customWidth="1"/>
    <col min="1048" max="1280" width="8.88671875" style="815"/>
    <col min="1281" max="1281" width="3.6640625" style="815" customWidth="1"/>
    <col min="1282" max="1282" width="5.6640625" style="815" customWidth="1"/>
    <col min="1283" max="1283" width="3.6640625" style="815" customWidth="1"/>
    <col min="1284" max="1285" width="7.6640625" style="815" customWidth="1"/>
    <col min="1286" max="1286" width="9.6640625" style="815" customWidth="1"/>
    <col min="1287" max="1288" width="6.6640625" style="815" customWidth="1"/>
    <col min="1289" max="1289" width="3.6640625" style="815" customWidth="1"/>
    <col min="1290" max="1290" width="14.44140625" style="815" customWidth="1"/>
    <col min="1291" max="1291" width="13.33203125" style="815" customWidth="1"/>
    <col min="1292" max="1292" width="12" style="815" customWidth="1"/>
    <col min="1293" max="1293" width="5.6640625" style="815" customWidth="1"/>
    <col min="1294" max="1294" width="10.33203125" style="815" customWidth="1"/>
    <col min="1295" max="1295" width="10.5546875" style="815" customWidth="1"/>
    <col min="1296" max="1296" width="5.6640625" style="815" customWidth="1"/>
    <col min="1297" max="1297" width="12.6640625" style="815" customWidth="1"/>
    <col min="1298" max="1298" width="11.44140625" style="815" customWidth="1"/>
    <col min="1299" max="1299" width="5.6640625" style="815" customWidth="1"/>
    <col min="1300" max="1300" width="40.6640625" style="815" customWidth="1"/>
    <col min="1301" max="1301" width="13.44140625" style="815" customWidth="1"/>
    <col min="1302" max="1302" width="9.6640625" style="815" customWidth="1"/>
    <col min="1303" max="1303" width="22.6640625" style="815" customWidth="1"/>
    <col min="1304" max="1536" width="8.88671875" style="815"/>
    <col min="1537" max="1537" width="3.6640625" style="815" customWidth="1"/>
    <col min="1538" max="1538" width="5.6640625" style="815" customWidth="1"/>
    <col min="1539" max="1539" width="3.6640625" style="815" customWidth="1"/>
    <col min="1540" max="1541" width="7.6640625" style="815" customWidth="1"/>
    <col min="1542" max="1542" width="9.6640625" style="815" customWidth="1"/>
    <col min="1543" max="1544" width="6.6640625" style="815" customWidth="1"/>
    <col min="1545" max="1545" width="3.6640625" style="815" customWidth="1"/>
    <col min="1546" max="1546" width="14.44140625" style="815" customWidth="1"/>
    <col min="1547" max="1547" width="13.33203125" style="815" customWidth="1"/>
    <col min="1548" max="1548" width="12" style="815" customWidth="1"/>
    <col min="1549" max="1549" width="5.6640625" style="815" customWidth="1"/>
    <col min="1550" max="1550" width="10.33203125" style="815" customWidth="1"/>
    <col min="1551" max="1551" width="10.5546875" style="815" customWidth="1"/>
    <col min="1552" max="1552" width="5.6640625" style="815" customWidth="1"/>
    <col min="1553" max="1553" width="12.6640625" style="815" customWidth="1"/>
    <col min="1554" max="1554" width="11.44140625" style="815" customWidth="1"/>
    <col min="1555" max="1555" width="5.6640625" style="815" customWidth="1"/>
    <col min="1556" max="1556" width="40.6640625" style="815" customWidth="1"/>
    <col min="1557" max="1557" width="13.44140625" style="815" customWidth="1"/>
    <col min="1558" max="1558" width="9.6640625" style="815" customWidth="1"/>
    <col min="1559" max="1559" width="22.6640625" style="815" customWidth="1"/>
    <col min="1560" max="1792" width="8.88671875" style="815"/>
    <col min="1793" max="1793" width="3.6640625" style="815" customWidth="1"/>
    <col min="1794" max="1794" width="5.6640625" style="815" customWidth="1"/>
    <col min="1795" max="1795" width="3.6640625" style="815" customWidth="1"/>
    <col min="1796" max="1797" width="7.6640625" style="815" customWidth="1"/>
    <col min="1798" max="1798" width="9.6640625" style="815" customWidth="1"/>
    <col min="1799" max="1800" width="6.6640625" style="815" customWidth="1"/>
    <col min="1801" max="1801" width="3.6640625" style="815" customWidth="1"/>
    <col min="1802" max="1802" width="14.44140625" style="815" customWidth="1"/>
    <col min="1803" max="1803" width="13.33203125" style="815" customWidth="1"/>
    <col min="1804" max="1804" width="12" style="815" customWidth="1"/>
    <col min="1805" max="1805" width="5.6640625" style="815" customWidth="1"/>
    <col min="1806" max="1806" width="10.33203125" style="815" customWidth="1"/>
    <col min="1807" max="1807" width="10.5546875" style="815" customWidth="1"/>
    <col min="1808" max="1808" width="5.6640625" style="815" customWidth="1"/>
    <col min="1809" max="1809" width="12.6640625" style="815" customWidth="1"/>
    <col min="1810" max="1810" width="11.44140625" style="815" customWidth="1"/>
    <col min="1811" max="1811" width="5.6640625" style="815" customWidth="1"/>
    <col min="1812" max="1812" width="40.6640625" style="815" customWidth="1"/>
    <col min="1813" max="1813" width="13.44140625" style="815" customWidth="1"/>
    <col min="1814" max="1814" width="9.6640625" style="815" customWidth="1"/>
    <col min="1815" max="1815" width="22.6640625" style="815" customWidth="1"/>
    <col min="1816" max="2048" width="8.88671875" style="815"/>
    <col min="2049" max="2049" width="3.6640625" style="815" customWidth="1"/>
    <col min="2050" max="2050" width="5.6640625" style="815" customWidth="1"/>
    <col min="2051" max="2051" width="3.6640625" style="815" customWidth="1"/>
    <col min="2052" max="2053" width="7.6640625" style="815" customWidth="1"/>
    <col min="2054" max="2054" width="9.6640625" style="815" customWidth="1"/>
    <col min="2055" max="2056" width="6.6640625" style="815" customWidth="1"/>
    <col min="2057" max="2057" width="3.6640625" style="815" customWidth="1"/>
    <col min="2058" max="2058" width="14.44140625" style="815" customWidth="1"/>
    <col min="2059" max="2059" width="13.33203125" style="815" customWidth="1"/>
    <col min="2060" max="2060" width="12" style="815" customWidth="1"/>
    <col min="2061" max="2061" width="5.6640625" style="815" customWidth="1"/>
    <col min="2062" max="2062" width="10.33203125" style="815" customWidth="1"/>
    <col min="2063" max="2063" width="10.5546875" style="815" customWidth="1"/>
    <col min="2064" max="2064" width="5.6640625" style="815" customWidth="1"/>
    <col min="2065" max="2065" width="12.6640625" style="815" customWidth="1"/>
    <col min="2066" max="2066" width="11.44140625" style="815" customWidth="1"/>
    <col min="2067" max="2067" width="5.6640625" style="815" customWidth="1"/>
    <col min="2068" max="2068" width="40.6640625" style="815" customWidth="1"/>
    <col min="2069" max="2069" width="13.44140625" style="815" customWidth="1"/>
    <col min="2070" max="2070" width="9.6640625" style="815" customWidth="1"/>
    <col min="2071" max="2071" width="22.6640625" style="815" customWidth="1"/>
    <col min="2072" max="2304" width="8.88671875" style="815"/>
    <col min="2305" max="2305" width="3.6640625" style="815" customWidth="1"/>
    <col min="2306" max="2306" width="5.6640625" style="815" customWidth="1"/>
    <col min="2307" max="2307" width="3.6640625" style="815" customWidth="1"/>
    <col min="2308" max="2309" width="7.6640625" style="815" customWidth="1"/>
    <col min="2310" max="2310" width="9.6640625" style="815" customWidth="1"/>
    <col min="2311" max="2312" width="6.6640625" style="815" customWidth="1"/>
    <col min="2313" max="2313" width="3.6640625" style="815" customWidth="1"/>
    <col min="2314" max="2314" width="14.44140625" style="815" customWidth="1"/>
    <col min="2315" max="2315" width="13.33203125" style="815" customWidth="1"/>
    <col min="2316" max="2316" width="12" style="815" customWidth="1"/>
    <col min="2317" max="2317" width="5.6640625" style="815" customWidth="1"/>
    <col min="2318" max="2318" width="10.33203125" style="815" customWidth="1"/>
    <col min="2319" max="2319" width="10.5546875" style="815" customWidth="1"/>
    <col min="2320" max="2320" width="5.6640625" style="815" customWidth="1"/>
    <col min="2321" max="2321" width="12.6640625" style="815" customWidth="1"/>
    <col min="2322" max="2322" width="11.44140625" style="815" customWidth="1"/>
    <col min="2323" max="2323" width="5.6640625" style="815" customWidth="1"/>
    <col min="2324" max="2324" width="40.6640625" style="815" customWidth="1"/>
    <col min="2325" max="2325" width="13.44140625" style="815" customWidth="1"/>
    <col min="2326" max="2326" width="9.6640625" style="815" customWidth="1"/>
    <col min="2327" max="2327" width="22.6640625" style="815" customWidth="1"/>
    <col min="2328" max="2560" width="8.88671875" style="815"/>
    <col min="2561" max="2561" width="3.6640625" style="815" customWidth="1"/>
    <col min="2562" max="2562" width="5.6640625" style="815" customWidth="1"/>
    <col min="2563" max="2563" width="3.6640625" style="815" customWidth="1"/>
    <col min="2564" max="2565" width="7.6640625" style="815" customWidth="1"/>
    <col min="2566" max="2566" width="9.6640625" style="815" customWidth="1"/>
    <col min="2567" max="2568" width="6.6640625" style="815" customWidth="1"/>
    <col min="2569" max="2569" width="3.6640625" style="815" customWidth="1"/>
    <col min="2570" max="2570" width="14.44140625" style="815" customWidth="1"/>
    <col min="2571" max="2571" width="13.33203125" style="815" customWidth="1"/>
    <col min="2572" max="2572" width="12" style="815" customWidth="1"/>
    <col min="2573" max="2573" width="5.6640625" style="815" customWidth="1"/>
    <col min="2574" max="2574" width="10.33203125" style="815" customWidth="1"/>
    <col min="2575" max="2575" width="10.5546875" style="815" customWidth="1"/>
    <col min="2576" max="2576" width="5.6640625" style="815" customWidth="1"/>
    <col min="2577" max="2577" width="12.6640625" style="815" customWidth="1"/>
    <col min="2578" max="2578" width="11.44140625" style="815" customWidth="1"/>
    <col min="2579" max="2579" width="5.6640625" style="815" customWidth="1"/>
    <col min="2580" max="2580" width="40.6640625" style="815" customWidth="1"/>
    <col min="2581" max="2581" width="13.44140625" style="815" customWidth="1"/>
    <col min="2582" max="2582" width="9.6640625" style="815" customWidth="1"/>
    <col min="2583" max="2583" width="22.6640625" style="815" customWidth="1"/>
    <col min="2584" max="2816" width="8.88671875" style="815"/>
    <col min="2817" max="2817" width="3.6640625" style="815" customWidth="1"/>
    <col min="2818" max="2818" width="5.6640625" style="815" customWidth="1"/>
    <col min="2819" max="2819" width="3.6640625" style="815" customWidth="1"/>
    <col min="2820" max="2821" width="7.6640625" style="815" customWidth="1"/>
    <col min="2822" max="2822" width="9.6640625" style="815" customWidth="1"/>
    <col min="2823" max="2824" width="6.6640625" style="815" customWidth="1"/>
    <col min="2825" max="2825" width="3.6640625" style="815" customWidth="1"/>
    <col min="2826" max="2826" width="14.44140625" style="815" customWidth="1"/>
    <col min="2827" max="2827" width="13.33203125" style="815" customWidth="1"/>
    <col min="2828" max="2828" width="12" style="815" customWidth="1"/>
    <col min="2829" max="2829" width="5.6640625" style="815" customWidth="1"/>
    <col min="2830" max="2830" width="10.33203125" style="815" customWidth="1"/>
    <col min="2831" max="2831" width="10.5546875" style="815" customWidth="1"/>
    <col min="2832" max="2832" width="5.6640625" style="815" customWidth="1"/>
    <col min="2833" max="2833" width="12.6640625" style="815" customWidth="1"/>
    <col min="2834" max="2834" width="11.44140625" style="815" customWidth="1"/>
    <col min="2835" max="2835" width="5.6640625" style="815" customWidth="1"/>
    <col min="2836" max="2836" width="40.6640625" style="815" customWidth="1"/>
    <col min="2837" max="2837" width="13.44140625" style="815" customWidth="1"/>
    <col min="2838" max="2838" width="9.6640625" style="815" customWidth="1"/>
    <col min="2839" max="2839" width="22.6640625" style="815" customWidth="1"/>
    <col min="2840" max="3072" width="8.88671875" style="815"/>
    <col min="3073" max="3073" width="3.6640625" style="815" customWidth="1"/>
    <col min="3074" max="3074" width="5.6640625" style="815" customWidth="1"/>
    <col min="3075" max="3075" width="3.6640625" style="815" customWidth="1"/>
    <col min="3076" max="3077" width="7.6640625" style="815" customWidth="1"/>
    <col min="3078" max="3078" width="9.6640625" style="815" customWidth="1"/>
    <col min="3079" max="3080" width="6.6640625" style="815" customWidth="1"/>
    <col min="3081" max="3081" width="3.6640625" style="815" customWidth="1"/>
    <col min="3082" max="3082" width="14.44140625" style="815" customWidth="1"/>
    <col min="3083" max="3083" width="13.33203125" style="815" customWidth="1"/>
    <col min="3084" max="3084" width="12" style="815" customWidth="1"/>
    <col min="3085" max="3085" width="5.6640625" style="815" customWidth="1"/>
    <col min="3086" max="3086" width="10.33203125" style="815" customWidth="1"/>
    <col min="3087" max="3087" width="10.5546875" style="815" customWidth="1"/>
    <col min="3088" max="3088" width="5.6640625" style="815" customWidth="1"/>
    <col min="3089" max="3089" width="12.6640625" style="815" customWidth="1"/>
    <col min="3090" max="3090" width="11.44140625" style="815" customWidth="1"/>
    <col min="3091" max="3091" width="5.6640625" style="815" customWidth="1"/>
    <col min="3092" max="3092" width="40.6640625" style="815" customWidth="1"/>
    <col min="3093" max="3093" width="13.44140625" style="815" customWidth="1"/>
    <col min="3094" max="3094" width="9.6640625" style="815" customWidth="1"/>
    <col min="3095" max="3095" width="22.6640625" style="815" customWidth="1"/>
    <col min="3096" max="3328" width="8.88671875" style="815"/>
    <col min="3329" max="3329" width="3.6640625" style="815" customWidth="1"/>
    <col min="3330" max="3330" width="5.6640625" style="815" customWidth="1"/>
    <col min="3331" max="3331" width="3.6640625" style="815" customWidth="1"/>
    <col min="3332" max="3333" width="7.6640625" style="815" customWidth="1"/>
    <col min="3334" max="3334" width="9.6640625" style="815" customWidth="1"/>
    <col min="3335" max="3336" width="6.6640625" style="815" customWidth="1"/>
    <col min="3337" max="3337" width="3.6640625" style="815" customWidth="1"/>
    <col min="3338" max="3338" width="14.44140625" style="815" customWidth="1"/>
    <col min="3339" max="3339" width="13.33203125" style="815" customWidth="1"/>
    <col min="3340" max="3340" width="12" style="815" customWidth="1"/>
    <col min="3341" max="3341" width="5.6640625" style="815" customWidth="1"/>
    <col min="3342" max="3342" width="10.33203125" style="815" customWidth="1"/>
    <col min="3343" max="3343" width="10.5546875" style="815" customWidth="1"/>
    <col min="3344" max="3344" width="5.6640625" style="815" customWidth="1"/>
    <col min="3345" max="3345" width="12.6640625" style="815" customWidth="1"/>
    <col min="3346" max="3346" width="11.44140625" style="815" customWidth="1"/>
    <col min="3347" max="3347" width="5.6640625" style="815" customWidth="1"/>
    <col min="3348" max="3348" width="40.6640625" style="815" customWidth="1"/>
    <col min="3349" max="3349" width="13.44140625" style="815" customWidth="1"/>
    <col min="3350" max="3350" width="9.6640625" style="815" customWidth="1"/>
    <col min="3351" max="3351" width="22.6640625" style="815" customWidth="1"/>
    <col min="3352" max="3584" width="8.88671875" style="815"/>
    <col min="3585" max="3585" width="3.6640625" style="815" customWidth="1"/>
    <col min="3586" max="3586" width="5.6640625" style="815" customWidth="1"/>
    <col min="3587" max="3587" width="3.6640625" style="815" customWidth="1"/>
    <col min="3588" max="3589" width="7.6640625" style="815" customWidth="1"/>
    <col min="3590" max="3590" width="9.6640625" style="815" customWidth="1"/>
    <col min="3591" max="3592" width="6.6640625" style="815" customWidth="1"/>
    <col min="3593" max="3593" width="3.6640625" style="815" customWidth="1"/>
    <col min="3594" max="3594" width="14.44140625" style="815" customWidth="1"/>
    <col min="3595" max="3595" width="13.33203125" style="815" customWidth="1"/>
    <col min="3596" max="3596" width="12" style="815" customWidth="1"/>
    <col min="3597" max="3597" width="5.6640625" style="815" customWidth="1"/>
    <col min="3598" max="3598" width="10.33203125" style="815" customWidth="1"/>
    <col min="3599" max="3599" width="10.5546875" style="815" customWidth="1"/>
    <col min="3600" max="3600" width="5.6640625" style="815" customWidth="1"/>
    <col min="3601" max="3601" width="12.6640625" style="815" customWidth="1"/>
    <col min="3602" max="3602" width="11.44140625" style="815" customWidth="1"/>
    <col min="3603" max="3603" width="5.6640625" style="815" customWidth="1"/>
    <col min="3604" max="3604" width="40.6640625" style="815" customWidth="1"/>
    <col min="3605" max="3605" width="13.44140625" style="815" customWidth="1"/>
    <col min="3606" max="3606" width="9.6640625" style="815" customWidth="1"/>
    <col min="3607" max="3607" width="22.6640625" style="815" customWidth="1"/>
    <col min="3608" max="3840" width="8.88671875" style="815"/>
    <col min="3841" max="3841" width="3.6640625" style="815" customWidth="1"/>
    <col min="3842" max="3842" width="5.6640625" style="815" customWidth="1"/>
    <col min="3843" max="3843" width="3.6640625" style="815" customWidth="1"/>
    <col min="3844" max="3845" width="7.6640625" style="815" customWidth="1"/>
    <col min="3846" max="3846" width="9.6640625" style="815" customWidth="1"/>
    <col min="3847" max="3848" width="6.6640625" style="815" customWidth="1"/>
    <col min="3849" max="3849" width="3.6640625" style="815" customWidth="1"/>
    <col min="3850" max="3850" width="14.44140625" style="815" customWidth="1"/>
    <col min="3851" max="3851" width="13.33203125" style="815" customWidth="1"/>
    <col min="3852" max="3852" width="12" style="815" customWidth="1"/>
    <col min="3853" max="3853" width="5.6640625" style="815" customWidth="1"/>
    <col min="3854" max="3854" width="10.33203125" style="815" customWidth="1"/>
    <col min="3855" max="3855" width="10.5546875" style="815" customWidth="1"/>
    <col min="3856" max="3856" width="5.6640625" style="815" customWidth="1"/>
    <col min="3857" max="3857" width="12.6640625" style="815" customWidth="1"/>
    <col min="3858" max="3858" width="11.44140625" style="815" customWidth="1"/>
    <col min="3859" max="3859" width="5.6640625" style="815" customWidth="1"/>
    <col min="3860" max="3860" width="40.6640625" style="815" customWidth="1"/>
    <col min="3861" max="3861" width="13.44140625" style="815" customWidth="1"/>
    <col min="3862" max="3862" width="9.6640625" style="815" customWidth="1"/>
    <col min="3863" max="3863" width="22.6640625" style="815" customWidth="1"/>
    <col min="3864" max="4096" width="8.88671875" style="815"/>
    <col min="4097" max="4097" width="3.6640625" style="815" customWidth="1"/>
    <col min="4098" max="4098" width="5.6640625" style="815" customWidth="1"/>
    <col min="4099" max="4099" width="3.6640625" style="815" customWidth="1"/>
    <col min="4100" max="4101" width="7.6640625" style="815" customWidth="1"/>
    <col min="4102" max="4102" width="9.6640625" style="815" customWidth="1"/>
    <col min="4103" max="4104" width="6.6640625" style="815" customWidth="1"/>
    <col min="4105" max="4105" width="3.6640625" style="815" customWidth="1"/>
    <col min="4106" max="4106" width="14.44140625" style="815" customWidth="1"/>
    <col min="4107" max="4107" width="13.33203125" style="815" customWidth="1"/>
    <col min="4108" max="4108" width="12" style="815" customWidth="1"/>
    <col min="4109" max="4109" width="5.6640625" style="815" customWidth="1"/>
    <col min="4110" max="4110" width="10.33203125" style="815" customWidth="1"/>
    <col min="4111" max="4111" width="10.5546875" style="815" customWidth="1"/>
    <col min="4112" max="4112" width="5.6640625" style="815" customWidth="1"/>
    <col min="4113" max="4113" width="12.6640625" style="815" customWidth="1"/>
    <col min="4114" max="4114" width="11.44140625" style="815" customWidth="1"/>
    <col min="4115" max="4115" width="5.6640625" style="815" customWidth="1"/>
    <col min="4116" max="4116" width="40.6640625" style="815" customWidth="1"/>
    <col min="4117" max="4117" width="13.44140625" style="815" customWidth="1"/>
    <col min="4118" max="4118" width="9.6640625" style="815" customWidth="1"/>
    <col min="4119" max="4119" width="22.6640625" style="815" customWidth="1"/>
    <col min="4120" max="4352" width="8.88671875" style="815"/>
    <col min="4353" max="4353" width="3.6640625" style="815" customWidth="1"/>
    <col min="4354" max="4354" width="5.6640625" style="815" customWidth="1"/>
    <col min="4355" max="4355" width="3.6640625" style="815" customWidth="1"/>
    <col min="4356" max="4357" width="7.6640625" style="815" customWidth="1"/>
    <col min="4358" max="4358" width="9.6640625" style="815" customWidth="1"/>
    <col min="4359" max="4360" width="6.6640625" style="815" customWidth="1"/>
    <col min="4361" max="4361" width="3.6640625" style="815" customWidth="1"/>
    <col min="4362" max="4362" width="14.44140625" style="815" customWidth="1"/>
    <col min="4363" max="4363" width="13.33203125" style="815" customWidth="1"/>
    <col min="4364" max="4364" width="12" style="815" customWidth="1"/>
    <col min="4365" max="4365" width="5.6640625" style="815" customWidth="1"/>
    <col min="4366" max="4366" width="10.33203125" style="815" customWidth="1"/>
    <col min="4367" max="4367" width="10.5546875" style="815" customWidth="1"/>
    <col min="4368" max="4368" width="5.6640625" style="815" customWidth="1"/>
    <col min="4369" max="4369" width="12.6640625" style="815" customWidth="1"/>
    <col min="4370" max="4370" width="11.44140625" style="815" customWidth="1"/>
    <col min="4371" max="4371" width="5.6640625" style="815" customWidth="1"/>
    <col min="4372" max="4372" width="40.6640625" style="815" customWidth="1"/>
    <col min="4373" max="4373" width="13.44140625" style="815" customWidth="1"/>
    <col min="4374" max="4374" width="9.6640625" style="815" customWidth="1"/>
    <col min="4375" max="4375" width="22.6640625" style="815" customWidth="1"/>
    <col min="4376" max="4608" width="8.88671875" style="815"/>
    <col min="4609" max="4609" width="3.6640625" style="815" customWidth="1"/>
    <col min="4610" max="4610" width="5.6640625" style="815" customWidth="1"/>
    <col min="4611" max="4611" width="3.6640625" style="815" customWidth="1"/>
    <col min="4612" max="4613" width="7.6640625" style="815" customWidth="1"/>
    <col min="4614" max="4614" width="9.6640625" style="815" customWidth="1"/>
    <col min="4615" max="4616" width="6.6640625" style="815" customWidth="1"/>
    <col min="4617" max="4617" width="3.6640625" style="815" customWidth="1"/>
    <col min="4618" max="4618" width="14.44140625" style="815" customWidth="1"/>
    <col min="4619" max="4619" width="13.33203125" style="815" customWidth="1"/>
    <col min="4620" max="4620" width="12" style="815" customWidth="1"/>
    <col min="4621" max="4621" width="5.6640625" style="815" customWidth="1"/>
    <col min="4622" max="4622" width="10.33203125" style="815" customWidth="1"/>
    <col min="4623" max="4623" width="10.5546875" style="815" customWidth="1"/>
    <col min="4624" max="4624" width="5.6640625" style="815" customWidth="1"/>
    <col min="4625" max="4625" width="12.6640625" style="815" customWidth="1"/>
    <col min="4626" max="4626" width="11.44140625" style="815" customWidth="1"/>
    <col min="4627" max="4627" width="5.6640625" style="815" customWidth="1"/>
    <col min="4628" max="4628" width="40.6640625" style="815" customWidth="1"/>
    <col min="4629" max="4629" width="13.44140625" style="815" customWidth="1"/>
    <col min="4630" max="4630" width="9.6640625" style="815" customWidth="1"/>
    <col min="4631" max="4631" width="22.6640625" style="815" customWidth="1"/>
    <col min="4632" max="4864" width="8.88671875" style="815"/>
    <col min="4865" max="4865" width="3.6640625" style="815" customWidth="1"/>
    <col min="4866" max="4866" width="5.6640625" style="815" customWidth="1"/>
    <col min="4867" max="4867" width="3.6640625" style="815" customWidth="1"/>
    <col min="4868" max="4869" width="7.6640625" style="815" customWidth="1"/>
    <col min="4870" max="4870" width="9.6640625" style="815" customWidth="1"/>
    <col min="4871" max="4872" width="6.6640625" style="815" customWidth="1"/>
    <col min="4873" max="4873" width="3.6640625" style="815" customWidth="1"/>
    <col min="4874" max="4874" width="14.44140625" style="815" customWidth="1"/>
    <col min="4875" max="4875" width="13.33203125" style="815" customWidth="1"/>
    <col min="4876" max="4876" width="12" style="815" customWidth="1"/>
    <col min="4877" max="4877" width="5.6640625" style="815" customWidth="1"/>
    <col min="4878" max="4878" width="10.33203125" style="815" customWidth="1"/>
    <col min="4879" max="4879" width="10.5546875" style="815" customWidth="1"/>
    <col min="4880" max="4880" width="5.6640625" style="815" customWidth="1"/>
    <col min="4881" max="4881" width="12.6640625" style="815" customWidth="1"/>
    <col min="4882" max="4882" width="11.44140625" style="815" customWidth="1"/>
    <col min="4883" max="4883" width="5.6640625" style="815" customWidth="1"/>
    <col min="4884" max="4884" width="40.6640625" style="815" customWidth="1"/>
    <col min="4885" max="4885" width="13.44140625" style="815" customWidth="1"/>
    <col min="4886" max="4886" width="9.6640625" style="815" customWidth="1"/>
    <col min="4887" max="4887" width="22.6640625" style="815" customWidth="1"/>
    <col min="4888" max="5120" width="8.88671875" style="815"/>
    <col min="5121" max="5121" width="3.6640625" style="815" customWidth="1"/>
    <col min="5122" max="5122" width="5.6640625" style="815" customWidth="1"/>
    <col min="5123" max="5123" width="3.6640625" style="815" customWidth="1"/>
    <col min="5124" max="5125" width="7.6640625" style="815" customWidth="1"/>
    <col min="5126" max="5126" width="9.6640625" style="815" customWidth="1"/>
    <col min="5127" max="5128" width="6.6640625" style="815" customWidth="1"/>
    <col min="5129" max="5129" width="3.6640625" style="815" customWidth="1"/>
    <col min="5130" max="5130" width="14.44140625" style="815" customWidth="1"/>
    <col min="5131" max="5131" width="13.33203125" style="815" customWidth="1"/>
    <col min="5132" max="5132" width="12" style="815" customWidth="1"/>
    <col min="5133" max="5133" width="5.6640625" style="815" customWidth="1"/>
    <col min="5134" max="5134" width="10.33203125" style="815" customWidth="1"/>
    <col min="5135" max="5135" width="10.5546875" style="815" customWidth="1"/>
    <col min="5136" max="5136" width="5.6640625" style="815" customWidth="1"/>
    <col min="5137" max="5137" width="12.6640625" style="815" customWidth="1"/>
    <col min="5138" max="5138" width="11.44140625" style="815" customWidth="1"/>
    <col min="5139" max="5139" width="5.6640625" style="815" customWidth="1"/>
    <col min="5140" max="5140" width="40.6640625" style="815" customWidth="1"/>
    <col min="5141" max="5141" width="13.44140625" style="815" customWidth="1"/>
    <col min="5142" max="5142" width="9.6640625" style="815" customWidth="1"/>
    <col min="5143" max="5143" width="22.6640625" style="815" customWidth="1"/>
    <col min="5144" max="5376" width="8.88671875" style="815"/>
    <col min="5377" max="5377" width="3.6640625" style="815" customWidth="1"/>
    <col min="5378" max="5378" width="5.6640625" style="815" customWidth="1"/>
    <col min="5379" max="5379" width="3.6640625" style="815" customWidth="1"/>
    <col min="5380" max="5381" width="7.6640625" style="815" customWidth="1"/>
    <col min="5382" max="5382" width="9.6640625" style="815" customWidth="1"/>
    <col min="5383" max="5384" width="6.6640625" style="815" customWidth="1"/>
    <col min="5385" max="5385" width="3.6640625" style="815" customWidth="1"/>
    <col min="5386" max="5386" width="14.44140625" style="815" customWidth="1"/>
    <col min="5387" max="5387" width="13.33203125" style="815" customWidth="1"/>
    <col min="5388" max="5388" width="12" style="815" customWidth="1"/>
    <col min="5389" max="5389" width="5.6640625" style="815" customWidth="1"/>
    <col min="5390" max="5390" width="10.33203125" style="815" customWidth="1"/>
    <col min="5391" max="5391" width="10.5546875" style="815" customWidth="1"/>
    <col min="5392" max="5392" width="5.6640625" style="815" customWidth="1"/>
    <col min="5393" max="5393" width="12.6640625" style="815" customWidth="1"/>
    <col min="5394" max="5394" width="11.44140625" style="815" customWidth="1"/>
    <col min="5395" max="5395" width="5.6640625" style="815" customWidth="1"/>
    <col min="5396" max="5396" width="40.6640625" style="815" customWidth="1"/>
    <col min="5397" max="5397" width="13.44140625" style="815" customWidth="1"/>
    <col min="5398" max="5398" width="9.6640625" style="815" customWidth="1"/>
    <col min="5399" max="5399" width="22.6640625" style="815" customWidth="1"/>
    <col min="5400" max="5632" width="8.88671875" style="815"/>
    <col min="5633" max="5633" width="3.6640625" style="815" customWidth="1"/>
    <col min="5634" max="5634" width="5.6640625" style="815" customWidth="1"/>
    <col min="5635" max="5635" width="3.6640625" style="815" customWidth="1"/>
    <col min="5636" max="5637" width="7.6640625" style="815" customWidth="1"/>
    <col min="5638" max="5638" width="9.6640625" style="815" customWidth="1"/>
    <col min="5639" max="5640" width="6.6640625" style="815" customWidth="1"/>
    <col min="5641" max="5641" width="3.6640625" style="815" customWidth="1"/>
    <col min="5642" max="5642" width="14.44140625" style="815" customWidth="1"/>
    <col min="5643" max="5643" width="13.33203125" style="815" customWidth="1"/>
    <col min="5644" max="5644" width="12" style="815" customWidth="1"/>
    <col min="5645" max="5645" width="5.6640625" style="815" customWidth="1"/>
    <col min="5646" max="5646" width="10.33203125" style="815" customWidth="1"/>
    <col min="5647" max="5647" width="10.5546875" style="815" customWidth="1"/>
    <col min="5648" max="5648" width="5.6640625" style="815" customWidth="1"/>
    <col min="5649" max="5649" width="12.6640625" style="815" customWidth="1"/>
    <col min="5650" max="5650" width="11.44140625" style="815" customWidth="1"/>
    <col min="5651" max="5651" width="5.6640625" style="815" customWidth="1"/>
    <col min="5652" max="5652" width="40.6640625" style="815" customWidth="1"/>
    <col min="5653" max="5653" width="13.44140625" style="815" customWidth="1"/>
    <col min="5654" max="5654" width="9.6640625" style="815" customWidth="1"/>
    <col min="5655" max="5655" width="22.6640625" style="815" customWidth="1"/>
    <col min="5656" max="5888" width="8.88671875" style="815"/>
    <col min="5889" max="5889" width="3.6640625" style="815" customWidth="1"/>
    <col min="5890" max="5890" width="5.6640625" style="815" customWidth="1"/>
    <col min="5891" max="5891" width="3.6640625" style="815" customWidth="1"/>
    <col min="5892" max="5893" width="7.6640625" style="815" customWidth="1"/>
    <col min="5894" max="5894" width="9.6640625" style="815" customWidth="1"/>
    <col min="5895" max="5896" width="6.6640625" style="815" customWidth="1"/>
    <col min="5897" max="5897" width="3.6640625" style="815" customWidth="1"/>
    <col min="5898" max="5898" width="14.44140625" style="815" customWidth="1"/>
    <col min="5899" max="5899" width="13.33203125" style="815" customWidth="1"/>
    <col min="5900" max="5900" width="12" style="815" customWidth="1"/>
    <col min="5901" max="5901" width="5.6640625" style="815" customWidth="1"/>
    <col min="5902" max="5902" width="10.33203125" style="815" customWidth="1"/>
    <col min="5903" max="5903" width="10.5546875" style="815" customWidth="1"/>
    <col min="5904" max="5904" width="5.6640625" style="815" customWidth="1"/>
    <col min="5905" max="5905" width="12.6640625" style="815" customWidth="1"/>
    <col min="5906" max="5906" width="11.44140625" style="815" customWidth="1"/>
    <col min="5907" max="5907" width="5.6640625" style="815" customWidth="1"/>
    <col min="5908" max="5908" width="40.6640625" style="815" customWidth="1"/>
    <col min="5909" max="5909" width="13.44140625" style="815" customWidth="1"/>
    <col min="5910" max="5910" width="9.6640625" style="815" customWidth="1"/>
    <col min="5911" max="5911" width="22.6640625" style="815" customWidth="1"/>
    <col min="5912" max="6144" width="8.88671875" style="815"/>
    <col min="6145" max="6145" width="3.6640625" style="815" customWidth="1"/>
    <col min="6146" max="6146" width="5.6640625" style="815" customWidth="1"/>
    <col min="6147" max="6147" width="3.6640625" style="815" customWidth="1"/>
    <col min="6148" max="6149" width="7.6640625" style="815" customWidth="1"/>
    <col min="6150" max="6150" width="9.6640625" style="815" customWidth="1"/>
    <col min="6151" max="6152" width="6.6640625" style="815" customWidth="1"/>
    <col min="6153" max="6153" width="3.6640625" style="815" customWidth="1"/>
    <col min="6154" max="6154" width="14.44140625" style="815" customWidth="1"/>
    <col min="6155" max="6155" width="13.33203125" style="815" customWidth="1"/>
    <col min="6156" max="6156" width="12" style="815" customWidth="1"/>
    <col min="6157" max="6157" width="5.6640625" style="815" customWidth="1"/>
    <col min="6158" max="6158" width="10.33203125" style="815" customWidth="1"/>
    <col min="6159" max="6159" width="10.5546875" style="815" customWidth="1"/>
    <col min="6160" max="6160" width="5.6640625" style="815" customWidth="1"/>
    <col min="6161" max="6161" width="12.6640625" style="815" customWidth="1"/>
    <col min="6162" max="6162" width="11.44140625" style="815" customWidth="1"/>
    <col min="6163" max="6163" width="5.6640625" style="815" customWidth="1"/>
    <col min="6164" max="6164" width="40.6640625" style="815" customWidth="1"/>
    <col min="6165" max="6165" width="13.44140625" style="815" customWidth="1"/>
    <col min="6166" max="6166" width="9.6640625" style="815" customWidth="1"/>
    <col min="6167" max="6167" width="22.6640625" style="815" customWidth="1"/>
    <col min="6168" max="6400" width="8.88671875" style="815"/>
    <col min="6401" max="6401" width="3.6640625" style="815" customWidth="1"/>
    <col min="6402" max="6402" width="5.6640625" style="815" customWidth="1"/>
    <col min="6403" max="6403" width="3.6640625" style="815" customWidth="1"/>
    <col min="6404" max="6405" width="7.6640625" style="815" customWidth="1"/>
    <col min="6406" max="6406" width="9.6640625" style="815" customWidth="1"/>
    <col min="6407" max="6408" width="6.6640625" style="815" customWidth="1"/>
    <col min="6409" max="6409" width="3.6640625" style="815" customWidth="1"/>
    <col min="6410" max="6410" width="14.44140625" style="815" customWidth="1"/>
    <col min="6411" max="6411" width="13.33203125" style="815" customWidth="1"/>
    <col min="6412" max="6412" width="12" style="815" customWidth="1"/>
    <col min="6413" max="6413" width="5.6640625" style="815" customWidth="1"/>
    <col min="6414" max="6414" width="10.33203125" style="815" customWidth="1"/>
    <col min="6415" max="6415" width="10.5546875" style="815" customWidth="1"/>
    <col min="6416" max="6416" width="5.6640625" style="815" customWidth="1"/>
    <col min="6417" max="6417" width="12.6640625" style="815" customWidth="1"/>
    <col min="6418" max="6418" width="11.44140625" style="815" customWidth="1"/>
    <col min="6419" max="6419" width="5.6640625" style="815" customWidth="1"/>
    <col min="6420" max="6420" width="40.6640625" style="815" customWidth="1"/>
    <col min="6421" max="6421" width="13.44140625" style="815" customWidth="1"/>
    <col min="6422" max="6422" width="9.6640625" style="815" customWidth="1"/>
    <col min="6423" max="6423" width="22.6640625" style="815" customWidth="1"/>
    <col min="6424" max="6656" width="8.88671875" style="815"/>
    <col min="6657" max="6657" width="3.6640625" style="815" customWidth="1"/>
    <col min="6658" max="6658" width="5.6640625" style="815" customWidth="1"/>
    <col min="6659" max="6659" width="3.6640625" style="815" customWidth="1"/>
    <col min="6660" max="6661" width="7.6640625" style="815" customWidth="1"/>
    <col min="6662" max="6662" width="9.6640625" style="815" customWidth="1"/>
    <col min="6663" max="6664" width="6.6640625" style="815" customWidth="1"/>
    <col min="6665" max="6665" width="3.6640625" style="815" customWidth="1"/>
    <col min="6666" max="6666" width="14.44140625" style="815" customWidth="1"/>
    <col min="6667" max="6667" width="13.33203125" style="815" customWidth="1"/>
    <col min="6668" max="6668" width="12" style="815" customWidth="1"/>
    <col min="6669" max="6669" width="5.6640625" style="815" customWidth="1"/>
    <col min="6670" max="6670" width="10.33203125" style="815" customWidth="1"/>
    <col min="6671" max="6671" width="10.5546875" style="815" customWidth="1"/>
    <col min="6672" max="6672" width="5.6640625" style="815" customWidth="1"/>
    <col min="6673" max="6673" width="12.6640625" style="815" customWidth="1"/>
    <col min="6674" max="6674" width="11.44140625" style="815" customWidth="1"/>
    <col min="6675" max="6675" width="5.6640625" style="815" customWidth="1"/>
    <col min="6676" max="6676" width="40.6640625" style="815" customWidth="1"/>
    <col min="6677" max="6677" width="13.44140625" style="815" customWidth="1"/>
    <col min="6678" max="6678" width="9.6640625" style="815" customWidth="1"/>
    <col min="6679" max="6679" width="22.6640625" style="815" customWidth="1"/>
    <col min="6680" max="6912" width="8.88671875" style="815"/>
    <col min="6913" max="6913" width="3.6640625" style="815" customWidth="1"/>
    <col min="6914" max="6914" width="5.6640625" style="815" customWidth="1"/>
    <col min="6915" max="6915" width="3.6640625" style="815" customWidth="1"/>
    <col min="6916" max="6917" width="7.6640625" style="815" customWidth="1"/>
    <col min="6918" max="6918" width="9.6640625" style="815" customWidth="1"/>
    <col min="6919" max="6920" width="6.6640625" style="815" customWidth="1"/>
    <col min="6921" max="6921" width="3.6640625" style="815" customWidth="1"/>
    <col min="6922" max="6922" width="14.44140625" style="815" customWidth="1"/>
    <col min="6923" max="6923" width="13.33203125" style="815" customWidth="1"/>
    <col min="6924" max="6924" width="12" style="815" customWidth="1"/>
    <col min="6925" max="6925" width="5.6640625" style="815" customWidth="1"/>
    <col min="6926" max="6926" width="10.33203125" style="815" customWidth="1"/>
    <col min="6927" max="6927" width="10.5546875" style="815" customWidth="1"/>
    <col min="6928" max="6928" width="5.6640625" style="815" customWidth="1"/>
    <col min="6929" max="6929" width="12.6640625" style="815" customWidth="1"/>
    <col min="6930" max="6930" width="11.44140625" style="815" customWidth="1"/>
    <col min="6931" max="6931" width="5.6640625" style="815" customWidth="1"/>
    <col min="6932" max="6932" width="40.6640625" style="815" customWidth="1"/>
    <col min="6933" max="6933" width="13.44140625" style="815" customWidth="1"/>
    <col min="6934" max="6934" width="9.6640625" style="815" customWidth="1"/>
    <col min="6935" max="6935" width="22.6640625" style="815" customWidth="1"/>
    <col min="6936" max="7168" width="8.88671875" style="815"/>
    <col min="7169" max="7169" width="3.6640625" style="815" customWidth="1"/>
    <col min="7170" max="7170" width="5.6640625" style="815" customWidth="1"/>
    <col min="7171" max="7171" width="3.6640625" style="815" customWidth="1"/>
    <col min="7172" max="7173" width="7.6640625" style="815" customWidth="1"/>
    <col min="7174" max="7174" width="9.6640625" style="815" customWidth="1"/>
    <col min="7175" max="7176" width="6.6640625" style="815" customWidth="1"/>
    <col min="7177" max="7177" width="3.6640625" style="815" customWidth="1"/>
    <col min="7178" max="7178" width="14.44140625" style="815" customWidth="1"/>
    <col min="7179" max="7179" width="13.33203125" style="815" customWidth="1"/>
    <col min="7180" max="7180" width="12" style="815" customWidth="1"/>
    <col min="7181" max="7181" width="5.6640625" style="815" customWidth="1"/>
    <col min="7182" max="7182" width="10.33203125" style="815" customWidth="1"/>
    <col min="7183" max="7183" width="10.5546875" style="815" customWidth="1"/>
    <col min="7184" max="7184" width="5.6640625" style="815" customWidth="1"/>
    <col min="7185" max="7185" width="12.6640625" style="815" customWidth="1"/>
    <col min="7186" max="7186" width="11.44140625" style="815" customWidth="1"/>
    <col min="7187" max="7187" width="5.6640625" style="815" customWidth="1"/>
    <col min="7188" max="7188" width="40.6640625" style="815" customWidth="1"/>
    <col min="7189" max="7189" width="13.44140625" style="815" customWidth="1"/>
    <col min="7190" max="7190" width="9.6640625" style="815" customWidth="1"/>
    <col min="7191" max="7191" width="22.6640625" style="815" customWidth="1"/>
    <col min="7192" max="7424" width="8.88671875" style="815"/>
    <col min="7425" max="7425" width="3.6640625" style="815" customWidth="1"/>
    <col min="7426" max="7426" width="5.6640625" style="815" customWidth="1"/>
    <col min="7427" max="7427" width="3.6640625" style="815" customWidth="1"/>
    <col min="7428" max="7429" width="7.6640625" style="815" customWidth="1"/>
    <col min="7430" max="7430" width="9.6640625" style="815" customWidth="1"/>
    <col min="7431" max="7432" width="6.6640625" style="815" customWidth="1"/>
    <col min="7433" max="7433" width="3.6640625" style="815" customWidth="1"/>
    <col min="7434" max="7434" width="14.44140625" style="815" customWidth="1"/>
    <col min="7435" max="7435" width="13.33203125" style="815" customWidth="1"/>
    <col min="7436" max="7436" width="12" style="815" customWidth="1"/>
    <col min="7437" max="7437" width="5.6640625" style="815" customWidth="1"/>
    <col min="7438" max="7438" width="10.33203125" style="815" customWidth="1"/>
    <col min="7439" max="7439" width="10.5546875" style="815" customWidth="1"/>
    <col min="7440" max="7440" width="5.6640625" style="815" customWidth="1"/>
    <col min="7441" max="7441" width="12.6640625" style="815" customWidth="1"/>
    <col min="7442" max="7442" width="11.44140625" style="815" customWidth="1"/>
    <col min="7443" max="7443" width="5.6640625" style="815" customWidth="1"/>
    <col min="7444" max="7444" width="40.6640625" style="815" customWidth="1"/>
    <col min="7445" max="7445" width="13.44140625" style="815" customWidth="1"/>
    <col min="7446" max="7446" width="9.6640625" style="815" customWidth="1"/>
    <col min="7447" max="7447" width="22.6640625" style="815" customWidth="1"/>
    <col min="7448" max="7680" width="8.88671875" style="815"/>
    <col min="7681" max="7681" width="3.6640625" style="815" customWidth="1"/>
    <col min="7682" max="7682" width="5.6640625" style="815" customWidth="1"/>
    <col min="7683" max="7683" width="3.6640625" style="815" customWidth="1"/>
    <col min="7684" max="7685" width="7.6640625" style="815" customWidth="1"/>
    <col min="7686" max="7686" width="9.6640625" style="815" customWidth="1"/>
    <col min="7687" max="7688" width="6.6640625" style="815" customWidth="1"/>
    <col min="7689" max="7689" width="3.6640625" style="815" customWidth="1"/>
    <col min="7690" max="7690" width="14.44140625" style="815" customWidth="1"/>
    <col min="7691" max="7691" width="13.33203125" style="815" customWidth="1"/>
    <col min="7692" max="7692" width="12" style="815" customWidth="1"/>
    <col min="7693" max="7693" width="5.6640625" style="815" customWidth="1"/>
    <col min="7694" max="7694" width="10.33203125" style="815" customWidth="1"/>
    <col min="7695" max="7695" width="10.5546875" style="815" customWidth="1"/>
    <col min="7696" max="7696" width="5.6640625" style="815" customWidth="1"/>
    <col min="7697" max="7697" width="12.6640625" style="815" customWidth="1"/>
    <col min="7698" max="7698" width="11.44140625" style="815" customWidth="1"/>
    <col min="7699" max="7699" width="5.6640625" style="815" customWidth="1"/>
    <col min="7700" max="7700" width="40.6640625" style="815" customWidth="1"/>
    <col min="7701" max="7701" width="13.44140625" style="815" customWidth="1"/>
    <col min="7702" max="7702" width="9.6640625" style="815" customWidth="1"/>
    <col min="7703" max="7703" width="22.6640625" style="815" customWidth="1"/>
    <col min="7704" max="7936" width="8.88671875" style="815"/>
    <col min="7937" max="7937" width="3.6640625" style="815" customWidth="1"/>
    <col min="7938" max="7938" width="5.6640625" style="815" customWidth="1"/>
    <col min="7939" max="7939" width="3.6640625" style="815" customWidth="1"/>
    <col min="7940" max="7941" width="7.6640625" style="815" customWidth="1"/>
    <col min="7942" max="7942" width="9.6640625" style="815" customWidth="1"/>
    <col min="7943" max="7944" width="6.6640625" style="815" customWidth="1"/>
    <col min="7945" max="7945" width="3.6640625" style="815" customWidth="1"/>
    <col min="7946" max="7946" width="14.44140625" style="815" customWidth="1"/>
    <col min="7947" max="7947" width="13.33203125" style="815" customWidth="1"/>
    <col min="7948" max="7948" width="12" style="815" customWidth="1"/>
    <col min="7949" max="7949" width="5.6640625" style="815" customWidth="1"/>
    <col min="7950" max="7950" width="10.33203125" style="815" customWidth="1"/>
    <col min="7951" max="7951" width="10.5546875" style="815" customWidth="1"/>
    <col min="7952" max="7952" width="5.6640625" style="815" customWidth="1"/>
    <col min="7953" max="7953" width="12.6640625" style="815" customWidth="1"/>
    <col min="7954" max="7954" width="11.44140625" style="815" customWidth="1"/>
    <col min="7955" max="7955" width="5.6640625" style="815" customWidth="1"/>
    <col min="7956" max="7956" width="40.6640625" style="815" customWidth="1"/>
    <col min="7957" max="7957" width="13.44140625" style="815" customWidth="1"/>
    <col min="7958" max="7958" width="9.6640625" style="815" customWidth="1"/>
    <col min="7959" max="7959" width="22.6640625" style="815" customWidth="1"/>
    <col min="7960" max="8192" width="8.88671875" style="815"/>
    <col min="8193" max="8193" width="3.6640625" style="815" customWidth="1"/>
    <col min="8194" max="8194" width="5.6640625" style="815" customWidth="1"/>
    <col min="8195" max="8195" width="3.6640625" style="815" customWidth="1"/>
    <col min="8196" max="8197" width="7.6640625" style="815" customWidth="1"/>
    <col min="8198" max="8198" width="9.6640625" style="815" customWidth="1"/>
    <col min="8199" max="8200" width="6.6640625" style="815" customWidth="1"/>
    <col min="8201" max="8201" width="3.6640625" style="815" customWidth="1"/>
    <col min="8202" max="8202" width="14.44140625" style="815" customWidth="1"/>
    <col min="8203" max="8203" width="13.33203125" style="815" customWidth="1"/>
    <col min="8204" max="8204" width="12" style="815" customWidth="1"/>
    <col min="8205" max="8205" width="5.6640625" style="815" customWidth="1"/>
    <col min="8206" max="8206" width="10.33203125" style="815" customWidth="1"/>
    <col min="8207" max="8207" width="10.5546875" style="815" customWidth="1"/>
    <col min="8208" max="8208" width="5.6640625" style="815" customWidth="1"/>
    <col min="8209" max="8209" width="12.6640625" style="815" customWidth="1"/>
    <col min="8210" max="8210" width="11.44140625" style="815" customWidth="1"/>
    <col min="8211" max="8211" width="5.6640625" style="815" customWidth="1"/>
    <col min="8212" max="8212" width="40.6640625" style="815" customWidth="1"/>
    <col min="8213" max="8213" width="13.44140625" style="815" customWidth="1"/>
    <col min="8214" max="8214" width="9.6640625" style="815" customWidth="1"/>
    <col min="8215" max="8215" width="22.6640625" style="815" customWidth="1"/>
    <col min="8216" max="8448" width="8.88671875" style="815"/>
    <col min="8449" max="8449" width="3.6640625" style="815" customWidth="1"/>
    <col min="8450" max="8450" width="5.6640625" style="815" customWidth="1"/>
    <col min="8451" max="8451" width="3.6640625" style="815" customWidth="1"/>
    <col min="8452" max="8453" width="7.6640625" style="815" customWidth="1"/>
    <col min="8454" max="8454" width="9.6640625" style="815" customWidth="1"/>
    <col min="8455" max="8456" width="6.6640625" style="815" customWidth="1"/>
    <col min="8457" max="8457" width="3.6640625" style="815" customWidth="1"/>
    <col min="8458" max="8458" width="14.44140625" style="815" customWidth="1"/>
    <col min="8459" max="8459" width="13.33203125" style="815" customWidth="1"/>
    <col min="8460" max="8460" width="12" style="815" customWidth="1"/>
    <col min="8461" max="8461" width="5.6640625" style="815" customWidth="1"/>
    <col min="8462" max="8462" width="10.33203125" style="815" customWidth="1"/>
    <col min="8463" max="8463" width="10.5546875" style="815" customWidth="1"/>
    <col min="8464" max="8464" width="5.6640625" style="815" customWidth="1"/>
    <col min="8465" max="8465" width="12.6640625" style="815" customWidth="1"/>
    <col min="8466" max="8466" width="11.44140625" style="815" customWidth="1"/>
    <col min="8467" max="8467" width="5.6640625" style="815" customWidth="1"/>
    <col min="8468" max="8468" width="40.6640625" style="815" customWidth="1"/>
    <col min="8469" max="8469" width="13.44140625" style="815" customWidth="1"/>
    <col min="8470" max="8470" width="9.6640625" style="815" customWidth="1"/>
    <col min="8471" max="8471" width="22.6640625" style="815" customWidth="1"/>
    <col min="8472" max="8704" width="8.88671875" style="815"/>
    <col min="8705" max="8705" width="3.6640625" style="815" customWidth="1"/>
    <col min="8706" max="8706" width="5.6640625" style="815" customWidth="1"/>
    <col min="8707" max="8707" width="3.6640625" style="815" customWidth="1"/>
    <col min="8708" max="8709" width="7.6640625" style="815" customWidth="1"/>
    <col min="8710" max="8710" width="9.6640625" style="815" customWidth="1"/>
    <col min="8711" max="8712" width="6.6640625" style="815" customWidth="1"/>
    <col min="8713" max="8713" width="3.6640625" style="815" customWidth="1"/>
    <col min="8714" max="8714" width="14.44140625" style="815" customWidth="1"/>
    <col min="8715" max="8715" width="13.33203125" style="815" customWidth="1"/>
    <col min="8716" max="8716" width="12" style="815" customWidth="1"/>
    <col min="8717" max="8717" width="5.6640625" style="815" customWidth="1"/>
    <col min="8718" max="8718" width="10.33203125" style="815" customWidth="1"/>
    <col min="8719" max="8719" width="10.5546875" style="815" customWidth="1"/>
    <col min="8720" max="8720" width="5.6640625" style="815" customWidth="1"/>
    <col min="8721" max="8721" width="12.6640625" style="815" customWidth="1"/>
    <col min="8722" max="8722" width="11.44140625" style="815" customWidth="1"/>
    <col min="8723" max="8723" width="5.6640625" style="815" customWidth="1"/>
    <col min="8724" max="8724" width="40.6640625" style="815" customWidth="1"/>
    <col min="8725" max="8725" width="13.44140625" style="815" customWidth="1"/>
    <col min="8726" max="8726" width="9.6640625" style="815" customWidth="1"/>
    <col min="8727" max="8727" width="22.6640625" style="815" customWidth="1"/>
    <col min="8728" max="8960" width="8.88671875" style="815"/>
    <col min="8961" max="8961" width="3.6640625" style="815" customWidth="1"/>
    <col min="8962" max="8962" width="5.6640625" style="815" customWidth="1"/>
    <col min="8963" max="8963" width="3.6640625" style="815" customWidth="1"/>
    <col min="8964" max="8965" width="7.6640625" style="815" customWidth="1"/>
    <col min="8966" max="8966" width="9.6640625" style="815" customWidth="1"/>
    <col min="8967" max="8968" width="6.6640625" style="815" customWidth="1"/>
    <col min="8969" max="8969" width="3.6640625" style="815" customWidth="1"/>
    <col min="8970" max="8970" width="14.44140625" style="815" customWidth="1"/>
    <col min="8971" max="8971" width="13.33203125" style="815" customWidth="1"/>
    <col min="8972" max="8972" width="12" style="815" customWidth="1"/>
    <col min="8973" max="8973" width="5.6640625" style="815" customWidth="1"/>
    <col min="8974" max="8974" width="10.33203125" style="815" customWidth="1"/>
    <col min="8975" max="8975" width="10.5546875" style="815" customWidth="1"/>
    <col min="8976" max="8976" width="5.6640625" style="815" customWidth="1"/>
    <col min="8977" max="8977" width="12.6640625" style="815" customWidth="1"/>
    <col min="8978" max="8978" width="11.44140625" style="815" customWidth="1"/>
    <col min="8979" max="8979" width="5.6640625" style="815" customWidth="1"/>
    <col min="8980" max="8980" width="40.6640625" style="815" customWidth="1"/>
    <col min="8981" max="8981" width="13.44140625" style="815" customWidth="1"/>
    <col min="8982" max="8982" width="9.6640625" style="815" customWidth="1"/>
    <col min="8983" max="8983" width="22.6640625" style="815" customWidth="1"/>
    <col min="8984" max="9216" width="8.88671875" style="815"/>
    <col min="9217" max="9217" width="3.6640625" style="815" customWidth="1"/>
    <col min="9218" max="9218" width="5.6640625" style="815" customWidth="1"/>
    <col min="9219" max="9219" width="3.6640625" style="815" customWidth="1"/>
    <col min="9220" max="9221" width="7.6640625" style="815" customWidth="1"/>
    <col min="9222" max="9222" width="9.6640625" style="815" customWidth="1"/>
    <col min="9223" max="9224" width="6.6640625" style="815" customWidth="1"/>
    <col min="9225" max="9225" width="3.6640625" style="815" customWidth="1"/>
    <col min="9226" max="9226" width="14.44140625" style="815" customWidth="1"/>
    <col min="9227" max="9227" width="13.33203125" style="815" customWidth="1"/>
    <col min="9228" max="9228" width="12" style="815" customWidth="1"/>
    <col min="9229" max="9229" width="5.6640625" style="815" customWidth="1"/>
    <col min="9230" max="9230" width="10.33203125" style="815" customWidth="1"/>
    <col min="9231" max="9231" width="10.5546875" style="815" customWidth="1"/>
    <col min="9232" max="9232" width="5.6640625" style="815" customWidth="1"/>
    <col min="9233" max="9233" width="12.6640625" style="815" customWidth="1"/>
    <col min="9234" max="9234" width="11.44140625" style="815" customWidth="1"/>
    <col min="9235" max="9235" width="5.6640625" style="815" customWidth="1"/>
    <col min="9236" max="9236" width="40.6640625" style="815" customWidth="1"/>
    <col min="9237" max="9237" width="13.44140625" style="815" customWidth="1"/>
    <col min="9238" max="9238" width="9.6640625" style="815" customWidth="1"/>
    <col min="9239" max="9239" width="22.6640625" style="815" customWidth="1"/>
    <col min="9240" max="9472" width="8.88671875" style="815"/>
    <col min="9473" max="9473" width="3.6640625" style="815" customWidth="1"/>
    <col min="9474" max="9474" width="5.6640625" style="815" customWidth="1"/>
    <col min="9475" max="9475" width="3.6640625" style="815" customWidth="1"/>
    <col min="9476" max="9477" width="7.6640625" style="815" customWidth="1"/>
    <col min="9478" max="9478" width="9.6640625" style="815" customWidth="1"/>
    <col min="9479" max="9480" width="6.6640625" style="815" customWidth="1"/>
    <col min="9481" max="9481" width="3.6640625" style="815" customWidth="1"/>
    <col min="9482" max="9482" width="14.44140625" style="815" customWidth="1"/>
    <col min="9483" max="9483" width="13.33203125" style="815" customWidth="1"/>
    <col min="9484" max="9484" width="12" style="815" customWidth="1"/>
    <col min="9485" max="9485" width="5.6640625" style="815" customWidth="1"/>
    <col min="9486" max="9486" width="10.33203125" style="815" customWidth="1"/>
    <col min="9487" max="9487" width="10.5546875" style="815" customWidth="1"/>
    <col min="9488" max="9488" width="5.6640625" style="815" customWidth="1"/>
    <col min="9489" max="9489" width="12.6640625" style="815" customWidth="1"/>
    <col min="9490" max="9490" width="11.44140625" style="815" customWidth="1"/>
    <col min="9491" max="9491" width="5.6640625" style="815" customWidth="1"/>
    <col min="9492" max="9492" width="40.6640625" style="815" customWidth="1"/>
    <col min="9493" max="9493" width="13.44140625" style="815" customWidth="1"/>
    <col min="9494" max="9494" width="9.6640625" style="815" customWidth="1"/>
    <col min="9495" max="9495" width="22.6640625" style="815" customWidth="1"/>
    <col min="9496" max="9728" width="8.88671875" style="815"/>
    <col min="9729" max="9729" width="3.6640625" style="815" customWidth="1"/>
    <col min="9730" max="9730" width="5.6640625" style="815" customWidth="1"/>
    <col min="9731" max="9731" width="3.6640625" style="815" customWidth="1"/>
    <col min="9732" max="9733" width="7.6640625" style="815" customWidth="1"/>
    <col min="9734" max="9734" width="9.6640625" style="815" customWidth="1"/>
    <col min="9735" max="9736" width="6.6640625" style="815" customWidth="1"/>
    <col min="9737" max="9737" width="3.6640625" style="815" customWidth="1"/>
    <col min="9738" max="9738" width="14.44140625" style="815" customWidth="1"/>
    <col min="9739" max="9739" width="13.33203125" style="815" customWidth="1"/>
    <col min="9740" max="9740" width="12" style="815" customWidth="1"/>
    <col min="9741" max="9741" width="5.6640625" style="815" customWidth="1"/>
    <col min="9742" max="9742" width="10.33203125" style="815" customWidth="1"/>
    <col min="9743" max="9743" width="10.5546875" style="815" customWidth="1"/>
    <col min="9744" max="9744" width="5.6640625" style="815" customWidth="1"/>
    <col min="9745" max="9745" width="12.6640625" style="815" customWidth="1"/>
    <col min="9746" max="9746" width="11.44140625" style="815" customWidth="1"/>
    <col min="9747" max="9747" width="5.6640625" style="815" customWidth="1"/>
    <col min="9748" max="9748" width="40.6640625" style="815" customWidth="1"/>
    <col min="9749" max="9749" width="13.44140625" style="815" customWidth="1"/>
    <col min="9750" max="9750" width="9.6640625" style="815" customWidth="1"/>
    <col min="9751" max="9751" width="22.6640625" style="815" customWidth="1"/>
    <col min="9752" max="9984" width="8.88671875" style="815"/>
    <col min="9985" max="9985" width="3.6640625" style="815" customWidth="1"/>
    <col min="9986" max="9986" width="5.6640625" style="815" customWidth="1"/>
    <col min="9987" max="9987" width="3.6640625" style="815" customWidth="1"/>
    <col min="9988" max="9989" width="7.6640625" style="815" customWidth="1"/>
    <col min="9990" max="9990" width="9.6640625" style="815" customWidth="1"/>
    <col min="9991" max="9992" width="6.6640625" style="815" customWidth="1"/>
    <col min="9993" max="9993" width="3.6640625" style="815" customWidth="1"/>
    <col min="9994" max="9994" width="14.44140625" style="815" customWidth="1"/>
    <col min="9995" max="9995" width="13.33203125" style="815" customWidth="1"/>
    <col min="9996" max="9996" width="12" style="815" customWidth="1"/>
    <col min="9997" max="9997" width="5.6640625" style="815" customWidth="1"/>
    <col min="9998" max="9998" width="10.33203125" style="815" customWidth="1"/>
    <col min="9999" max="9999" width="10.5546875" style="815" customWidth="1"/>
    <col min="10000" max="10000" width="5.6640625" style="815" customWidth="1"/>
    <col min="10001" max="10001" width="12.6640625" style="815" customWidth="1"/>
    <col min="10002" max="10002" width="11.44140625" style="815" customWidth="1"/>
    <col min="10003" max="10003" width="5.6640625" style="815" customWidth="1"/>
    <col min="10004" max="10004" width="40.6640625" style="815" customWidth="1"/>
    <col min="10005" max="10005" width="13.44140625" style="815" customWidth="1"/>
    <col min="10006" max="10006" width="9.6640625" style="815" customWidth="1"/>
    <col min="10007" max="10007" width="22.6640625" style="815" customWidth="1"/>
    <col min="10008" max="10240" width="8.88671875" style="815"/>
    <col min="10241" max="10241" width="3.6640625" style="815" customWidth="1"/>
    <col min="10242" max="10242" width="5.6640625" style="815" customWidth="1"/>
    <col min="10243" max="10243" width="3.6640625" style="815" customWidth="1"/>
    <col min="10244" max="10245" width="7.6640625" style="815" customWidth="1"/>
    <col min="10246" max="10246" width="9.6640625" style="815" customWidth="1"/>
    <col min="10247" max="10248" width="6.6640625" style="815" customWidth="1"/>
    <col min="10249" max="10249" width="3.6640625" style="815" customWidth="1"/>
    <col min="10250" max="10250" width="14.44140625" style="815" customWidth="1"/>
    <col min="10251" max="10251" width="13.33203125" style="815" customWidth="1"/>
    <col min="10252" max="10252" width="12" style="815" customWidth="1"/>
    <col min="10253" max="10253" width="5.6640625" style="815" customWidth="1"/>
    <col min="10254" max="10254" width="10.33203125" style="815" customWidth="1"/>
    <col min="10255" max="10255" width="10.5546875" style="815" customWidth="1"/>
    <col min="10256" max="10256" width="5.6640625" style="815" customWidth="1"/>
    <col min="10257" max="10257" width="12.6640625" style="815" customWidth="1"/>
    <col min="10258" max="10258" width="11.44140625" style="815" customWidth="1"/>
    <col min="10259" max="10259" width="5.6640625" style="815" customWidth="1"/>
    <col min="10260" max="10260" width="40.6640625" style="815" customWidth="1"/>
    <col min="10261" max="10261" width="13.44140625" style="815" customWidth="1"/>
    <col min="10262" max="10262" width="9.6640625" style="815" customWidth="1"/>
    <col min="10263" max="10263" width="22.6640625" style="815" customWidth="1"/>
    <col min="10264" max="10496" width="8.88671875" style="815"/>
    <col min="10497" max="10497" width="3.6640625" style="815" customWidth="1"/>
    <col min="10498" max="10498" width="5.6640625" style="815" customWidth="1"/>
    <col min="10499" max="10499" width="3.6640625" style="815" customWidth="1"/>
    <col min="10500" max="10501" width="7.6640625" style="815" customWidth="1"/>
    <col min="10502" max="10502" width="9.6640625" style="815" customWidth="1"/>
    <col min="10503" max="10504" width="6.6640625" style="815" customWidth="1"/>
    <col min="10505" max="10505" width="3.6640625" style="815" customWidth="1"/>
    <col min="10506" max="10506" width="14.44140625" style="815" customWidth="1"/>
    <col min="10507" max="10507" width="13.33203125" style="815" customWidth="1"/>
    <col min="10508" max="10508" width="12" style="815" customWidth="1"/>
    <col min="10509" max="10509" width="5.6640625" style="815" customWidth="1"/>
    <col min="10510" max="10510" width="10.33203125" style="815" customWidth="1"/>
    <col min="10511" max="10511" width="10.5546875" style="815" customWidth="1"/>
    <col min="10512" max="10512" width="5.6640625" style="815" customWidth="1"/>
    <col min="10513" max="10513" width="12.6640625" style="815" customWidth="1"/>
    <col min="10514" max="10514" width="11.44140625" style="815" customWidth="1"/>
    <col min="10515" max="10515" width="5.6640625" style="815" customWidth="1"/>
    <col min="10516" max="10516" width="40.6640625" style="815" customWidth="1"/>
    <col min="10517" max="10517" width="13.44140625" style="815" customWidth="1"/>
    <col min="10518" max="10518" width="9.6640625" style="815" customWidth="1"/>
    <col min="10519" max="10519" width="22.6640625" style="815" customWidth="1"/>
    <col min="10520" max="10752" width="8.88671875" style="815"/>
    <col min="10753" max="10753" width="3.6640625" style="815" customWidth="1"/>
    <col min="10754" max="10754" width="5.6640625" style="815" customWidth="1"/>
    <col min="10755" max="10755" width="3.6640625" style="815" customWidth="1"/>
    <col min="10756" max="10757" width="7.6640625" style="815" customWidth="1"/>
    <col min="10758" max="10758" width="9.6640625" style="815" customWidth="1"/>
    <col min="10759" max="10760" width="6.6640625" style="815" customWidth="1"/>
    <col min="10761" max="10761" width="3.6640625" style="815" customWidth="1"/>
    <col min="10762" max="10762" width="14.44140625" style="815" customWidth="1"/>
    <col min="10763" max="10763" width="13.33203125" style="815" customWidth="1"/>
    <col min="10764" max="10764" width="12" style="815" customWidth="1"/>
    <col min="10765" max="10765" width="5.6640625" style="815" customWidth="1"/>
    <col min="10766" max="10766" width="10.33203125" style="815" customWidth="1"/>
    <col min="10767" max="10767" width="10.5546875" style="815" customWidth="1"/>
    <col min="10768" max="10768" width="5.6640625" style="815" customWidth="1"/>
    <col min="10769" max="10769" width="12.6640625" style="815" customWidth="1"/>
    <col min="10770" max="10770" width="11.44140625" style="815" customWidth="1"/>
    <col min="10771" max="10771" width="5.6640625" style="815" customWidth="1"/>
    <col min="10772" max="10772" width="40.6640625" style="815" customWidth="1"/>
    <col min="10773" max="10773" width="13.44140625" style="815" customWidth="1"/>
    <col min="10774" max="10774" width="9.6640625" style="815" customWidth="1"/>
    <col min="10775" max="10775" width="22.6640625" style="815" customWidth="1"/>
    <col min="10776" max="11008" width="8.88671875" style="815"/>
    <col min="11009" max="11009" width="3.6640625" style="815" customWidth="1"/>
    <col min="11010" max="11010" width="5.6640625" style="815" customWidth="1"/>
    <col min="11011" max="11011" width="3.6640625" style="815" customWidth="1"/>
    <col min="11012" max="11013" width="7.6640625" style="815" customWidth="1"/>
    <col min="11014" max="11014" width="9.6640625" style="815" customWidth="1"/>
    <col min="11015" max="11016" width="6.6640625" style="815" customWidth="1"/>
    <col min="11017" max="11017" width="3.6640625" style="815" customWidth="1"/>
    <col min="11018" max="11018" width="14.44140625" style="815" customWidth="1"/>
    <col min="11019" max="11019" width="13.33203125" style="815" customWidth="1"/>
    <col min="11020" max="11020" width="12" style="815" customWidth="1"/>
    <col min="11021" max="11021" width="5.6640625" style="815" customWidth="1"/>
    <col min="11022" max="11022" width="10.33203125" style="815" customWidth="1"/>
    <col min="11023" max="11023" width="10.5546875" style="815" customWidth="1"/>
    <col min="11024" max="11024" width="5.6640625" style="815" customWidth="1"/>
    <col min="11025" max="11025" width="12.6640625" style="815" customWidth="1"/>
    <col min="11026" max="11026" width="11.44140625" style="815" customWidth="1"/>
    <col min="11027" max="11027" width="5.6640625" style="815" customWidth="1"/>
    <col min="11028" max="11028" width="40.6640625" style="815" customWidth="1"/>
    <col min="11029" max="11029" width="13.44140625" style="815" customWidth="1"/>
    <col min="11030" max="11030" width="9.6640625" style="815" customWidth="1"/>
    <col min="11031" max="11031" width="22.6640625" style="815" customWidth="1"/>
    <col min="11032" max="11264" width="8.88671875" style="815"/>
    <col min="11265" max="11265" width="3.6640625" style="815" customWidth="1"/>
    <col min="11266" max="11266" width="5.6640625" style="815" customWidth="1"/>
    <col min="11267" max="11267" width="3.6640625" style="815" customWidth="1"/>
    <col min="11268" max="11269" width="7.6640625" style="815" customWidth="1"/>
    <col min="11270" max="11270" width="9.6640625" style="815" customWidth="1"/>
    <col min="11271" max="11272" width="6.6640625" style="815" customWidth="1"/>
    <col min="11273" max="11273" width="3.6640625" style="815" customWidth="1"/>
    <col min="11274" max="11274" width="14.44140625" style="815" customWidth="1"/>
    <col min="11275" max="11275" width="13.33203125" style="815" customWidth="1"/>
    <col min="11276" max="11276" width="12" style="815" customWidth="1"/>
    <col min="11277" max="11277" width="5.6640625" style="815" customWidth="1"/>
    <col min="11278" max="11278" width="10.33203125" style="815" customWidth="1"/>
    <col min="11279" max="11279" width="10.5546875" style="815" customWidth="1"/>
    <col min="11280" max="11280" width="5.6640625" style="815" customWidth="1"/>
    <col min="11281" max="11281" width="12.6640625" style="815" customWidth="1"/>
    <col min="11282" max="11282" width="11.44140625" style="815" customWidth="1"/>
    <col min="11283" max="11283" width="5.6640625" style="815" customWidth="1"/>
    <col min="11284" max="11284" width="40.6640625" style="815" customWidth="1"/>
    <col min="11285" max="11285" width="13.44140625" style="815" customWidth="1"/>
    <col min="11286" max="11286" width="9.6640625" style="815" customWidth="1"/>
    <col min="11287" max="11287" width="22.6640625" style="815" customWidth="1"/>
    <col min="11288" max="11520" width="8.88671875" style="815"/>
    <col min="11521" max="11521" width="3.6640625" style="815" customWidth="1"/>
    <col min="11522" max="11522" width="5.6640625" style="815" customWidth="1"/>
    <col min="11523" max="11523" width="3.6640625" style="815" customWidth="1"/>
    <col min="11524" max="11525" width="7.6640625" style="815" customWidth="1"/>
    <col min="11526" max="11526" width="9.6640625" style="815" customWidth="1"/>
    <col min="11527" max="11528" width="6.6640625" style="815" customWidth="1"/>
    <col min="11529" max="11529" width="3.6640625" style="815" customWidth="1"/>
    <col min="11530" max="11530" width="14.44140625" style="815" customWidth="1"/>
    <col min="11531" max="11531" width="13.33203125" style="815" customWidth="1"/>
    <col min="11532" max="11532" width="12" style="815" customWidth="1"/>
    <col min="11533" max="11533" width="5.6640625" style="815" customWidth="1"/>
    <col min="11534" max="11534" width="10.33203125" style="815" customWidth="1"/>
    <col min="11535" max="11535" width="10.5546875" style="815" customWidth="1"/>
    <col min="11536" max="11536" width="5.6640625" style="815" customWidth="1"/>
    <col min="11537" max="11537" width="12.6640625" style="815" customWidth="1"/>
    <col min="11538" max="11538" width="11.44140625" style="815" customWidth="1"/>
    <col min="11539" max="11539" width="5.6640625" style="815" customWidth="1"/>
    <col min="11540" max="11540" width="40.6640625" style="815" customWidth="1"/>
    <col min="11541" max="11541" width="13.44140625" style="815" customWidth="1"/>
    <col min="11542" max="11542" width="9.6640625" style="815" customWidth="1"/>
    <col min="11543" max="11543" width="22.6640625" style="815" customWidth="1"/>
    <col min="11544" max="11776" width="8.88671875" style="815"/>
    <col min="11777" max="11777" width="3.6640625" style="815" customWidth="1"/>
    <col min="11778" max="11778" width="5.6640625" style="815" customWidth="1"/>
    <col min="11779" max="11779" width="3.6640625" style="815" customWidth="1"/>
    <col min="11780" max="11781" width="7.6640625" style="815" customWidth="1"/>
    <col min="11782" max="11782" width="9.6640625" style="815" customWidth="1"/>
    <col min="11783" max="11784" width="6.6640625" style="815" customWidth="1"/>
    <col min="11785" max="11785" width="3.6640625" style="815" customWidth="1"/>
    <col min="11786" max="11786" width="14.44140625" style="815" customWidth="1"/>
    <col min="11787" max="11787" width="13.33203125" style="815" customWidth="1"/>
    <col min="11788" max="11788" width="12" style="815" customWidth="1"/>
    <col min="11789" max="11789" width="5.6640625" style="815" customWidth="1"/>
    <col min="11790" max="11790" width="10.33203125" style="815" customWidth="1"/>
    <col min="11791" max="11791" width="10.5546875" style="815" customWidth="1"/>
    <col min="11792" max="11792" width="5.6640625" style="815" customWidth="1"/>
    <col min="11793" max="11793" width="12.6640625" style="815" customWidth="1"/>
    <col min="11794" max="11794" width="11.44140625" style="815" customWidth="1"/>
    <col min="11795" max="11795" width="5.6640625" style="815" customWidth="1"/>
    <col min="11796" max="11796" width="40.6640625" style="815" customWidth="1"/>
    <col min="11797" max="11797" width="13.44140625" style="815" customWidth="1"/>
    <col min="11798" max="11798" width="9.6640625" style="815" customWidth="1"/>
    <col min="11799" max="11799" width="22.6640625" style="815" customWidth="1"/>
    <col min="11800" max="12032" width="8.88671875" style="815"/>
    <col min="12033" max="12033" width="3.6640625" style="815" customWidth="1"/>
    <col min="12034" max="12034" width="5.6640625" style="815" customWidth="1"/>
    <col min="12035" max="12035" width="3.6640625" style="815" customWidth="1"/>
    <col min="12036" max="12037" width="7.6640625" style="815" customWidth="1"/>
    <col min="12038" max="12038" width="9.6640625" style="815" customWidth="1"/>
    <col min="12039" max="12040" width="6.6640625" style="815" customWidth="1"/>
    <col min="12041" max="12041" width="3.6640625" style="815" customWidth="1"/>
    <col min="12042" max="12042" width="14.44140625" style="815" customWidth="1"/>
    <col min="12043" max="12043" width="13.33203125" style="815" customWidth="1"/>
    <col min="12044" max="12044" width="12" style="815" customWidth="1"/>
    <col min="12045" max="12045" width="5.6640625" style="815" customWidth="1"/>
    <col min="12046" max="12046" width="10.33203125" style="815" customWidth="1"/>
    <col min="12047" max="12047" width="10.5546875" style="815" customWidth="1"/>
    <col min="12048" max="12048" width="5.6640625" style="815" customWidth="1"/>
    <col min="12049" max="12049" width="12.6640625" style="815" customWidth="1"/>
    <col min="12050" max="12050" width="11.44140625" style="815" customWidth="1"/>
    <col min="12051" max="12051" width="5.6640625" style="815" customWidth="1"/>
    <col min="12052" max="12052" width="40.6640625" style="815" customWidth="1"/>
    <col min="12053" max="12053" width="13.44140625" style="815" customWidth="1"/>
    <col min="12054" max="12054" width="9.6640625" style="815" customWidth="1"/>
    <col min="12055" max="12055" width="22.6640625" style="815" customWidth="1"/>
    <col min="12056" max="12288" width="8.88671875" style="815"/>
    <col min="12289" max="12289" width="3.6640625" style="815" customWidth="1"/>
    <col min="12290" max="12290" width="5.6640625" style="815" customWidth="1"/>
    <col min="12291" max="12291" width="3.6640625" style="815" customWidth="1"/>
    <col min="12292" max="12293" width="7.6640625" style="815" customWidth="1"/>
    <col min="12294" max="12294" width="9.6640625" style="815" customWidth="1"/>
    <col min="12295" max="12296" width="6.6640625" style="815" customWidth="1"/>
    <col min="12297" max="12297" width="3.6640625" style="815" customWidth="1"/>
    <col min="12298" max="12298" width="14.44140625" style="815" customWidth="1"/>
    <col min="12299" max="12299" width="13.33203125" style="815" customWidth="1"/>
    <col min="12300" max="12300" width="12" style="815" customWidth="1"/>
    <col min="12301" max="12301" width="5.6640625" style="815" customWidth="1"/>
    <col min="12302" max="12302" width="10.33203125" style="815" customWidth="1"/>
    <col min="12303" max="12303" width="10.5546875" style="815" customWidth="1"/>
    <col min="12304" max="12304" width="5.6640625" style="815" customWidth="1"/>
    <col min="12305" max="12305" width="12.6640625" style="815" customWidth="1"/>
    <col min="12306" max="12306" width="11.44140625" style="815" customWidth="1"/>
    <col min="12307" max="12307" width="5.6640625" style="815" customWidth="1"/>
    <col min="12308" max="12308" width="40.6640625" style="815" customWidth="1"/>
    <col min="12309" max="12309" width="13.44140625" style="815" customWidth="1"/>
    <col min="12310" max="12310" width="9.6640625" style="815" customWidth="1"/>
    <col min="12311" max="12311" width="22.6640625" style="815" customWidth="1"/>
    <col min="12312" max="12544" width="8.88671875" style="815"/>
    <col min="12545" max="12545" width="3.6640625" style="815" customWidth="1"/>
    <col min="12546" max="12546" width="5.6640625" style="815" customWidth="1"/>
    <col min="12547" max="12547" width="3.6640625" style="815" customWidth="1"/>
    <col min="12548" max="12549" width="7.6640625" style="815" customWidth="1"/>
    <col min="12550" max="12550" width="9.6640625" style="815" customWidth="1"/>
    <col min="12551" max="12552" width="6.6640625" style="815" customWidth="1"/>
    <col min="12553" max="12553" width="3.6640625" style="815" customWidth="1"/>
    <col min="12554" max="12554" width="14.44140625" style="815" customWidth="1"/>
    <col min="12555" max="12555" width="13.33203125" style="815" customWidth="1"/>
    <col min="12556" max="12556" width="12" style="815" customWidth="1"/>
    <col min="12557" max="12557" width="5.6640625" style="815" customWidth="1"/>
    <col min="12558" max="12558" width="10.33203125" style="815" customWidth="1"/>
    <col min="12559" max="12559" width="10.5546875" style="815" customWidth="1"/>
    <col min="12560" max="12560" width="5.6640625" style="815" customWidth="1"/>
    <col min="12561" max="12561" width="12.6640625" style="815" customWidth="1"/>
    <col min="12562" max="12562" width="11.44140625" style="815" customWidth="1"/>
    <col min="12563" max="12563" width="5.6640625" style="815" customWidth="1"/>
    <col min="12564" max="12564" width="40.6640625" style="815" customWidth="1"/>
    <col min="12565" max="12565" width="13.44140625" style="815" customWidth="1"/>
    <col min="12566" max="12566" width="9.6640625" style="815" customWidth="1"/>
    <col min="12567" max="12567" width="22.6640625" style="815" customWidth="1"/>
    <col min="12568" max="12800" width="8.88671875" style="815"/>
    <col min="12801" max="12801" width="3.6640625" style="815" customWidth="1"/>
    <col min="12802" max="12802" width="5.6640625" style="815" customWidth="1"/>
    <col min="12803" max="12803" width="3.6640625" style="815" customWidth="1"/>
    <col min="12804" max="12805" width="7.6640625" style="815" customWidth="1"/>
    <col min="12806" max="12806" width="9.6640625" style="815" customWidth="1"/>
    <col min="12807" max="12808" width="6.6640625" style="815" customWidth="1"/>
    <col min="12809" max="12809" width="3.6640625" style="815" customWidth="1"/>
    <col min="12810" max="12810" width="14.44140625" style="815" customWidth="1"/>
    <col min="12811" max="12811" width="13.33203125" style="815" customWidth="1"/>
    <col min="12812" max="12812" width="12" style="815" customWidth="1"/>
    <col min="12813" max="12813" width="5.6640625" style="815" customWidth="1"/>
    <col min="12814" max="12814" width="10.33203125" style="815" customWidth="1"/>
    <col min="12815" max="12815" width="10.5546875" style="815" customWidth="1"/>
    <col min="12816" max="12816" width="5.6640625" style="815" customWidth="1"/>
    <col min="12817" max="12817" width="12.6640625" style="815" customWidth="1"/>
    <col min="12818" max="12818" width="11.44140625" style="815" customWidth="1"/>
    <col min="12819" max="12819" width="5.6640625" style="815" customWidth="1"/>
    <col min="12820" max="12820" width="40.6640625" style="815" customWidth="1"/>
    <col min="12821" max="12821" width="13.44140625" style="815" customWidth="1"/>
    <col min="12822" max="12822" width="9.6640625" style="815" customWidth="1"/>
    <col min="12823" max="12823" width="22.6640625" style="815" customWidth="1"/>
    <col min="12824" max="13056" width="8.88671875" style="815"/>
    <col min="13057" max="13057" width="3.6640625" style="815" customWidth="1"/>
    <col min="13058" max="13058" width="5.6640625" style="815" customWidth="1"/>
    <col min="13059" max="13059" width="3.6640625" style="815" customWidth="1"/>
    <col min="13060" max="13061" width="7.6640625" style="815" customWidth="1"/>
    <col min="13062" max="13062" width="9.6640625" style="815" customWidth="1"/>
    <col min="13063" max="13064" width="6.6640625" style="815" customWidth="1"/>
    <col min="13065" max="13065" width="3.6640625" style="815" customWidth="1"/>
    <col min="13066" max="13066" width="14.44140625" style="815" customWidth="1"/>
    <col min="13067" max="13067" width="13.33203125" style="815" customWidth="1"/>
    <col min="13068" max="13068" width="12" style="815" customWidth="1"/>
    <col min="13069" max="13069" width="5.6640625" style="815" customWidth="1"/>
    <col min="13070" max="13070" width="10.33203125" style="815" customWidth="1"/>
    <col min="13071" max="13071" width="10.5546875" style="815" customWidth="1"/>
    <col min="13072" max="13072" width="5.6640625" style="815" customWidth="1"/>
    <col min="13073" max="13073" width="12.6640625" style="815" customWidth="1"/>
    <col min="13074" max="13074" width="11.44140625" style="815" customWidth="1"/>
    <col min="13075" max="13075" width="5.6640625" style="815" customWidth="1"/>
    <col min="13076" max="13076" width="40.6640625" style="815" customWidth="1"/>
    <col min="13077" max="13077" width="13.44140625" style="815" customWidth="1"/>
    <col min="13078" max="13078" width="9.6640625" style="815" customWidth="1"/>
    <col min="13079" max="13079" width="22.6640625" style="815" customWidth="1"/>
    <col min="13080" max="13312" width="8.88671875" style="815"/>
    <col min="13313" max="13313" width="3.6640625" style="815" customWidth="1"/>
    <col min="13314" max="13314" width="5.6640625" style="815" customWidth="1"/>
    <col min="13315" max="13315" width="3.6640625" style="815" customWidth="1"/>
    <col min="13316" max="13317" width="7.6640625" style="815" customWidth="1"/>
    <col min="13318" max="13318" width="9.6640625" style="815" customWidth="1"/>
    <col min="13319" max="13320" width="6.6640625" style="815" customWidth="1"/>
    <col min="13321" max="13321" width="3.6640625" style="815" customWidth="1"/>
    <col min="13322" max="13322" width="14.44140625" style="815" customWidth="1"/>
    <col min="13323" max="13323" width="13.33203125" style="815" customWidth="1"/>
    <col min="13324" max="13324" width="12" style="815" customWidth="1"/>
    <col min="13325" max="13325" width="5.6640625" style="815" customWidth="1"/>
    <col min="13326" max="13326" width="10.33203125" style="815" customWidth="1"/>
    <col min="13327" max="13327" width="10.5546875" style="815" customWidth="1"/>
    <col min="13328" max="13328" width="5.6640625" style="815" customWidth="1"/>
    <col min="13329" max="13329" width="12.6640625" style="815" customWidth="1"/>
    <col min="13330" max="13330" width="11.44140625" style="815" customWidth="1"/>
    <col min="13331" max="13331" width="5.6640625" style="815" customWidth="1"/>
    <col min="13332" max="13332" width="40.6640625" style="815" customWidth="1"/>
    <col min="13333" max="13333" width="13.44140625" style="815" customWidth="1"/>
    <col min="13334" max="13334" width="9.6640625" style="815" customWidth="1"/>
    <col min="13335" max="13335" width="22.6640625" style="815" customWidth="1"/>
    <col min="13336" max="13568" width="8.88671875" style="815"/>
    <col min="13569" max="13569" width="3.6640625" style="815" customWidth="1"/>
    <col min="13570" max="13570" width="5.6640625" style="815" customWidth="1"/>
    <col min="13571" max="13571" width="3.6640625" style="815" customWidth="1"/>
    <col min="13572" max="13573" width="7.6640625" style="815" customWidth="1"/>
    <col min="13574" max="13574" width="9.6640625" style="815" customWidth="1"/>
    <col min="13575" max="13576" width="6.6640625" style="815" customWidth="1"/>
    <col min="13577" max="13577" width="3.6640625" style="815" customWidth="1"/>
    <col min="13578" max="13578" width="14.44140625" style="815" customWidth="1"/>
    <col min="13579" max="13579" width="13.33203125" style="815" customWidth="1"/>
    <col min="13580" max="13580" width="12" style="815" customWidth="1"/>
    <col min="13581" max="13581" width="5.6640625" style="815" customWidth="1"/>
    <col min="13582" max="13582" width="10.33203125" style="815" customWidth="1"/>
    <col min="13583" max="13583" width="10.5546875" style="815" customWidth="1"/>
    <col min="13584" max="13584" width="5.6640625" style="815" customWidth="1"/>
    <col min="13585" max="13585" width="12.6640625" style="815" customWidth="1"/>
    <col min="13586" max="13586" width="11.44140625" style="815" customWidth="1"/>
    <col min="13587" max="13587" width="5.6640625" style="815" customWidth="1"/>
    <col min="13588" max="13588" width="40.6640625" style="815" customWidth="1"/>
    <col min="13589" max="13589" width="13.44140625" style="815" customWidth="1"/>
    <col min="13590" max="13590" width="9.6640625" style="815" customWidth="1"/>
    <col min="13591" max="13591" width="22.6640625" style="815" customWidth="1"/>
    <col min="13592" max="13824" width="8.88671875" style="815"/>
    <col min="13825" max="13825" width="3.6640625" style="815" customWidth="1"/>
    <col min="13826" max="13826" width="5.6640625" style="815" customWidth="1"/>
    <col min="13827" max="13827" width="3.6640625" style="815" customWidth="1"/>
    <col min="13828" max="13829" width="7.6640625" style="815" customWidth="1"/>
    <col min="13830" max="13830" width="9.6640625" style="815" customWidth="1"/>
    <col min="13831" max="13832" width="6.6640625" style="815" customWidth="1"/>
    <col min="13833" max="13833" width="3.6640625" style="815" customWidth="1"/>
    <col min="13834" max="13834" width="14.44140625" style="815" customWidth="1"/>
    <col min="13835" max="13835" width="13.33203125" style="815" customWidth="1"/>
    <col min="13836" max="13836" width="12" style="815" customWidth="1"/>
    <col min="13837" max="13837" width="5.6640625" style="815" customWidth="1"/>
    <col min="13838" max="13838" width="10.33203125" style="815" customWidth="1"/>
    <col min="13839" max="13839" width="10.5546875" style="815" customWidth="1"/>
    <col min="13840" max="13840" width="5.6640625" style="815" customWidth="1"/>
    <col min="13841" max="13841" width="12.6640625" style="815" customWidth="1"/>
    <col min="13842" max="13842" width="11.44140625" style="815" customWidth="1"/>
    <col min="13843" max="13843" width="5.6640625" style="815" customWidth="1"/>
    <col min="13844" max="13844" width="40.6640625" style="815" customWidth="1"/>
    <col min="13845" max="13845" width="13.44140625" style="815" customWidth="1"/>
    <col min="13846" max="13846" width="9.6640625" style="815" customWidth="1"/>
    <col min="13847" max="13847" width="22.6640625" style="815" customWidth="1"/>
    <col min="13848" max="14080" width="8.88671875" style="815"/>
    <col min="14081" max="14081" width="3.6640625" style="815" customWidth="1"/>
    <col min="14082" max="14082" width="5.6640625" style="815" customWidth="1"/>
    <col min="14083" max="14083" width="3.6640625" style="815" customWidth="1"/>
    <col min="14084" max="14085" width="7.6640625" style="815" customWidth="1"/>
    <col min="14086" max="14086" width="9.6640625" style="815" customWidth="1"/>
    <col min="14087" max="14088" width="6.6640625" style="815" customWidth="1"/>
    <col min="14089" max="14089" width="3.6640625" style="815" customWidth="1"/>
    <col min="14090" max="14090" width="14.44140625" style="815" customWidth="1"/>
    <col min="14091" max="14091" width="13.33203125" style="815" customWidth="1"/>
    <col min="14092" max="14092" width="12" style="815" customWidth="1"/>
    <col min="14093" max="14093" width="5.6640625" style="815" customWidth="1"/>
    <col min="14094" max="14094" width="10.33203125" style="815" customWidth="1"/>
    <col min="14095" max="14095" width="10.5546875" style="815" customWidth="1"/>
    <col min="14096" max="14096" width="5.6640625" style="815" customWidth="1"/>
    <col min="14097" max="14097" width="12.6640625" style="815" customWidth="1"/>
    <col min="14098" max="14098" width="11.44140625" style="815" customWidth="1"/>
    <col min="14099" max="14099" width="5.6640625" style="815" customWidth="1"/>
    <col min="14100" max="14100" width="40.6640625" style="815" customWidth="1"/>
    <col min="14101" max="14101" width="13.44140625" style="815" customWidth="1"/>
    <col min="14102" max="14102" width="9.6640625" style="815" customWidth="1"/>
    <col min="14103" max="14103" width="22.6640625" style="815" customWidth="1"/>
    <col min="14104" max="14336" width="8.88671875" style="815"/>
    <col min="14337" max="14337" width="3.6640625" style="815" customWidth="1"/>
    <col min="14338" max="14338" width="5.6640625" style="815" customWidth="1"/>
    <col min="14339" max="14339" width="3.6640625" style="815" customWidth="1"/>
    <col min="14340" max="14341" width="7.6640625" style="815" customWidth="1"/>
    <col min="14342" max="14342" width="9.6640625" style="815" customWidth="1"/>
    <col min="14343" max="14344" width="6.6640625" style="815" customWidth="1"/>
    <col min="14345" max="14345" width="3.6640625" style="815" customWidth="1"/>
    <col min="14346" max="14346" width="14.44140625" style="815" customWidth="1"/>
    <col min="14347" max="14347" width="13.33203125" style="815" customWidth="1"/>
    <col min="14348" max="14348" width="12" style="815" customWidth="1"/>
    <col min="14349" max="14349" width="5.6640625" style="815" customWidth="1"/>
    <col min="14350" max="14350" width="10.33203125" style="815" customWidth="1"/>
    <col min="14351" max="14351" width="10.5546875" style="815" customWidth="1"/>
    <col min="14352" max="14352" width="5.6640625" style="815" customWidth="1"/>
    <col min="14353" max="14353" width="12.6640625" style="815" customWidth="1"/>
    <col min="14354" max="14354" width="11.44140625" style="815" customWidth="1"/>
    <col min="14355" max="14355" width="5.6640625" style="815" customWidth="1"/>
    <col min="14356" max="14356" width="40.6640625" style="815" customWidth="1"/>
    <col min="14357" max="14357" width="13.44140625" style="815" customWidth="1"/>
    <col min="14358" max="14358" width="9.6640625" style="815" customWidth="1"/>
    <col min="14359" max="14359" width="22.6640625" style="815" customWidth="1"/>
    <col min="14360" max="14592" width="8.88671875" style="815"/>
    <col min="14593" max="14593" width="3.6640625" style="815" customWidth="1"/>
    <col min="14594" max="14594" width="5.6640625" style="815" customWidth="1"/>
    <col min="14595" max="14595" width="3.6640625" style="815" customWidth="1"/>
    <col min="14596" max="14597" width="7.6640625" style="815" customWidth="1"/>
    <col min="14598" max="14598" width="9.6640625" style="815" customWidth="1"/>
    <col min="14599" max="14600" width="6.6640625" style="815" customWidth="1"/>
    <col min="14601" max="14601" width="3.6640625" style="815" customWidth="1"/>
    <col min="14602" max="14602" width="14.44140625" style="815" customWidth="1"/>
    <col min="14603" max="14603" width="13.33203125" style="815" customWidth="1"/>
    <col min="14604" max="14604" width="12" style="815" customWidth="1"/>
    <col min="14605" max="14605" width="5.6640625" style="815" customWidth="1"/>
    <col min="14606" max="14606" width="10.33203125" style="815" customWidth="1"/>
    <col min="14607" max="14607" width="10.5546875" style="815" customWidth="1"/>
    <col min="14608" max="14608" width="5.6640625" style="815" customWidth="1"/>
    <col min="14609" max="14609" width="12.6640625" style="815" customWidth="1"/>
    <col min="14610" max="14610" width="11.44140625" style="815" customWidth="1"/>
    <col min="14611" max="14611" width="5.6640625" style="815" customWidth="1"/>
    <col min="14612" max="14612" width="40.6640625" style="815" customWidth="1"/>
    <col min="14613" max="14613" width="13.44140625" style="815" customWidth="1"/>
    <col min="14614" max="14614" width="9.6640625" style="815" customWidth="1"/>
    <col min="14615" max="14615" width="22.6640625" style="815" customWidth="1"/>
    <col min="14616" max="14848" width="8.88671875" style="815"/>
    <col min="14849" max="14849" width="3.6640625" style="815" customWidth="1"/>
    <col min="14850" max="14850" width="5.6640625" style="815" customWidth="1"/>
    <col min="14851" max="14851" width="3.6640625" style="815" customWidth="1"/>
    <col min="14852" max="14853" width="7.6640625" style="815" customWidth="1"/>
    <col min="14854" max="14854" width="9.6640625" style="815" customWidth="1"/>
    <col min="14855" max="14856" width="6.6640625" style="815" customWidth="1"/>
    <col min="14857" max="14857" width="3.6640625" style="815" customWidth="1"/>
    <col min="14858" max="14858" width="14.44140625" style="815" customWidth="1"/>
    <col min="14859" max="14859" width="13.33203125" style="815" customWidth="1"/>
    <col min="14860" max="14860" width="12" style="815" customWidth="1"/>
    <col min="14861" max="14861" width="5.6640625" style="815" customWidth="1"/>
    <col min="14862" max="14862" width="10.33203125" style="815" customWidth="1"/>
    <col min="14863" max="14863" width="10.5546875" style="815" customWidth="1"/>
    <col min="14864" max="14864" width="5.6640625" style="815" customWidth="1"/>
    <col min="14865" max="14865" width="12.6640625" style="815" customWidth="1"/>
    <col min="14866" max="14866" width="11.44140625" style="815" customWidth="1"/>
    <col min="14867" max="14867" width="5.6640625" style="815" customWidth="1"/>
    <col min="14868" max="14868" width="40.6640625" style="815" customWidth="1"/>
    <col min="14869" max="14869" width="13.44140625" style="815" customWidth="1"/>
    <col min="14870" max="14870" width="9.6640625" style="815" customWidth="1"/>
    <col min="14871" max="14871" width="22.6640625" style="815" customWidth="1"/>
    <col min="14872" max="15104" width="8.88671875" style="815"/>
    <col min="15105" max="15105" width="3.6640625" style="815" customWidth="1"/>
    <col min="15106" max="15106" width="5.6640625" style="815" customWidth="1"/>
    <col min="15107" max="15107" width="3.6640625" style="815" customWidth="1"/>
    <col min="15108" max="15109" width="7.6640625" style="815" customWidth="1"/>
    <col min="15110" max="15110" width="9.6640625" style="815" customWidth="1"/>
    <col min="15111" max="15112" width="6.6640625" style="815" customWidth="1"/>
    <col min="15113" max="15113" width="3.6640625" style="815" customWidth="1"/>
    <col min="15114" max="15114" width="14.44140625" style="815" customWidth="1"/>
    <col min="15115" max="15115" width="13.33203125" style="815" customWidth="1"/>
    <col min="15116" max="15116" width="12" style="815" customWidth="1"/>
    <col min="15117" max="15117" width="5.6640625" style="815" customWidth="1"/>
    <col min="15118" max="15118" width="10.33203125" style="815" customWidth="1"/>
    <col min="15119" max="15119" width="10.5546875" style="815" customWidth="1"/>
    <col min="15120" max="15120" width="5.6640625" style="815" customWidth="1"/>
    <col min="15121" max="15121" width="12.6640625" style="815" customWidth="1"/>
    <col min="15122" max="15122" width="11.44140625" style="815" customWidth="1"/>
    <col min="15123" max="15123" width="5.6640625" style="815" customWidth="1"/>
    <col min="15124" max="15124" width="40.6640625" style="815" customWidth="1"/>
    <col min="15125" max="15125" width="13.44140625" style="815" customWidth="1"/>
    <col min="15126" max="15126" width="9.6640625" style="815" customWidth="1"/>
    <col min="15127" max="15127" width="22.6640625" style="815" customWidth="1"/>
    <col min="15128" max="15360" width="8.88671875" style="815"/>
    <col min="15361" max="15361" width="3.6640625" style="815" customWidth="1"/>
    <col min="15362" max="15362" width="5.6640625" style="815" customWidth="1"/>
    <col min="15363" max="15363" width="3.6640625" style="815" customWidth="1"/>
    <col min="15364" max="15365" width="7.6640625" style="815" customWidth="1"/>
    <col min="15366" max="15366" width="9.6640625" style="815" customWidth="1"/>
    <col min="15367" max="15368" width="6.6640625" style="815" customWidth="1"/>
    <col min="15369" max="15369" width="3.6640625" style="815" customWidth="1"/>
    <col min="15370" max="15370" width="14.44140625" style="815" customWidth="1"/>
    <col min="15371" max="15371" width="13.33203125" style="815" customWidth="1"/>
    <col min="15372" max="15372" width="12" style="815" customWidth="1"/>
    <col min="15373" max="15373" width="5.6640625" style="815" customWidth="1"/>
    <col min="15374" max="15374" width="10.33203125" style="815" customWidth="1"/>
    <col min="15375" max="15375" width="10.5546875" style="815" customWidth="1"/>
    <col min="15376" max="15376" width="5.6640625" style="815" customWidth="1"/>
    <col min="15377" max="15377" width="12.6640625" style="815" customWidth="1"/>
    <col min="15378" max="15378" width="11.44140625" style="815" customWidth="1"/>
    <col min="15379" max="15379" width="5.6640625" style="815" customWidth="1"/>
    <col min="15380" max="15380" width="40.6640625" style="815" customWidth="1"/>
    <col min="15381" max="15381" width="13.44140625" style="815" customWidth="1"/>
    <col min="15382" max="15382" width="9.6640625" style="815" customWidth="1"/>
    <col min="15383" max="15383" width="22.6640625" style="815" customWidth="1"/>
    <col min="15384" max="15616" width="8.88671875" style="815"/>
    <col min="15617" max="15617" width="3.6640625" style="815" customWidth="1"/>
    <col min="15618" max="15618" width="5.6640625" style="815" customWidth="1"/>
    <col min="15619" max="15619" width="3.6640625" style="815" customWidth="1"/>
    <col min="15620" max="15621" width="7.6640625" style="815" customWidth="1"/>
    <col min="15622" max="15622" width="9.6640625" style="815" customWidth="1"/>
    <col min="15623" max="15624" width="6.6640625" style="815" customWidth="1"/>
    <col min="15625" max="15625" width="3.6640625" style="815" customWidth="1"/>
    <col min="15626" max="15626" width="14.44140625" style="815" customWidth="1"/>
    <col min="15627" max="15627" width="13.33203125" style="815" customWidth="1"/>
    <col min="15628" max="15628" width="12" style="815" customWidth="1"/>
    <col min="15629" max="15629" width="5.6640625" style="815" customWidth="1"/>
    <col min="15630" max="15630" width="10.33203125" style="815" customWidth="1"/>
    <col min="15631" max="15631" width="10.5546875" style="815" customWidth="1"/>
    <col min="15632" max="15632" width="5.6640625" style="815" customWidth="1"/>
    <col min="15633" max="15633" width="12.6640625" style="815" customWidth="1"/>
    <col min="15634" max="15634" width="11.44140625" style="815" customWidth="1"/>
    <col min="15635" max="15635" width="5.6640625" style="815" customWidth="1"/>
    <col min="15636" max="15636" width="40.6640625" style="815" customWidth="1"/>
    <col min="15637" max="15637" width="13.44140625" style="815" customWidth="1"/>
    <col min="15638" max="15638" width="9.6640625" style="815" customWidth="1"/>
    <col min="15639" max="15639" width="22.6640625" style="815" customWidth="1"/>
    <col min="15640" max="15872" width="8.88671875" style="815"/>
    <col min="15873" max="15873" width="3.6640625" style="815" customWidth="1"/>
    <col min="15874" max="15874" width="5.6640625" style="815" customWidth="1"/>
    <col min="15875" max="15875" width="3.6640625" style="815" customWidth="1"/>
    <col min="15876" max="15877" width="7.6640625" style="815" customWidth="1"/>
    <col min="15878" max="15878" width="9.6640625" style="815" customWidth="1"/>
    <col min="15879" max="15880" width="6.6640625" style="815" customWidth="1"/>
    <col min="15881" max="15881" width="3.6640625" style="815" customWidth="1"/>
    <col min="15882" max="15882" width="14.44140625" style="815" customWidth="1"/>
    <col min="15883" max="15883" width="13.33203125" style="815" customWidth="1"/>
    <col min="15884" max="15884" width="12" style="815" customWidth="1"/>
    <col min="15885" max="15885" width="5.6640625" style="815" customWidth="1"/>
    <col min="15886" max="15886" width="10.33203125" style="815" customWidth="1"/>
    <col min="15887" max="15887" width="10.5546875" style="815" customWidth="1"/>
    <col min="15888" max="15888" width="5.6640625" style="815" customWidth="1"/>
    <col min="15889" max="15889" width="12.6640625" style="815" customWidth="1"/>
    <col min="15890" max="15890" width="11.44140625" style="815" customWidth="1"/>
    <col min="15891" max="15891" width="5.6640625" style="815" customWidth="1"/>
    <col min="15892" max="15892" width="40.6640625" style="815" customWidth="1"/>
    <col min="15893" max="15893" width="13.44140625" style="815" customWidth="1"/>
    <col min="15894" max="15894" width="9.6640625" style="815" customWidth="1"/>
    <col min="15895" max="15895" width="22.6640625" style="815" customWidth="1"/>
    <col min="15896" max="16128" width="8.88671875" style="815"/>
    <col min="16129" max="16129" width="3.6640625" style="815" customWidth="1"/>
    <col min="16130" max="16130" width="5.6640625" style="815" customWidth="1"/>
    <col min="16131" max="16131" width="3.6640625" style="815" customWidth="1"/>
    <col min="16132" max="16133" width="7.6640625" style="815" customWidth="1"/>
    <col min="16134" max="16134" width="9.6640625" style="815" customWidth="1"/>
    <col min="16135" max="16136" width="6.6640625" style="815" customWidth="1"/>
    <col min="16137" max="16137" width="3.6640625" style="815" customWidth="1"/>
    <col min="16138" max="16138" width="14.44140625" style="815" customWidth="1"/>
    <col min="16139" max="16139" width="13.33203125" style="815" customWidth="1"/>
    <col min="16140" max="16140" width="12" style="815" customWidth="1"/>
    <col min="16141" max="16141" width="5.6640625" style="815" customWidth="1"/>
    <col min="16142" max="16142" width="10.33203125" style="815" customWidth="1"/>
    <col min="16143" max="16143" width="10.5546875" style="815" customWidth="1"/>
    <col min="16144" max="16144" width="5.6640625" style="815" customWidth="1"/>
    <col min="16145" max="16145" width="12.6640625" style="815" customWidth="1"/>
    <col min="16146" max="16146" width="11.44140625" style="815" customWidth="1"/>
    <col min="16147" max="16147" width="5.6640625" style="815" customWidth="1"/>
    <col min="16148" max="16148" width="40.6640625" style="815" customWidth="1"/>
    <col min="16149" max="16149" width="13.44140625" style="815" customWidth="1"/>
    <col min="16150" max="16150" width="9.6640625" style="815" customWidth="1"/>
    <col min="16151" max="16151" width="22.6640625" style="815" customWidth="1"/>
    <col min="16152" max="16384" width="8.88671875" style="815"/>
  </cols>
  <sheetData>
    <row r="1" spans="1:36" x14ac:dyDescent="0.25">
      <c r="A1" s="926" t="s">
        <v>1207</v>
      </c>
      <c r="B1" s="927"/>
      <c r="C1" s="927"/>
      <c r="D1" s="927"/>
      <c r="E1" s="927"/>
      <c r="F1" s="927"/>
      <c r="G1" s="927"/>
      <c r="H1" s="927"/>
      <c r="I1" s="927"/>
      <c r="J1" s="927"/>
      <c r="K1" s="927"/>
      <c r="L1" s="927"/>
      <c r="M1" s="927"/>
      <c r="N1" s="927"/>
      <c r="O1" s="927"/>
      <c r="P1" s="927"/>
      <c r="Q1" s="927"/>
      <c r="R1" s="927"/>
      <c r="S1" s="927"/>
      <c r="T1" s="927"/>
      <c r="U1" s="929" t="s">
        <v>1208</v>
      </c>
      <c r="V1" s="927"/>
      <c r="W1" s="927"/>
    </row>
    <row r="2" spans="1:36" x14ac:dyDescent="0.25">
      <c r="A2" s="930" t="s">
        <v>1209</v>
      </c>
      <c r="B2" s="927"/>
      <c r="C2" s="927"/>
      <c r="D2" s="927"/>
      <c r="E2" s="927"/>
      <c r="F2" s="927"/>
      <c r="G2" s="927"/>
      <c r="H2" s="927"/>
      <c r="I2" s="927"/>
      <c r="J2" s="927"/>
      <c r="K2" s="927"/>
      <c r="L2" s="927"/>
      <c r="M2" s="927"/>
      <c r="N2" s="927"/>
      <c r="O2" s="927"/>
      <c r="P2" s="927"/>
      <c r="Q2" s="927"/>
      <c r="R2" s="927"/>
      <c r="S2" s="927"/>
      <c r="T2" s="927"/>
      <c r="U2" s="927"/>
      <c r="V2" s="927"/>
      <c r="W2" s="927"/>
    </row>
    <row r="3" spans="1:36" x14ac:dyDescent="0.25">
      <c r="A3" s="927"/>
      <c r="B3" s="927"/>
      <c r="C3" s="927"/>
      <c r="D3" s="927"/>
      <c r="E3" s="927"/>
      <c r="F3" s="927"/>
      <c r="G3" s="927"/>
      <c r="H3" s="927"/>
      <c r="I3" s="927"/>
      <c r="J3" s="927"/>
      <c r="K3" s="927"/>
      <c r="L3" s="927"/>
      <c r="M3" s="927"/>
      <c r="N3" s="927"/>
      <c r="O3" s="927"/>
      <c r="P3" s="927"/>
      <c r="Q3" s="927"/>
      <c r="R3" s="927"/>
      <c r="S3" s="927"/>
      <c r="T3" s="927"/>
      <c r="U3" s="927"/>
      <c r="V3" s="927"/>
      <c r="W3" s="927"/>
    </row>
    <row r="4" spans="1:36" x14ac:dyDescent="0.25">
      <c r="A4" s="817" t="s">
        <v>1210</v>
      </c>
      <c r="B4" s="817" t="s">
        <v>1211</v>
      </c>
      <c r="C4" s="817" t="s">
        <v>269</v>
      </c>
      <c r="D4" s="817" t="s">
        <v>1212</v>
      </c>
      <c r="E4" s="817" t="s">
        <v>1212</v>
      </c>
      <c r="F4" s="816" t="s">
        <v>1213</v>
      </c>
      <c r="G4" s="817" t="s">
        <v>1214</v>
      </c>
      <c r="H4" s="817" t="s">
        <v>1214</v>
      </c>
      <c r="I4" s="817" t="s">
        <v>1210</v>
      </c>
      <c r="J4" s="817" t="s">
        <v>1215</v>
      </c>
      <c r="K4" s="928" t="s">
        <v>1216</v>
      </c>
      <c r="L4" s="927"/>
      <c r="M4" s="927"/>
      <c r="N4" s="928" t="s">
        <v>1217</v>
      </c>
      <c r="O4" s="927"/>
      <c r="P4" s="927"/>
      <c r="Q4" s="928" t="s">
        <v>1217</v>
      </c>
      <c r="R4" s="927"/>
      <c r="S4" s="927"/>
      <c r="T4" s="816" t="s">
        <v>429</v>
      </c>
      <c r="U4" s="817" t="s">
        <v>297</v>
      </c>
      <c r="V4" s="816" t="s">
        <v>175</v>
      </c>
      <c r="W4" s="816" t="s">
        <v>429</v>
      </c>
      <c r="Y4" s="815" t="s">
        <v>1530</v>
      </c>
      <c r="Z4" s="815" t="s">
        <v>246</v>
      </c>
      <c r="AA4" s="815" t="s">
        <v>1528</v>
      </c>
      <c r="AB4" s="815" t="s">
        <v>1529</v>
      </c>
      <c r="AC4" s="815">
        <v>2019</v>
      </c>
      <c r="AD4" s="815">
        <v>2020</v>
      </c>
      <c r="AE4" s="815">
        <v>2021</v>
      </c>
      <c r="AF4" s="815">
        <v>2022</v>
      </c>
      <c r="AG4" s="815">
        <v>2023</v>
      </c>
      <c r="AH4" s="815">
        <v>2024</v>
      </c>
    </row>
    <row r="5" spans="1:36" x14ac:dyDescent="0.25">
      <c r="A5" s="817" t="s">
        <v>1218</v>
      </c>
      <c r="B5" s="817" t="s">
        <v>1219</v>
      </c>
      <c r="C5" s="817" t="s">
        <v>1220</v>
      </c>
      <c r="D5" s="817" t="s">
        <v>1221</v>
      </c>
      <c r="E5" s="817" t="s">
        <v>1222</v>
      </c>
      <c r="F5" s="816" t="s">
        <v>1223</v>
      </c>
      <c r="G5" s="817" t="s">
        <v>1224</v>
      </c>
      <c r="H5" s="817" t="s">
        <v>1225</v>
      </c>
      <c r="I5" s="817" t="s">
        <v>1218</v>
      </c>
      <c r="J5" s="817" t="s">
        <v>1226</v>
      </c>
      <c r="K5" s="928" t="s">
        <v>1227</v>
      </c>
      <c r="L5" s="927"/>
      <c r="M5" s="927"/>
      <c r="N5" s="928" t="s">
        <v>1228</v>
      </c>
      <c r="O5" s="927"/>
      <c r="P5" s="927"/>
      <c r="Q5" s="928" t="s">
        <v>1229</v>
      </c>
      <c r="R5" s="927"/>
      <c r="S5" s="927"/>
      <c r="T5" s="816" t="s">
        <v>1230</v>
      </c>
      <c r="U5" s="817" t="s">
        <v>721</v>
      </c>
      <c r="V5" s="816" t="s">
        <v>1220</v>
      </c>
      <c r="W5" s="816" t="s">
        <v>1220</v>
      </c>
    </row>
    <row r="6" spans="1:36" x14ac:dyDescent="0.25">
      <c r="A6" s="817" t="s">
        <v>1231</v>
      </c>
      <c r="B6" s="817" t="s">
        <v>1232</v>
      </c>
      <c r="C6" s="817" t="s">
        <v>1233</v>
      </c>
      <c r="D6" s="817" t="s">
        <v>1234</v>
      </c>
      <c r="E6" s="817" t="s">
        <v>1234</v>
      </c>
      <c r="F6" s="816" t="s">
        <v>1235</v>
      </c>
      <c r="G6" s="817" t="s">
        <v>1236</v>
      </c>
      <c r="H6" s="817" t="s">
        <v>1237</v>
      </c>
      <c r="I6" s="817" t="s">
        <v>1238</v>
      </c>
      <c r="J6" s="817" t="s">
        <v>1215</v>
      </c>
      <c r="K6" s="817" t="s">
        <v>1239</v>
      </c>
      <c r="L6" s="817" t="s">
        <v>1240</v>
      </c>
      <c r="M6" s="817" t="s">
        <v>1241</v>
      </c>
      <c r="N6" s="817" t="s">
        <v>1242</v>
      </c>
      <c r="O6" s="817" t="s">
        <v>1243</v>
      </c>
      <c r="P6" s="817" t="s">
        <v>1244</v>
      </c>
      <c r="Q6" s="817" t="s">
        <v>1245</v>
      </c>
      <c r="R6" s="817" t="s">
        <v>1246</v>
      </c>
      <c r="S6" s="817" t="s">
        <v>1244</v>
      </c>
      <c r="T6" s="816" t="s">
        <v>1247</v>
      </c>
      <c r="U6" s="817" t="s">
        <v>1225</v>
      </c>
      <c r="V6" s="816" t="s">
        <v>1248</v>
      </c>
      <c r="W6" s="816" t="s">
        <v>1248</v>
      </c>
    </row>
    <row r="7" spans="1:36" x14ac:dyDescent="0.25">
      <c r="A7" s="817" t="s">
        <v>346</v>
      </c>
      <c r="B7" s="817" t="s">
        <v>211</v>
      </c>
      <c r="C7" s="817" t="s">
        <v>1249</v>
      </c>
      <c r="D7" s="817" t="s">
        <v>1250</v>
      </c>
      <c r="E7" s="817" t="s">
        <v>1250</v>
      </c>
      <c r="F7" s="816" t="s">
        <v>1251</v>
      </c>
      <c r="G7" s="817" t="s">
        <v>204</v>
      </c>
      <c r="H7" s="817" t="s">
        <v>721</v>
      </c>
      <c r="I7" s="817" t="s">
        <v>346</v>
      </c>
      <c r="J7" s="818">
        <v>891.30000000000007</v>
      </c>
      <c r="K7" s="818">
        <v>891.30000000000007</v>
      </c>
      <c r="L7" s="818">
        <v>891.30000000000007</v>
      </c>
      <c r="M7" s="818">
        <v>0</v>
      </c>
      <c r="N7" s="818">
        <v>0</v>
      </c>
      <c r="O7" s="818">
        <v>0</v>
      </c>
      <c r="P7" s="818">
        <v>0</v>
      </c>
      <c r="Q7" s="818">
        <v>0</v>
      </c>
      <c r="R7" s="818">
        <v>0</v>
      </c>
      <c r="S7" s="818">
        <v>0</v>
      </c>
      <c r="T7" s="816" t="s">
        <v>1252</v>
      </c>
      <c r="U7" s="818">
        <v>0</v>
      </c>
      <c r="V7" s="816" t="s">
        <v>1253</v>
      </c>
      <c r="W7" s="816" t="s">
        <v>1207</v>
      </c>
      <c r="Y7" s="859">
        <f>J7</f>
        <v>891.30000000000007</v>
      </c>
      <c r="Z7" s="858">
        <f>J7-K7</f>
        <v>0</v>
      </c>
      <c r="AA7" s="859">
        <f>N7</f>
        <v>0</v>
      </c>
      <c r="AJ7" s="815" t="b">
        <f>U7=SUM(AC7:AI7)</f>
        <v>1</v>
      </c>
    </row>
    <row r="8" spans="1:36" x14ac:dyDescent="0.25">
      <c r="A8" s="817" t="s">
        <v>1254</v>
      </c>
      <c r="B8" s="817" t="s">
        <v>309</v>
      </c>
      <c r="C8" s="817" t="s">
        <v>1249</v>
      </c>
      <c r="D8" s="817" t="s">
        <v>1255</v>
      </c>
      <c r="E8" s="817" t="s">
        <v>1255</v>
      </c>
      <c r="F8" s="816" t="s">
        <v>1251</v>
      </c>
      <c r="G8" s="817" t="s">
        <v>204</v>
      </c>
      <c r="H8" s="817" t="s">
        <v>721</v>
      </c>
      <c r="I8" s="817" t="s">
        <v>346</v>
      </c>
      <c r="J8" s="818">
        <v>923.09</v>
      </c>
      <c r="K8" s="818">
        <v>923.09</v>
      </c>
      <c r="L8" s="818">
        <v>923.09</v>
      </c>
      <c r="M8" s="818">
        <v>0</v>
      </c>
      <c r="N8" s="818">
        <v>0</v>
      </c>
      <c r="O8" s="818">
        <v>0</v>
      </c>
      <c r="P8" s="818">
        <v>0</v>
      </c>
      <c r="Q8" s="818">
        <v>0</v>
      </c>
      <c r="R8" s="818">
        <v>0</v>
      </c>
      <c r="S8" s="818">
        <v>0</v>
      </c>
      <c r="T8" s="816" t="s">
        <v>1252</v>
      </c>
      <c r="U8" s="818">
        <v>0</v>
      </c>
      <c r="V8" s="816" t="s">
        <v>1253</v>
      </c>
      <c r="W8" s="816" t="s">
        <v>1207</v>
      </c>
      <c r="Y8" s="859">
        <f t="shared" ref="Y8:Y71" si="0">J8</f>
        <v>923.09</v>
      </c>
      <c r="Z8" s="858">
        <f t="shared" ref="Z8:Z71" si="1">J8-K8</f>
        <v>0</v>
      </c>
      <c r="AA8" s="859">
        <f t="shared" ref="AA8:AA71" si="2">N8</f>
        <v>0</v>
      </c>
      <c r="AJ8" s="815" t="b">
        <f t="shared" ref="AJ8:AJ71" si="3">U8=SUM(AC8:AI8)</f>
        <v>1</v>
      </c>
    </row>
    <row r="9" spans="1:36" x14ac:dyDescent="0.25">
      <c r="A9" s="817" t="s">
        <v>1256</v>
      </c>
      <c r="B9" s="817" t="s">
        <v>1257</v>
      </c>
      <c r="C9" s="817" t="s">
        <v>1249</v>
      </c>
      <c r="D9" s="817" t="s">
        <v>1258</v>
      </c>
      <c r="E9" s="817" t="s">
        <v>1258</v>
      </c>
      <c r="F9" s="816" t="s">
        <v>1251</v>
      </c>
      <c r="G9" s="817" t="s">
        <v>204</v>
      </c>
      <c r="H9" s="817" t="s">
        <v>721</v>
      </c>
      <c r="I9" s="817" t="s">
        <v>346</v>
      </c>
      <c r="J9" s="818">
        <v>937.14</v>
      </c>
      <c r="K9" s="818">
        <v>937.14</v>
      </c>
      <c r="L9" s="818">
        <v>937.14</v>
      </c>
      <c r="M9" s="818">
        <v>0</v>
      </c>
      <c r="N9" s="818">
        <v>0</v>
      </c>
      <c r="O9" s="818">
        <v>0</v>
      </c>
      <c r="P9" s="818">
        <v>0</v>
      </c>
      <c r="Q9" s="818">
        <v>0</v>
      </c>
      <c r="R9" s="818">
        <v>0</v>
      </c>
      <c r="S9" s="818">
        <v>0</v>
      </c>
      <c r="T9" s="816" t="s">
        <v>1259</v>
      </c>
      <c r="U9" s="818">
        <v>0</v>
      </c>
      <c r="V9" s="816" t="s">
        <v>1253</v>
      </c>
      <c r="W9" s="816" t="s">
        <v>1207</v>
      </c>
      <c r="Y9" s="859">
        <f t="shared" si="0"/>
        <v>937.14</v>
      </c>
      <c r="Z9" s="858">
        <f t="shared" si="1"/>
        <v>0</v>
      </c>
      <c r="AA9" s="859">
        <f t="shared" si="2"/>
        <v>0</v>
      </c>
      <c r="AJ9" s="815" t="b">
        <f t="shared" si="3"/>
        <v>1</v>
      </c>
    </row>
    <row r="10" spans="1:36" x14ac:dyDescent="0.25">
      <c r="A10" s="817" t="s">
        <v>1249</v>
      </c>
      <c r="B10" s="817" t="s">
        <v>186</v>
      </c>
      <c r="C10" s="817" t="s">
        <v>1249</v>
      </c>
      <c r="D10" s="817" t="s">
        <v>1258</v>
      </c>
      <c r="E10" s="817" t="s">
        <v>1258</v>
      </c>
      <c r="F10" s="816" t="s">
        <v>1251</v>
      </c>
      <c r="G10" s="817" t="s">
        <v>204</v>
      </c>
      <c r="H10" s="817" t="s">
        <v>721</v>
      </c>
      <c r="I10" s="817" t="s">
        <v>346</v>
      </c>
      <c r="J10" s="818">
        <v>22878.600000000002</v>
      </c>
      <c r="K10" s="818">
        <v>22878.600000000002</v>
      </c>
      <c r="L10" s="818">
        <v>22878.600000000002</v>
      </c>
      <c r="M10" s="818">
        <v>0</v>
      </c>
      <c r="N10" s="818">
        <v>0</v>
      </c>
      <c r="O10" s="818">
        <v>0</v>
      </c>
      <c r="P10" s="818">
        <v>0</v>
      </c>
      <c r="Q10" s="818">
        <v>0</v>
      </c>
      <c r="R10" s="818">
        <v>0</v>
      </c>
      <c r="S10" s="818">
        <v>0</v>
      </c>
      <c r="T10" s="816" t="s">
        <v>1260</v>
      </c>
      <c r="U10" s="818">
        <v>0</v>
      </c>
      <c r="V10" s="816" t="s">
        <v>1253</v>
      </c>
      <c r="W10" s="816" t="s">
        <v>1207</v>
      </c>
      <c r="Y10" s="859">
        <f t="shared" si="0"/>
        <v>22878.600000000002</v>
      </c>
      <c r="Z10" s="858">
        <f t="shared" si="1"/>
        <v>0</v>
      </c>
      <c r="AA10" s="859">
        <f t="shared" si="2"/>
        <v>0</v>
      </c>
      <c r="AJ10" s="815" t="b">
        <f t="shared" si="3"/>
        <v>1</v>
      </c>
    </row>
    <row r="11" spans="1:36" x14ac:dyDescent="0.25">
      <c r="A11" s="817" t="s">
        <v>1262</v>
      </c>
      <c r="B11" s="817" t="s">
        <v>188</v>
      </c>
      <c r="C11" s="817" t="s">
        <v>1249</v>
      </c>
      <c r="D11" s="817" t="s">
        <v>1267</v>
      </c>
      <c r="E11" s="817" t="s">
        <v>1267</v>
      </c>
      <c r="F11" s="816" t="s">
        <v>1268</v>
      </c>
      <c r="G11" s="817" t="s">
        <v>303</v>
      </c>
      <c r="H11" s="817" t="s">
        <v>721</v>
      </c>
      <c r="I11" s="817" t="s">
        <v>346</v>
      </c>
      <c r="J11" s="818">
        <v>1802.67</v>
      </c>
      <c r="K11" s="818">
        <v>1802.67</v>
      </c>
      <c r="L11" s="818">
        <v>1802.67</v>
      </c>
      <c r="M11" s="818">
        <v>0</v>
      </c>
      <c r="N11" s="818">
        <v>0</v>
      </c>
      <c r="O11" s="818">
        <v>0</v>
      </c>
      <c r="P11" s="818">
        <v>0</v>
      </c>
      <c r="Q11" s="818">
        <v>0</v>
      </c>
      <c r="R11" s="818">
        <v>0</v>
      </c>
      <c r="S11" s="818">
        <v>0</v>
      </c>
      <c r="T11" s="816" t="s">
        <v>1269</v>
      </c>
      <c r="U11" s="818">
        <v>0</v>
      </c>
      <c r="V11" s="816" t="s">
        <v>1253</v>
      </c>
      <c r="W11" s="816" t="s">
        <v>1207</v>
      </c>
      <c r="Y11" s="887">
        <f t="shared" si="0"/>
        <v>1802.67</v>
      </c>
      <c r="Z11" s="888">
        <f t="shared" si="1"/>
        <v>0</v>
      </c>
      <c r="AA11" s="887">
        <f t="shared" si="2"/>
        <v>0</v>
      </c>
      <c r="AB11" s="886"/>
      <c r="AC11" s="886"/>
      <c r="AD11" s="886"/>
      <c r="AE11" s="886"/>
      <c r="AF11" s="886"/>
      <c r="AG11" s="886"/>
      <c r="AH11" s="886"/>
      <c r="AI11" s="886"/>
      <c r="AJ11" s="815" t="b">
        <f t="shared" si="3"/>
        <v>1</v>
      </c>
    </row>
    <row r="12" spans="1:36" x14ac:dyDescent="0.25">
      <c r="A12" s="817" t="s">
        <v>1270</v>
      </c>
      <c r="B12" s="817" t="s">
        <v>190</v>
      </c>
      <c r="C12" s="817" t="s">
        <v>1249</v>
      </c>
      <c r="D12" s="817" t="s">
        <v>1271</v>
      </c>
      <c r="E12" s="817" t="s">
        <v>1271</v>
      </c>
      <c r="F12" s="816" t="s">
        <v>1268</v>
      </c>
      <c r="G12" s="817" t="s">
        <v>303</v>
      </c>
      <c r="H12" s="817" t="s">
        <v>721</v>
      </c>
      <c r="I12" s="817" t="s">
        <v>346</v>
      </c>
      <c r="J12" s="818">
        <v>1883.49</v>
      </c>
      <c r="K12" s="818">
        <v>1883.49</v>
      </c>
      <c r="L12" s="818">
        <v>1883.49</v>
      </c>
      <c r="M12" s="818">
        <v>0</v>
      </c>
      <c r="N12" s="818">
        <v>0</v>
      </c>
      <c r="O12" s="818">
        <v>0</v>
      </c>
      <c r="P12" s="818">
        <v>0</v>
      </c>
      <c r="Q12" s="818">
        <v>0</v>
      </c>
      <c r="R12" s="818">
        <v>0</v>
      </c>
      <c r="S12" s="818">
        <v>0</v>
      </c>
      <c r="T12" s="816" t="s">
        <v>1269</v>
      </c>
      <c r="U12" s="818">
        <v>0</v>
      </c>
      <c r="V12" s="816" t="s">
        <v>1253</v>
      </c>
      <c r="W12" s="816" t="s">
        <v>1207</v>
      </c>
      <c r="Y12" s="859">
        <f t="shared" si="0"/>
        <v>1883.49</v>
      </c>
      <c r="Z12" s="858">
        <f t="shared" si="1"/>
        <v>0</v>
      </c>
      <c r="AA12" s="859">
        <f t="shared" si="2"/>
        <v>0</v>
      </c>
      <c r="AJ12" s="815" t="b">
        <f t="shared" si="3"/>
        <v>1</v>
      </c>
    </row>
    <row r="13" spans="1:36" x14ac:dyDescent="0.25">
      <c r="A13" s="817" t="s">
        <v>1275</v>
      </c>
      <c r="B13" s="817" t="s">
        <v>1276</v>
      </c>
      <c r="C13" s="817" t="s">
        <v>1249</v>
      </c>
      <c r="D13" s="817" t="s">
        <v>1272</v>
      </c>
      <c r="E13" s="817" t="s">
        <v>1272</v>
      </c>
      <c r="F13" s="816" t="s">
        <v>1273</v>
      </c>
      <c r="G13" s="817" t="s">
        <v>197</v>
      </c>
      <c r="H13" s="817" t="s">
        <v>721</v>
      </c>
      <c r="I13" s="817" t="s">
        <v>346</v>
      </c>
      <c r="J13" s="818">
        <v>131043.66</v>
      </c>
      <c r="K13" s="818">
        <v>131043.66</v>
      </c>
      <c r="L13" s="818">
        <v>131043.66</v>
      </c>
      <c r="M13" s="818">
        <v>0</v>
      </c>
      <c r="N13" s="818">
        <v>0</v>
      </c>
      <c r="O13" s="818">
        <v>0</v>
      </c>
      <c r="P13" s="818">
        <v>0</v>
      </c>
      <c r="Q13" s="818">
        <v>0</v>
      </c>
      <c r="R13" s="818">
        <v>0</v>
      </c>
      <c r="S13" s="818">
        <v>0</v>
      </c>
      <c r="T13" s="816" t="s">
        <v>1277</v>
      </c>
      <c r="U13" s="818">
        <v>0</v>
      </c>
      <c r="V13" s="816" t="s">
        <v>1253</v>
      </c>
      <c r="W13" s="816" t="s">
        <v>1207</v>
      </c>
      <c r="Y13" s="859">
        <f t="shared" si="0"/>
        <v>131043.66</v>
      </c>
      <c r="Z13" s="858">
        <f t="shared" si="1"/>
        <v>0</v>
      </c>
      <c r="AA13" s="859">
        <f t="shared" si="2"/>
        <v>0</v>
      </c>
      <c r="AJ13" s="815" t="b">
        <f t="shared" si="3"/>
        <v>1</v>
      </c>
    </row>
    <row r="14" spans="1:36" x14ac:dyDescent="0.25">
      <c r="A14" s="817" t="s">
        <v>1278</v>
      </c>
      <c r="B14" s="817" t="s">
        <v>196</v>
      </c>
      <c r="C14" s="817" t="s">
        <v>1249</v>
      </c>
      <c r="D14" s="817" t="s">
        <v>1279</v>
      </c>
      <c r="E14" s="817" t="s">
        <v>1279</v>
      </c>
      <c r="F14" s="816" t="s">
        <v>1273</v>
      </c>
      <c r="G14" s="817" t="s">
        <v>197</v>
      </c>
      <c r="H14" s="817" t="s">
        <v>721</v>
      </c>
      <c r="I14" s="817" t="s">
        <v>346</v>
      </c>
      <c r="J14" s="818">
        <v>73546.44</v>
      </c>
      <c r="K14" s="818">
        <v>73546.44</v>
      </c>
      <c r="L14" s="818">
        <v>73546.44</v>
      </c>
      <c r="M14" s="818">
        <v>0</v>
      </c>
      <c r="N14" s="818">
        <v>0</v>
      </c>
      <c r="O14" s="818">
        <v>0</v>
      </c>
      <c r="P14" s="818">
        <v>0</v>
      </c>
      <c r="Q14" s="818">
        <v>0</v>
      </c>
      <c r="R14" s="818">
        <v>0</v>
      </c>
      <c r="S14" s="818">
        <v>0</v>
      </c>
      <c r="T14" s="816" t="s">
        <v>1280</v>
      </c>
      <c r="U14" s="818">
        <v>0</v>
      </c>
      <c r="V14" s="816" t="s">
        <v>1253</v>
      </c>
      <c r="W14" s="816" t="s">
        <v>1207</v>
      </c>
      <c r="Y14" s="887">
        <f t="shared" si="0"/>
        <v>73546.44</v>
      </c>
      <c r="Z14" s="888">
        <f t="shared" si="1"/>
        <v>0</v>
      </c>
      <c r="AA14" s="887">
        <f t="shared" si="2"/>
        <v>0</v>
      </c>
      <c r="AB14" s="886"/>
      <c r="AC14" s="886"/>
      <c r="AD14" s="886"/>
      <c r="AE14" s="886"/>
      <c r="AF14" s="886"/>
      <c r="AG14" s="886"/>
      <c r="AH14" s="886"/>
      <c r="AI14" s="886"/>
      <c r="AJ14" s="815" t="b">
        <f t="shared" si="3"/>
        <v>1</v>
      </c>
    </row>
    <row r="15" spans="1:36" x14ac:dyDescent="0.25">
      <c r="A15" s="817" t="s">
        <v>180</v>
      </c>
      <c r="B15" s="817" t="s">
        <v>197</v>
      </c>
      <c r="C15" s="817" t="s">
        <v>1262</v>
      </c>
      <c r="D15" s="817" t="s">
        <v>1281</v>
      </c>
      <c r="E15" s="817" t="s">
        <v>1281</v>
      </c>
      <c r="F15" s="816" t="s">
        <v>1264</v>
      </c>
      <c r="G15" s="817" t="s">
        <v>197</v>
      </c>
      <c r="H15" s="817" t="s">
        <v>721</v>
      </c>
      <c r="I15" s="817" t="s">
        <v>346</v>
      </c>
      <c r="J15" s="818">
        <v>42357.19</v>
      </c>
      <c r="K15" s="818">
        <v>42357.19</v>
      </c>
      <c r="L15" s="818">
        <v>42357.19</v>
      </c>
      <c r="M15" s="818">
        <v>0</v>
      </c>
      <c r="N15" s="818">
        <v>0</v>
      </c>
      <c r="O15" s="818">
        <v>0</v>
      </c>
      <c r="P15" s="818">
        <v>0</v>
      </c>
      <c r="Q15" s="818">
        <v>0</v>
      </c>
      <c r="R15" s="818">
        <v>0</v>
      </c>
      <c r="S15" s="818">
        <v>0</v>
      </c>
      <c r="T15" s="816" t="s">
        <v>1282</v>
      </c>
      <c r="U15" s="818">
        <v>0</v>
      </c>
      <c r="V15" s="816" t="s">
        <v>1253</v>
      </c>
      <c r="W15" s="816" t="s">
        <v>1266</v>
      </c>
      <c r="Y15" s="859">
        <f t="shared" si="0"/>
        <v>42357.19</v>
      </c>
      <c r="Z15" s="858">
        <f t="shared" si="1"/>
        <v>0</v>
      </c>
      <c r="AA15" s="859">
        <f t="shared" si="2"/>
        <v>0</v>
      </c>
      <c r="AJ15" s="815" t="b">
        <f t="shared" si="3"/>
        <v>1</v>
      </c>
    </row>
    <row r="16" spans="1:36" x14ac:dyDescent="0.25">
      <c r="A16" s="817" t="s">
        <v>181</v>
      </c>
      <c r="B16" s="817" t="s">
        <v>1283</v>
      </c>
      <c r="C16" s="817" t="s">
        <v>1249</v>
      </c>
      <c r="D16" s="817" t="s">
        <v>1281</v>
      </c>
      <c r="E16" s="817" t="s">
        <v>1281</v>
      </c>
      <c r="F16" s="816" t="s">
        <v>1284</v>
      </c>
      <c r="G16" s="817" t="s">
        <v>247</v>
      </c>
      <c r="H16" s="817" t="s">
        <v>721</v>
      </c>
      <c r="I16" s="817" t="s">
        <v>346</v>
      </c>
      <c r="J16" s="818">
        <v>3877.9</v>
      </c>
      <c r="K16" s="818">
        <v>3877.9</v>
      </c>
      <c r="L16" s="818">
        <v>3877.9</v>
      </c>
      <c r="M16" s="818">
        <v>0</v>
      </c>
      <c r="N16" s="818">
        <v>0</v>
      </c>
      <c r="O16" s="818">
        <v>0</v>
      </c>
      <c r="P16" s="818">
        <v>0</v>
      </c>
      <c r="Q16" s="818">
        <v>0</v>
      </c>
      <c r="R16" s="818">
        <v>0</v>
      </c>
      <c r="S16" s="818">
        <v>0</v>
      </c>
      <c r="T16" s="816" t="s">
        <v>1285</v>
      </c>
      <c r="U16" s="818">
        <v>0</v>
      </c>
      <c r="V16" s="816" t="s">
        <v>1253</v>
      </c>
      <c r="W16" s="816" t="s">
        <v>1207</v>
      </c>
      <c r="Y16" s="859">
        <f t="shared" si="0"/>
        <v>3877.9</v>
      </c>
      <c r="Z16" s="858">
        <f t="shared" si="1"/>
        <v>0</v>
      </c>
      <c r="AA16" s="859">
        <f t="shared" si="2"/>
        <v>0</v>
      </c>
      <c r="AB16" s="820" t="s">
        <v>802</v>
      </c>
      <c r="AJ16" s="815" t="b">
        <f t="shared" si="3"/>
        <v>1</v>
      </c>
    </row>
    <row r="17" spans="1:36" x14ac:dyDescent="0.25">
      <c r="A17" s="817" t="s">
        <v>1286</v>
      </c>
      <c r="B17" s="817" t="s">
        <v>200</v>
      </c>
      <c r="C17" s="817" t="s">
        <v>1262</v>
      </c>
      <c r="D17" s="817" t="s">
        <v>1287</v>
      </c>
      <c r="E17" s="817" t="s">
        <v>1287</v>
      </c>
      <c r="F17" s="816" t="s">
        <v>1264</v>
      </c>
      <c r="G17" s="817" t="s">
        <v>197</v>
      </c>
      <c r="H17" s="817" t="s">
        <v>721</v>
      </c>
      <c r="I17" s="817" t="s">
        <v>346</v>
      </c>
      <c r="J17" s="818">
        <v>34815.22</v>
      </c>
      <c r="K17" s="818">
        <v>34815.22</v>
      </c>
      <c r="L17" s="818">
        <v>34815.22</v>
      </c>
      <c r="M17" s="818">
        <v>0</v>
      </c>
      <c r="N17" s="818">
        <v>0</v>
      </c>
      <c r="O17" s="818">
        <v>0</v>
      </c>
      <c r="P17" s="818">
        <v>0</v>
      </c>
      <c r="Q17" s="818">
        <v>0</v>
      </c>
      <c r="R17" s="818">
        <v>0</v>
      </c>
      <c r="S17" s="818">
        <v>0</v>
      </c>
      <c r="T17" s="816" t="s">
        <v>1288</v>
      </c>
      <c r="U17" s="818">
        <v>0</v>
      </c>
      <c r="V17" s="816" t="s">
        <v>1253</v>
      </c>
      <c r="W17" s="816" t="s">
        <v>1266</v>
      </c>
      <c r="Y17" s="859">
        <f t="shared" si="0"/>
        <v>34815.22</v>
      </c>
      <c r="Z17" s="858">
        <f t="shared" si="1"/>
        <v>0</v>
      </c>
      <c r="AA17" s="859">
        <f t="shared" si="2"/>
        <v>0</v>
      </c>
      <c r="AJ17" s="815" t="b">
        <f t="shared" si="3"/>
        <v>1</v>
      </c>
    </row>
    <row r="18" spans="1:36" x14ac:dyDescent="0.25">
      <c r="A18" s="817" t="s">
        <v>210</v>
      </c>
      <c r="B18" s="817" t="s">
        <v>1289</v>
      </c>
      <c r="C18" s="817" t="s">
        <v>1270</v>
      </c>
      <c r="D18" s="817" t="s">
        <v>1290</v>
      </c>
      <c r="E18" s="817" t="s">
        <v>1290</v>
      </c>
      <c r="F18" s="816" t="s">
        <v>1284</v>
      </c>
      <c r="G18" s="817" t="s">
        <v>298</v>
      </c>
      <c r="H18" s="817" t="s">
        <v>721</v>
      </c>
      <c r="I18" s="817" t="s">
        <v>346</v>
      </c>
      <c r="J18" s="818">
        <v>2520.17</v>
      </c>
      <c r="K18" s="818">
        <v>2520.17</v>
      </c>
      <c r="L18" s="818">
        <v>2520.17</v>
      </c>
      <c r="M18" s="818">
        <v>0</v>
      </c>
      <c r="N18" s="818">
        <v>0</v>
      </c>
      <c r="O18" s="818">
        <v>0</v>
      </c>
      <c r="P18" s="818">
        <v>0</v>
      </c>
      <c r="Q18" s="818">
        <v>0</v>
      </c>
      <c r="R18" s="818">
        <v>0</v>
      </c>
      <c r="S18" s="818">
        <v>0</v>
      </c>
      <c r="T18" s="816" t="s">
        <v>1291</v>
      </c>
      <c r="U18" s="818">
        <v>0</v>
      </c>
      <c r="V18" s="816" t="s">
        <v>1253</v>
      </c>
      <c r="W18" s="816" t="s">
        <v>1292</v>
      </c>
      <c r="Y18" s="859">
        <f t="shared" si="0"/>
        <v>2520.17</v>
      </c>
      <c r="Z18" s="858">
        <f t="shared" si="1"/>
        <v>0</v>
      </c>
      <c r="AA18" s="859">
        <f t="shared" si="2"/>
        <v>0</v>
      </c>
      <c r="AB18" s="820" t="s">
        <v>802</v>
      </c>
      <c r="AJ18" s="815" t="b">
        <f t="shared" si="3"/>
        <v>1</v>
      </c>
    </row>
    <row r="19" spans="1:36" x14ac:dyDescent="0.25">
      <c r="A19" s="817" t="s">
        <v>211</v>
      </c>
      <c r="B19" s="817" t="s">
        <v>202</v>
      </c>
      <c r="C19" s="817" t="s">
        <v>1249</v>
      </c>
      <c r="D19" s="817" t="s">
        <v>1293</v>
      </c>
      <c r="E19" s="817" t="s">
        <v>1293</v>
      </c>
      <c r="F19" s="816" t="s">
        <v>1251</v>
      </c>
      <c r="G19" s="817" t="s">
        <v>304</v>
      </c>
      <c r="H19" s="817" t="s">
        <v>721</v>
      </c>
      <c r="I19" s="817" t="s">
        <v>346</v>
      </c>
      <c r="J19" s="818">
        <v>54304.800000000003</v>
      </c>
      <c r="K19" s="818">
        <v>54304.800000000003</v>
      </c>
      <c r="L19" s="818">
        <v>54304.800000000003</v>
      </c>
      <c r="M19" s="818">
        <v>0</v>
      </c>
      <c r="N19" s="818">
        <v>0</v>
      </c>
      <c r="O19" s="818">
        <v>0</v>
      </c>
      <c r="P19" s="818">
        <v>0</v>
      </c>
      <c r="Q19" s="818">
        <v>0</v>
      </c>
      <c r="R19" s="818">
        <v>0</v>
      </c>
      <c r="S19" s="818">
        <v>0</v>
      </c>
      <c r="T19" s="816" t="s">
        <v>1294</v>
      </c>
      <c r="U19" s="818">
        <v>0</v>
      </c>
      <c r="V19" s="816" t="s">
        <v>1253</v>
      </c>
      <c r="W19" s="816" t="s">
        <v>1207</v>
      </c>
      <c r="Y19" s="859">
        <f t="shared" si="0"/>
        <v>54304.800000000003</v>
      </c>
      <c r="Z19" s="858">
        <f t="shared" si="1"/>
        <v>0</v>
      </c>
      <c r="AA19" s="859">
        <f t="shared" si="2"/>
        <v>0</v>
      </c>
      <c r="AJ19" s="815" t="b">
        <f t="shared" si="3"/>
        <v>1</v>
      </c>
    </row>
    <row r="20" spans="1:36" x14ac:dyDescent="0.25">
      <c r="A20" s="817" t="s">
        <v>1295</v>
      </c>
      <c r="B20" s="817" t="s">
        <v>1296</v>
      </c>
      <c r="C20" s="817" t="s">
        <v>1270</v>
      </c>
      <c r="D20" s="817" t="s">
        <v>1297</v>
      </c>
      <c r="E20" s="817" t="s">
        <v>1297</v>
      </c>
      <c r="F20" s="816" t="s">
        <v>1284</v>
      </c>
      <c r="G20" s="817" t="s">
        <v>247</v>
      </c>
      <c r="H20" s="817" t="s">
        <v>721</v>
      </c>
      <c r="I20" s="817" t="s">
        <v>346</v>
      </c>
      <c r="J20" s="818">
        <v>2226.0500000000002</v>
      </c>
      <c r="K20" s="818">
        <v>2226.0500000000002</v>
      </c>
      <c r="L20" s="818">
        <v>2226.0500000000002</v>
      </c>
      <c r="M20" s="818">
        <v>0</v>
      </c>
      <c r="N20" s="818">
        <v>0</v>
      </c>
      <c r="O20" s="818">
        <v>0</v>
      </c>
      <c r="P20" s="818">
        <v>0</v>
      </c>
      <c r="Q20" s="818">
        <v>0</v>
      </c>
      <c r="R20" s="818">
        <v>0</v>
      </c>
      <c r="S20" s="818">
        <v>0</v>
      </c>
      <c r="T20" s="816" t="s">
        <v>1298</v>
      </c>
      <c r="U20" s="818">
        <v>0</v>
      </c>
      <c r="V20" s="816" t="s">
        <v>1253</v>
      </c>
      <c r="W20" s="816" t="s">
        <v>1292</v>
      </c>
      <c r="Y20" s="859">
        <f t="shared" si="0"/>
        <v>2226.0500000000002</v>
      </c>
      <c r="Z20" s="858">
        <f t="shared" si="1"/>
        <v>0</v>
      </c>
      <c r="AA20" s="859">
        <f t="shared" si="2"/>
        <v>0</v>
      </c>
      <c r="AB20" s="820" t="s">
        <v>802</v>
      </c>
      <c r="AJ20" s="815" t="b">
        <f t="shared" si="3"/>
        <v>1</v>
      </c>
    </row>
    <row r="21" spans="1:36" x14ac:dyDescent="0.25">
      <c r="A21" s="817" t="s">
        <v>309</v>
      </c>
      <c r="B21" s="817" t="s">
        <v>1299</v>
      </c>
      <c r="C21" s="817" t="s">
        <v>1262</v>
      </c>
      <c r="D21" s="817" t="s">
        <v>1300</v>
      </c>
      <c r="E21" s="817" t="s">
        <v>1300</v>
      </c>
      <c r="F21" s="816" t="s">
        <v>1264</v>
      </c>
      <c r="G21" s="817" t="s">
        <v>197</v>
      </c>
      <c r="H21" s="817" t="s">
        <v>721</v>
      </c>
      <c r="I21" s="817" t="s">
        <v>346</v>
      </c>
      <c r="J21" s="818">
        <v>24015.72</v>
      </c>
      <c r="K21" s="818">
        <v>24015.72</v>
      </c>
      <c r="L21" s="818">
        <v>24015.72</v>
      </c>
      <c r="M21" s="818">
        <v>0</v>
      </c>
      <c r="N21" s="818">
        <v>0</v>
      </c>
      <c r="O21" s="818">
        <v>0</v>
      </c>
      <c r="P21" s="818">
        <v>0</v>
      </c>
      <c r="Q21" s="818">
        <v>0</v>
      </c>
      <c r="R21" s="818">
        <v>0</v>
      </c>
      <c r="S21" s="818">
        <v>0</v>
      </c>
      <c r="T21" s="816" t="s">
        <v>1301</v>
      </c>
      <c r="U21" s="818">
        <v>0</v>
      </c>
      <c r="V21" s="816" t="s">
        <v>1253</v>
      </c>
      <c r="W21" s="816" t="s">
        <v>1266</v>
      </c>
      <c r="Y21" s="859">
        <f t="shared" si="0"/>
        <v>24015.72</v>
      </c>
      <c r="Z21" s="858">
        <f t="shared" si="1"/>
        <v>0</v>
      </c>
      <c r="AA21" s="859">
        <f t="shared" si="2"/>
        <v>0</v>
      </c>
      <c r="AJ21" s="815" t="b">
        <f t="shared" si="3"/>
        <v>1</v>
      </c>
    </row>
    <row r="22" spans="1:36" x14ac:dyDescent="0.25">
      <c r="A22" s="817" t="s">
        <v>324</v>
      </c>
      <c r="B22" s="817" t="s">
        <v>205</v>
      </c>
      <c r="C22" s="817" t="s">
        <v>1249</v>
      </c>
      <c r="D22" s="817" t="s">
        <v>1303</v>
      </c>
      <c r="E22" s="817" t="s">
        <v>1303</v>
      </c>
      <c r="F22" s="816" t="s">
        <v>1304</v>
      </c>
      <c r="G22" s="817" t="s">
        <v>300</v>
      </c>
      <c r="H22" s="817" t="s">
        <v>1305</v>
      </c>
      <c r="I22" s="817" t="s">
        <v>346</v>
      </c>
      <c r="J22" s="818">
        <v>34500</v>
      </c>
      <c r="K22" s="818">
        <v>24737.74</v>
      </c>
      <c r="L22" s="818">
        <v>24737.74</v>
      </c>
      <c r="M22" s="818">
        <v>0</v>
      </c>
      <c r="N22" s="818">
        <v>191.42000000000002</v>
      </c>
      <c r="O22" s="818">
        <v>191.42000000000002</v>
      </c>
      <c r="P22" s="818">
        <v>0</v>
      </c>
      <c r="Q22" s="818">
        <v>2297.04</v>
      </c>
      <c r="R22" s="818">
        <v>2297.04</v>
      </c>
      <c r="S22" s="818">
        <v>0</v>
      </c>
      <c r="T22" s="816" t="s">
        <v>1306</v>
      </c>
      <c r="U22" s="818">
        <v>9762.26</v>
      </c>
      <c r="V22" s="816" t="s">
        <v>1253</v>
      </c>
      <c r="W22" s="816" t="s">
        <v>1207</v>
      </c>
      <c r="Y22" s="859">
        <f t="shared" si="0"/>
        <v>34500</v>
      </c>
      <c r="Z22" s="858">
        <f t="shared" si="1"/>
        <v>9762.2599999999984</v>
      </c>
      <c r="AA22" s="859">
        <f t="shared" si="2"/>
        <v>191.42000000000002</v>
      </c>
      <c r="AB22" s="820" t="s">
        <v>791</v>
      </c>
      <c r="AC22" s="815">
        <f>IF((Z22-(AA22*12))&gt;0,AA22*12,Z22)</f>
        <v>2297.04</v>
      </c>
      <c r="AD22" s="815">
        <f>IF(($Z22-($AA22*12)-SUM($AC22:AC22))&gt;0,$AA22*12,$Z22-SUM($AC22:AC22))</f>
        <v>2297.04</v>
      </c>
      <c r="AE22" s="815">
        <f>IF(($Z22-($AA22*12)-SUM($AC22:AD22))&gt;0,$AA22*12,$Z22-SUM($AC22:AD22))</f>
        <v>2297.04</v>
      </c>
      <c r="AF22" s="815">
        <f>IF(($Z22-($AA22*12)-SUM($AC22:AE22))&gt;0,$AA22*12,$Z22-SUM($AC22:AE22))</f>
        <v>2297.04</v>
      </c>
      <c r="AG22" s="815">
        <f>IF(($Z22-($AA22*12)-SUM($AC22:AF22))&gt;0,$AA22*12,$Z22-SUM($AC22:AF22))</f>
        <v>574.09999999999854</v>
      </c>
      <c r="AH22" s="815">
        <f>IF(($Z22-($AA22*12)-SUM($AC22:AG22))&gt;0,$AA22*12,$Z22-SUM($AC22:AG22))</f>
        <v>0</v>
      </c>
      <c r="AI22" s="815">
        <f>IF(($Z22-($AA22*12)-SUM($AC22:AH22))&gt;0,$AA22*12,$Z22-SUM($AC22:AH22))</f>
        <v>0</v>
      </c>
      <c r="AJ22" s="815" t="b">
        <f t="shared" si="3"/>
        <v>1</v>
      </c>
    </row>
    <row r="23" spans="1:36" x14ac:dyDescent="0.25">
      <c r="A23" s="817" t="s">
        <v>185</v>
      </c>
      <c r="B23" s="817" t="s">
        <v>340</v>
      </c>
      <c r="C23" s="817" t="s">
        <v>1249</v>
      </c>
      <c r="D23" s="817" t="s">
        <v>1307</v>
      </c>
      <c r="E23" s="817" t="s">
        <v>1307</v>
      </c>
      <c r="F23" s="816" t="s">
        <v>1284</v>
      </c>
      <c r="G23" s="817" t="s">
        <v>298</v>
      </c>
      <c r="H23" s="817" t="s">
        <v>721</v>
      </c>
      <c r="I23" s="817" t="s">
        <v>346</v>
      </c>
      <c r="J23" s="818">
        <v>3600</v>
      </c>
      <c r="K23" s="818">
        <v>3600</v>
      </c>
      <c r="L23" s="818">
        <v>3600</v>
      </c>
      <c r="M23" s="818">
        <v>0</v>
      </c>
      <c r="N23" s="818">
        <v>0</v>
      </c>
      <c r="O23" s="818">
        <v>0</v>
      </c>
      <c r="P23" s="818">
        <v>0</v>
      </c>
      <c r="Q23" s="818">
        <v>0</v>
      </c>
      <c r="R23" s="818">
        <v>0</v>
      </c>
      <c r="S23" s="818">
        <v>0</v>
      </c>
      <c r="T23" s="816" t="s">
        <v>1308</v>
      </c>
      <c r="U23" s="818">
        <v>0</v>
      </c>
      <c r="V23" s="816" t="s">
        <v>1253</v>
      </c>
      <c r="W23" s="816" t="s">
        <v>1207</v>
      </c>
      <c r="Y23" s="859">
        <f t="shared" si="0"/>
        <v>3600</v>
      </c>
      <c r="Z23" s="858">
        <f t="shared" si="1"/>
        <v>0</v>
      </c>
      <c r="AA23" s="859">
        <f t="shared" si="2"/>
        <v>0</v>
      </c>
      <c r="AB23" s="820" t="s">
        <v>802</v>
      </c>
      <c r="AJ23" s="815" t="b">
        <f t="shared" si="3"/>
        <v>1</v>
      </c>
    </row>
    <row r="24" spans="1:36" x14ac:dyDescent="0.25">
      <c r="A24" s="817" t="s">
        <v>1309</v>
      </c>
      <c r="B24" s="817" t="s">
        <v>1310</v>
      </c>
      <c r="C24" s="817" t="s">
        <v>1249</v>
      </c>
      <c r="D24" s="817" t="s">
        <v>1311</v>
      </c>
      <c r="E24" s="817" t="s">
        <v>1311</v>
      </c>
      <c r="F24" s="816" t="s">
        <v>1264</v>
      </c>
      <c r="G24" s="817" t="s">
        <v>304</v>
      </c>
      <c r="H24" s="817" t="s">
        <v>721</v>
      </c>
      <c r="I24" s="817" t="s">
        <v>346</v>
      </c>
      <c r="J24" s="818">
        <v>33729.22</v>
      </c>
      <c r="K24" s="818">
        <v>33729.22</v>
      </c>
      <c r="L24" s="818">
        <v>33729.22</v>
      </c>
      <c r="M24" s="818">
        <v>0</v>
      </c>
      <c r="N24" s="818">
        <v>0</v>
      </c>
      <c r="O24" s="818">
        <v>0</v>
      </c>
      <c r="P24" s="818">
        <v>0</v>
      </c>
      <c r="Q24" s="818">
        <v>0</v>
      </c>
      <c r="R24" s="818">
        <v>0</v>
      </c>
      <c r="S24" s="818">
        <v>0</v>
      </c>
      <c r="T24" s="816" t="s">
        <v>1312</v>
      </c>
      <c r="U24" s="818">
        <v>0</v>
      </c>
      <c r="V24" s="816" t="s">
        <v>1253</v>
      </c>
      <c r="W24" s="816" t="s">
        <v>1207</v>
      </c>
      <c r="Y24" s="887">
        <f t="shared" si="0"/>
        <v>33729.22</v>
      </c>
      <c r="Z24" s="888">
        <f t="shared" si="1"/>
        <v>0</v>
      </c>
      <c r="AA24" s="887">
        <f t="shared" si="2"/>
        <v>0</v>
      </c>
      <c r="AB24" s="886"/>
      <c r="AC24" s="886"/>
      <c r="AD24" s="886"/>
      <c r="AE24" s="886"/>
      <c r="AF24" s="886"/>
      <c r="AG24" s="886"/>
      <c r="AH24" s="886"/>
      <c r="AI24" s="886"/>
      <c r="AJ24" s="815" t="b">
        <f t="shared" si="3"/>
        <v>1</v>
      </c>
    </row>
    <row r="25" spans="1:36" x14ac:dyDescent="0.25">
      <c r="A25" s="817" t="s">
        <v>1257</v>
      </c>
      <c r="B25" s="817" t="s">
        <v>1313</v>
      </c>
      <c r="C25" s="817" t="s">
        <v>1249</v>
      </c>
      <c r="D25" s="817" t="s">
        <v>1311</v>
      </c>
      <c r="E25" s="817" t="s">
        <v>1311</v>
      </c>
      <c r="F25" s="816" t="s">
        <v>1284</v>
      </c>
      <c r="G25" s="817" t="s">
        <v>298</v>
      </c>
      <c r="H25" s="817" t="s">
        <v>721</v>
      </c>
      <c r="I25" s="817" t="s">
        <v>346</v>
      </c>
      <c r="J25" s="818">
        <v>3303.05</v>
      </c>
      <c r="K25" s="818">
        <v>3303.05</v>
      </c>
      <c r="L25" s="818">
        <v>3303.05</v>
      </c>
      <c r="M25" s="818">
        <v>0</v>
      </c>
      <c r="N25" s="818">
        <v>0</v>
      </c>
      <c r="O25" s="818">
        <v>0</v>
      </c>
      <c r="P25" s="818">
        <v>0</v>
      </c>
      <c r="Q25" s="818">
        <v>0</v>
      </c>
      <c r="R25" s="818">
        <v>0</v>
      </c>
      <c r="S25" s="818">
        <v>0</v>
      </c>
      <c r="T25" s="816" t="s">
        <v>1314</v>
      </c>
      <c r="U25" s="818">
        <v>0</v>
      </c>
      <c r="V25" s="816" t="s">
        <v>1253</v>
      </c>
      <c r="W25" s="816" t="s">
        <v>1207</v>
      </c>
      <c r="Y25" s="859">
        <f t="shared" si="0"/>
        <v>3303.05</v>
      </c>
      <c r="Z25" s="858">
        <f t="shared" si="1"/>
        <v>0</v>
      </c>
      <c r="AA25" s="859">
        <f t="shared" si="2"/>
        <v>0</v>
      </c>
      <c r="AB25" s="820" t="s">
        <v>791</v>
      </c>
      <c r="AC25" s="815">
        <f>IF((Z25-(AA25*12))&gt;0,AA25*12,Z25)</f>
        <v>0</v>
      </c>
      <c r="AD25" s="815">
        <f>IF(($Z25-($AA25*12)-SUM($AC25:AC25))&gt;0,$AA25*12,$Z25-SUM($AC25:AC25))</f>
        <v>0</v>
      </c>
      <c r="AE25" s="815">
        <f>IF(($Z25-($AA25*12)-SUM($AC25:AD25))&gt;0,$AA25*12,$Z25-SUM($AC25:AD25))</f>
        <v>0</v>
      </c>
      <c r="AF25" s="815">
        <f>IF(($Z25-($AA25*12)-SUM($AC25:AE25))&gt;0,$AA25*12,$Z25-SUM($AC25:AE25))</f>
        <v>0</v>
      </c>
      <c r="AG25" s="815">
        <f>IF(($Z25-($AA25*12)-SUM($AC25:AF25))&gt;0,$AA25*12,$Z25-SUM($AC25:AF25))</f>
        <v>0</v>
      </c>
      <c r="AH25" s="815">
        <f>IF(($Z25-($AA25*12)-SUM($AC25:AG25))&gt;0,$AA25*12,$Z25-SUM($AC25:AG25))</f>
        <v>0</v>
      </c>
      <c r="AI25" s="815">
        <f>IF(($Z25-($AA25*12)-SUM($AC25:AH25))&gt;0,$AA25*12,$Z25-SUM($AC25:AH25))</f>
        <v>0</v>
      </c>
      <c r="AJ25" s="815" t="b">
        <f t="shared" si="3"/>
        <v>1</v>
      </c>
    </row>
    <row r="26" spans="1:36" x14ac:dyDescent="0.25">
      <c r="A26" s="817" t="s">
        <v>186</v>
      </c>
      <c r="B26" s="817" t="s">
        <v>333</v>
      </c>
      <c r="C26" s="817" t="s">
        <v>1249</v>
      </c>
      <c r="D26" s="817" t="s">
        <v>1315</v>
      </c>
      <c r="E26" s="817" t="s">
        <v>1315</v>
      </c>
      <c r="F26" s="816" t="s">
        <v>1284</v>
      </c>
      <c r="G26" s="817" t="s">
        <v>298</v>
      </c>
      <c r="H26" s="817" t="s">
        <v>721</v>
      </c>
      <c r="I26" s="817" t="s">
        <v>346</v>
      </c>
      <c r="J26" s="818">
        <v>5811.7300000000005</v>
      </c>
      <c r="K26" s="818">
        <v>5811.7300000000005</v>
      </c>
      <c r="L26" s="818">
        <v>5811.7300000000005</v>
      </c>
      <c r="M26" s="818">
        <v>0</v>
      </c>
      <c r="N26" s="818">
        <v>0</v>
      </c>
      <c r="O26" s="818">
        <v>0</v>
      </c>
      <c r="P26" s="818">
        <v>0</v>
      </c>
      <c r="Q26" s="818">
        <v>0</v>
      </c>
      <c r="R26" s="818">
        <v>0</v>
      </c>
      <c r="S26" s="818">
        <v>0</v>
      </c>
      <c r="T26" s="816" t="s">
        <v>1316</v>
      </c>
      <c r="U26" s="818">
        <v>0</v>
      </c>
      <c r="V26" s="816" t="s">
        <v>1253</v>
      </c>
      <c r="W26" s="816" t="s">
        <v>1207</v>
      </c>
      <c r="Y26" s="859">
        <f t="shared" si="0"/>
        <v>5811.7300000000005</v>
      </c>
      <c r="Z26" s="858">
        <f t="shared" si="1"/>
        <v>0</v>
      </c>
      <c r="AA26" s="859">
        <f t="shared" si="2"/>
        <v>0</v>
      </c>
      <c r="AJ26" s="815" t="b">
        <f t="shared" si="3"/>
        <v>1</v>
      </c>
    </row>
    <row r="27" spans="1:36" x14ac:dyDescent="0.25">
      <c r="A27" s="817" t="s">
        <v>298</v>
      </c>
      <c r="B27" s="817" t="s">
        <v>326</v>
      </c>
      <c r="C27" s="817" t="s">
        <v>1249</v>
      </c>
      <c r="D27" s="817" t="s">
        <v>1317</v>
      </c>
      <c r="E27" s="817" t="s">
        <v>1317</v>
      </c>
      <c r="F27" s="816" t="s">
        <v>1284</v>
      </c>
      <c r="G27" s="817" t="s">
        <v>298</v>
      </c>
      <c r="H27" s="817" t="s">
        <v>721</v>
      </c>
      <c r="I27" s="817" t="s">
        <v>346</v>
      </c>
      <c r="J27" s="818">
        <v>3040.7000000000003</v>
      </c>
      <c r="K27" s="818">
        <v>3040.7000000000003</v>
      </c>
      <c r="L27" s="818">
        <v>3040.7000000000003</v>
      </c>
      <c r="M27" s="818">
        <v>0</v>
      </c>
      <c r="N27" s="818">
        <v>0</v>
      </c>
      <c r="O27" s="818">
        <v>0</v>
      </c>
      <c r="P27" s="818">
        <v>0</v>
      </c>
      <c r="Q27" s="818">
        <v>0</v>
      </c>
      <c r="R27" s="818">
        <v>0</v>
      </c>
      <c r="S27" s="818">
        <v>0</v>
      </c>
      <c r="T27" s="816" t="s">
        <v>1318</v>
      </c>
      <c r="U27" s="818">
        <v>0</v>
      </c>
      <c r="V27" s="816" t="s">
        <v>1253</v>
      </c>
      <c r="W27" s="816" t="s">
        <v>1207</v>
      </c>
      <c r="Y27" s="859">
        <f t="shared" si="0"/>
        <v>3040.7000000000003</v>
      </c>
      <c r="Z27" s="858">
        <f t="shared" si="1"/>
        <v>0</v>
      </c>
      <c r="AA27" s="859">
        <f t="shared" si="2"/>
        <v>0</v>
      </c>
      <c r="AJ27" s="815" t="b">
        <f t="shared" si="3"/>
        <v>1</v>
      </c>
    </row>
    <row r="28" spans="1:36" x14ac:dyDescent="0.25">
      <c r="A28" s="817" t="s">
        <v>1319</v>
      </c>
      <c r="B28" s="817" t="s">
        <v>307</v>
      </c>
      <c r="C28" s="817" t="s">
        <v>1249</v>
      </c>
      <c r="D28" s="817" t="s">
        <v>1317</v>
      </c>
      <c r="E28" s="817" t="s">
        <v>1317</v>
      </c>
      <c r="F28" s="816" t="s">
        <v>1284</v>
      </c>
      <c r="G28" s="817" t="s">
        <v>298</v>
      </c>
      <c r="H28" s="817" t="s">
        <v>721</v>
      </c>
      <c r="I28" s="817" t="s">
        <v>346</v>
      </c>
      <c r="J28" s="818">
        <v>3304.8</v>
      </c>
      <c r="K28" s="818">
        <v>3304.8</v>
      </c>
      <c r="L28" s="818">
        <v>3304.8</v>
      </c>
      <c r="M28" s="818">
        <v>0</v>
      </c>
      <c r="N28" s="818">
        <v>0</v>
      </c>
      <c r="O28" s="818">
        <v>0</v>
      </c>
      <c r="P28" s="818">
        <v>0</v>
      </c>
      <c r="Q28" s="818">
        <v>0</v>
      </c>
      <c r="R28" s="818">
        <v>0</v>
      </c>
      <c r="S28" s="818">
        <v>0</v>
      </c>
      <c r="T28" s="816" t="s">
        <v>1320</v>
      </c>
      <c r="U28" s="818">
        <v>0</v>
      </c>
      <c r="V28" s="816" t="s">
        <v>1253</v>
      </c>
      <c r="W28" s="816" t="s">
        <v>1207</v>
      </c>
      <c r="Y28" s="859">
        <f t="shared" si="0"/>
        <v>3304.8</v>
      </c>
      <c r="Z28" s="858">
        <f t="shared" si="1"/>
        <v>0</v>
      </c>
      <c r="AA28" s="859">
        <f t="shared" si="2"/>
        <v>0</v>
      </c>
      <c r="AB28" s="820" t="s">
        <v>802</v>
      </c>
      <c r="AJ28" s="815" t="b">
        <f t="shared" si="3"/>
        <v>1</v>
      </c>
    </row>
    <row r="29" spans="1:36" x14ac:dyDescent="0.25">
      <c r="A29" s="817" t="s">
        <v>1321</v>
      </c>
      <c r="B29" s="817" t="s">
        <v>313</v>
      </c>
      <c r="C29" s="817" t="s">
        <v>1249</v>
      </c>
      <c r="D29" s="817" t="s">
        <v>1322</v>
      </c>
      <c r="E29" s="817" t="s">
        <v>1322</v>
      </c>
      <c r="F29" s="816" t="s">
        <v>1284</v>
      </c>
      <c r="G29" s="817" t="s">
        <v>298</v>
      </c>
      <c r="H29" s="817" t="s">
        <v>721</v>
      </c>
      <c r="I29" s="817" t="s">
        <v>346</v>
      </c>
      <c r="J29" s="818">
        <v>2178</v>
      </c>
      <c r="K29" s="818">
        <v>2178</v>
      </c>
      <c r="L29" s="818">
        <v>2178</v>
      </c>
      <c r="M29" s="818">
        <v>0</v>
      </c>
      <c r="N29" s="818">
        <v>0</v>
      </c>
      <c r="O29" s="818">
        <v>0</v>
      </c>
      <c r="P29" s="818">
        <v>0</v>
      </c>
      <c r="Q29" s="818">
        <v>0</v>
      </c>
      <c r="R29" s="818">
        <v>0</v>
      </c>
      <c r="S29" s="818">
        <v>0</v>
      </c>
      <c r="T29" s="816" t="s">
        <v>1323</v>
      </c>
      <c r="U29" s="818">
        <v>0</v>
      </c>
      <c r="V29" s="816" t="s">
        <v>1253</v>
      </c>
      <c r="W29" s="816" t="s">
        <v>1207</v>
      </c>
      <c r="Y29" s="859">
        <f t="shared" si="0"/>
        <v>2178</v>
      </c>
      <c r="Z29" s="858">
        <f t="shared" si="1"/>
        <v>0</v>
      </c>
      <c r="AA29" s="859">
        <f t="shared" si="2"/>
        <v>0</v>
      </c>
      <c r="AB29" s="820" t="s">
        <v>802</v>
      </c>
      <c r="AJ29" s="815" t="b">
        <f t="shared" si="3"/>
        <v>1</v>
      </c>
    </row>
    <row r="30" spans="1:36" x14ac:dyDescent="0.25">
      <c r="A30" s="817" t="s">
        <v>1324</v>
      </c>
      <c r="B30" s="817" t="s">
        <v>1325</v>
      </c>
      <c r="C30" s="817" t="s">
        <v>1262</v>
      </c>
      <c r="D30" s="817" t="s">
        <v>1326</v>
      </c>
      <c r="E30" s="817" t="s">
        <v>1326</v>
      </c>
      <c r="F30" s="816" t="s">
        <v>1264</v>
      </c>
      <c r="G30" s="817" t="s">
        <v>304</v>
      </c>
      <c r="H30" s="817" t="s">
        <v>721</v>
      </c>
      <c r="I30" s="817" t="s">
        <v>346</v>
      </c>
      <c r="J30" s="818">
        <v>38636.370000000003</v>
      </c>
      <c r="K30" s="818">
        <v>38636.370000000003</v>
      </c>
      <c r="L30" s="818">
        <v>38636.370000000003</v>
      </c>
      <c r="M30" s="818">
        <v>0</v>
      </c>
      <c r="N30" s="818">
        <v>0</v>
      </c>
      <c r="O30" s="818">
        <v>0</v>
      </c>
      <c r="P30" s="818">
        <v>0</v>
      </c>
      <c r="Q30" s="818">
        <v>0</v>
      </c>
      <c r="R30" s="818">
        <v>0</v>
      </c>
      <c r="S30" s="818">
        <v>0</v>
      </c>
      <c r="T30" s="816" t="s">
        <v>1327</v>
      </c>
      <c r="U30" s="818">
        <v>0</v>
      </c>
      <c r="V30" s="816" t="s">
        <v>1253</v>
      </c>
      <c r="W30" s="816" t="s">
        <v>1266</v>
      </c>
      <c r="Y30" s="859">
        <f t="shared" si="0"/>
        <v>38636.370000000003</v>
      </c>
      <c r="Z30" s="858">
        <f t="shared" si="1"/>
        <v>0</v>
      </c>
      <c r="AA30" s="859">
        <f t="shared" si="2"/>
        <v>0</v>
      </c>
      <c r="AJ30" s="815" t="b">
        <f t="shared" si="3"/>
        <v>1</v>
      </c>
    </row>
    <row r="31" spans="1:36" x14ac:dyDescent="0.25">
      <c r="A31" s="817" t="s">
        <v>1328</v>
      </c>
      <c r="B31" s="817" t="s">
        <v>308</v>
      </c>
      <c r="C31" s="817" t="s">
        <v>1249</v>
      </c>
      <c r="D31" s="817" t="s">
        <v>1329</v>
      </c>
      <c r="E31" s="817" t="s">
        <v>1329</v>
      </c>
      <c r="F31" s="816" t="s">
        <v>1284</v>
      </c>
      <c r="G31" s="817" t="s">
        <v>298</v>
      </c>
      <c r="H31" s="817" t="s">
        <v>721</v>
      </c>
      <c r="I31" s="817" t="s">
        <v>346</v>
      </c>
      <c r="J31" s="818">
        <v>2028.06</v>
      </c>
      <c r="K31" s="818">
        <v>2028.06</v>
      </c>
      <c r="L31" s="818">
        <v>2028.06</v>
      </c>
      <c r="M31" s="818">
        <v>0</v>
      </c>
      <c r="N31" s="818">
        <v>0</v>
      </c>
      <c r="O31" s="818">
        <v>0</v>
      </c>
      <c r="P31" s="818">
        <v>0</v>
      </c>
      <c r="Q31" s="818">
        <v>0</v>
      </c>
      <c r="R31" s="818">
        <v>0</v>
      </c>
      <c r="S31" s="818">
        <v>0</v>
      </c>
      <c r="T31" s="816" t="s">
        <v>1330</v>
      </c>
      <c r="U31" s="818">
        <v>0</v>
      </c>
      <c r="V31" s="816" t="s">
        <v>1253</v>
      </c>
      <c r="W31" s="816" t="s">
        <v>1207</v>
      </c>
      <c r="Y31" s="859">
        <f t="shared" si="0"/>
        <v>2028.06</v>
      </c>
      <c r="Z31" s="858">
        <f t="shared" si="1"/>
        <v>0</v>
      </c>
      <c r="AA31" s="859">
        <f t="shared" si="2"/>
        <v>0</v>
      </c>
      <c r="AB31" s="820" t="s">
        <v>802</v>
      </c>
      <c r="AJ31" s="815" t="b">
        <f t="shared" si="3"/>
        <v>1</v>
      </c>
    </row>
    <row r="32" spans="1:36" x14ac:dyDescent="0.25">
      <c r="A32" s="817" t="s">
        <v>339</v>
      </c>
      <c r="B32" s="817" t="s">
        <v>1331</v>
      </c>
      <c r="C32" s="817" t="s">
        <v>1249</v>
      </c>
      <c r="D32" s="817" t="s">
        <v>1326</v>
      </c>
      <c r="E32" s="817" t="s">
        <v>1326</v>
      </c>
      <c r="F32" s="816" t="s">
        <v>1332</v>
      </c>
      <c r="G32" s="817" t="s">
        <v>247</v>
      </c>
      <c r="H32" s="817" t="s">
        <v>721</v>
      </c>
      <c r="I32" s="817" t="s">
        <v>346</v>
      </c>
      <c r="J32" s="818">
        <v>4539.6400000000003</v>
      </c>
      <c r="K32" s="818">
        <v>4539.6400000000003</v>
      </c>
      <c r="L32" s="818">
        <v>4539.6400000000003</v>
      </c>
      <c r="M32" s="818">
        <v>0</v>
      </c>
      <c r="N32" s="818">
        <v>0</v>
      </c>
      <c r="O32" s="818">
        <v>0</v>
      </c>
      <c r="P32" s="818">
        <v>0</v>
      </c>
      <c r="Q32" s="818">
        <v>0</v>
      </c>
      <c r="R32" s="818">
        <v>0</v>
      </c>
      <c r="S32" s="818">
        <v>0</v>
      </c>
      <c r="T32" s="816" t="s">
        <v>1333</v>
      </c>
      <c r="U32" s="818">
        <v>0</v>
      </c>
      <c r="V32" s="816" t="s">
        <v>1253</v>
      </c>
      <c r="W32" s="816" t="s">
        <v>1207</v>
      </c>
      <c r="Y32" s="859">
        <f t="shared" si="0"/>
        <v>4539.6400000000003</v>
      </c>
      <c r="Z32" s="858">
        <f t="shared" si="1"/>
        <v>0</v>
      </c>
      <c r="AA32" s="859">
        <f t="shared" si="2"/>
        <v>0</v>
      </c>
      <c r="AJ32" s="815" t="b">
        <f t="shared" si="3"/>
        <v>1</v>
      </c>
    </row>
    <row r="33" spans="1:36" x14ac:dyDescent="0.25">
      <c r="A33" s="817" t="s">
        <v>1334</v>
      </c>
      <c r="B33" s="817" t="s">
        <v>179</v>
      </c>
      <c r="C33" s="817" t="s">
        <v>1249</v>
      </c>
      <c r="D33" s="817" t="s">
        <v>1335</v>
      </c>
      <c r="E33" s="817" t="s">
        <v>1335</v>
      </c>
      <c r="F33" s="816" t="s">
        <v>1336</v>
      </c>
      <c r="G33" s="817" t="s">
        <v>303</v>
      </c>
      <c r="H33" s="817" t="s">
        <v>1337</v>
      </c>
      <c r="I33" s="817" t="s">
        <v>346</v>
      </c>
      <c r="J33" s="818">
        <v>17357.59</v>
      </c>
      <c r="K33" s="818">
        <v>15203.29</v>
      </c>
      <c r="L33" s="818">
        <v>15203.29</v>
      </c>
      <c r="M33" s="818">
        <v>0</v>
      </c>
      <c r="N33" s="818">
        <v>179.52</v>
      </c>
      <c r="O33" s="818">
        <v>179.52</v>
      </c>
      <c r="P33" s="818">
        <v>0</v>
      </c>
      <c r="Q33" s="818">
        <v>2154.2800000000002</v>
      </c>
      <c r="R33" s="818">
        <v>2154.2800000000002</v>
      </c>
      <c r="S33" s="818">
        <v>0</v>
      </c>
      <c r="T33" s="816" t="s">
        <v>1338</v>
      </c>
      <c r="U33" s="818">
        <v>2154.3000000000002</v>
      </c>
      <c r="V33" s="816" t="s">
        <v>1253</v>
      </c>
      <c r="W33" s="816" t="s">
        <v>1207</v>
      </c>
      <c r="Y33" s="859">
        <f t="shared" si="0"/>
        <v>17357.59</v>
      </c>
      <c r="Z33" s="858">
        <f t="shared" si="1"/>
        <v>2154.2999999999993</v>
      </c>
      <c r="AA33" s="859">
        <f t="shared" si="2"/>
        <v>179.52</v>
      </c>
      <c r="AB33" s="820" t="s">
        <v>791</v>
      </c>
      <c r="AC33" s="815">
        <f>IF((Z33-(AA33*12))&gt;0,AA33*12,Z33)</f>
        <v>2154.2400000000002</v>
      </c>
      <c r="AD33" s="815">
        <f>IF(($Z33-($AA33*12)-SUM($AC33:AC33))&gt;0,$AA33*12,$Z33-SUM($AC33:AC33))</f>
        <v>5.9999999999035936E-2</v>
      </c>
      <c r="AE33" s="815">
        <f>IF(($Z33-($AA33*12)-SUM($AC33:AD33))&gt;0,$AA33*12,$Z33-SUM($AC33:AD33))</f>
        <v>0</v>
      </c>
      <c r="AF33" s="815">
        <f>IF(($Z33-($AA33*12)-SUM($AC33:AE33))&gt;0,$AA33*12,$Z33-SUM($AC33:AE33))</f>
        <v>0</v>
      </c>
      <c r="AG33" s="815">
        <f>IF(($Z33-($AA33*12)-SUM($AC33:AF33))&gt;0,$AA33*12,$Z33-SUM($AC33:AF33))</f>
        <v>0</v>
      </c>
      <c r="AH33" s="815">
        <f>IF(($Z33-($AA33*12)-SUM($AC33:AG33))&gt;0,$AA33*12,$Z33-SUM($AC33:AG33))</f>
        <v>0</v>
      </c>
      <c r="AI33" s="815">
        <f>IF(($Z33-($AA33*12)-SUM($AC33:AH33))&gt;0,$AA33*12,$Z33-SUM($AC33:AH33))</f>
        <v>0</v>
      </c>
      <c r="AJ33" s="815" t="b">
        <f t="shared" si="3"/>
        <v>1</v>
      </c>
    </row>
    <row r="34" spans="1:36" x14ac:dyDescent="0.25">
      <c r="A34" s="817" t="s">
        <v>244</v>
      </c>
      <c r="B34" s="817" t="s">
        <v>1343</v>
      </c>
      <c r="C34" s="817" t="s">
        <v>1249</v>
      </c>
      <c r="D34" s="817" t="s">
        <v>1341</v>
      </c>
      <c r="E34" s="817" t="s">
        <v>1341</v>
      </c>
      <c r="F34" s="816" t="s">
        <v>1264</v>
      </c>
      <c r="G34" s="817" t="s">
        <v>204</v>
      </c>
      <c r="H34" s="817" t="s">
        <v>721</v>
      </c>
      <c r="I34" s="817" t="s">
        <v>346</v>
      </c>
      <c r="J34" s="818">
        <v>106275.15000000001</v>
      </c>
      <c r="K34" s="818">
        <v>106275.15000000001</v>
      </c>
      <c r="L34" s="818">
        <v>106275.15000000001</v>
      </c>
      <c r="M34" s="818">
        <v>0</v>
      </c>
      <c r="N34" s="818">
        <v>0</v>
      </c>
      <c r="O34" s="818">
        <v>0</v>
      </c>
      <c r="P34" s="818">
        <v>0</v>
      </c>
      <c r="Q34" s="818">
        <v>2244.36</v>
      </c>
      <c r="R34" s="818">
        <v>2244.36</v>
      </c>
      <c r="S34" s="818">
        <v>0</v>
      </c>
      <c r="T34" s="816" t="s">
        <v>1344</v>
      </c>
      <c r="U34" s="818">
        <v>0</v>
      </c>
      <c r="V34" s="816" t="s">
        <v>1253</v>
      </c>
      <c r="W34" s="816" t="s">
        <v>1207</v>
      </c>
      <c r="Y34" s="859">
        <f t="shared" si="0"/>
        <v>106275.15000000001</v>
      </c>
      <c r="Z34" s="858">
        <f t="shared" si="1"/>
        <v>0</v>
      </c>
      <c r="AA34" s="859">
        <f t="shared" si="2"/>
        <v>0</v>
      </c>
      <c r="AJ34" s="815" t="b">
        <f t="shared" si="3"/>
        <v>1</v>
      </c>
    </row>
    <row r="35" spans="1:36" x14ac:dyDescent="0.25">
      <c r="A35" s="817" t="s">
        <v>187</v>
      </c>
      <c r="B35" s="817" t="s">
        <v>336</v>
      </c>
      <c r="C35" s="817" t="s">
        <v>1249</v>
      </c>
      <c r="D35" s="817" t="s">
        <v>1345</v>
      </c>
      <c r="E35" s="817" t="s">
        <v>1345</v>
      </c>
      <c r="F35" s="816" t="s">
        <v>1346</v>
      </c>
      <c r="G35" s="817" t="s">
        <v>303</v>
      </c>
      <c r="H35" s="817" t="s">
        <v>1347</v>
      </c>
      <c r="I35" s="817" t="s">
        <v>346</v>
      </c>
      <c r="J35" s="818">
        <v>3256.5</v>
      </c>
      <c r="K35" s="818">
        <v>2716.69</v>
      </c>
      <c r="L35" s="818">
        <v>2716.69</v>
      </c>
      <c r="M35" s="818">
        <v>0</v>
      </c>
      <c r="N35" s="818">
        <v>33.74</v>
      </c>
      <c r="O35" s="818">
        <v>33.74</v>
      </c>
      <c r="P35" s="818">
        <v>0</v>
      </c>
      <c r="Q35" s="818">
        <v>404.88</v>
      </c>
      <c r="R35" s="818">
        <v>404.88</v>
      </c>
      <c r="S35" s="818">
        <v>0</v>
      </c>
      <c r="T35" s="816" t="s">
        <v>1348</v>
      </c>
      <c r="U35" s="818">
        <v>539.81000000000006</v>
      </c>
      <c r="V35" s="816" t="s">
        <v>1253</v>
      </c>
      <c r="W35" s="816" t="s">
        <v>1207</v>
      </c>
      <c r="Y35" s="859">
        <f t="shared" si="0"/>
        <v>3256.5</v>
      </c>
      <c r="Z35" s="858">
        <f t="shared" si="1"/>
        <v>539.80999999999995</v>
      </c>
      <c r="AA35" s="859">
        <f t="shared" si="2"/>
        <v>33.74</v>
      </c>
      <c r="AB35" s="820" t="s">
        <v>791</v>
      </c>
      <c r="AC35" s="815">
        <f>IF((Z35-(AA35*12))&gt;0,AA35*12,Z35)</f>
        <v>404.88</v>
      </c>
      <c r="AD35" s="815">
        <f>IF(($Z35-($AA35*12)-SUM($AC35:AC35))&gt;0,$AA35*12,$Z35-SUM($AC35:AC35))</f>
        <v>134.92999999999995</v>
      </c>
      <c r="AE35" s="815">
        <f>IF(($Z35-($AA35*12)-SUM($AC35:AD35))&gt;0,$AA35*12,$Z35-SUM($AC35:AD35))</f>
        <v>0</v>
      </c>
      <c r="AF35" s="815">
        <f>IF(($Z35-($AA35*12)-SUM($AC35:AE35))&gt;0,$AA35*12,$Z35-SUM($AC35:AE35))</f>
        <v>0</v>
      </c>
      <c r="AG35" s="815">
        <f>IF(($Z35-($AA35*12)-SUM($AC35:AF35))&gt;0,$AA35*12,$Z35-SUM($AC35:AF35))</f>
        <v>0</v>
      </c>
      <c r="AH35" s="815">
        <f>IF(($Z35-($AA35*12)-SUM($AC35:AG35))&gt;0,$AA35*12,$Z35-SUM($AC35:AG35))</f>
        <v>0</v>
      </c>
      <c r="AI35" s="815">
        <f>IF(($Z35-($AA35*12)-SUM($AC35:AH35))&gt;0,$AA35*12,$Z35-SUM($AC35:AH35))</f>
        <v>0</v>
      </c>
      <c r="AJ35" s="815" t="b">
        <f t="shared" si="3"/>
        <v>1</v>
      </c>
    </row>
    <row r="36" spans="1:36" x14ac:dyDescent="0.25">
      <c r="A36" s="817" t="s">
        <v>188</v>
      </c>
      <c r="B36" s="817" t="s">
        <v>1349</v>
      </c>
      <c r="C36" s="817" t="s">
        <v>1262</v>
      </c>
      <c r="D36" s="817" t="s">
        <v>1350</v>
      </c>
      <c r="E36" s="817" t="s">
        <v>1350</v>
      </c>
      <c r="F36" s="816" t="s">
        <v>1284</v>
      </c>
      <c r="G36" s="817" t="s">
        <v>247</v>
      </c>
      <c r="H36" s="817" t="s">
        <v>721</v>
      </c>
      <c r="I36" s="817" t="s">
        <v>346</v>
      </c>
      <c r="J36" s="818">
        <v>3225.83</v>
      </c>
      <c r="K36" s="818">
        <v>3225.83</v>
      </c>
      <c r="L36" s="818">
        <v>3225.83</v>
      </c>
      <c r="M36" s="818">
        <v>0</v>
      </c>
      <c r="N36" s="818">
        <v>0</v>
      </c>
      <c r="O36" s="818">
        <v>0</v>
      </c>
      <c r="P36" s="818">
        <v>0</v>
      </c>
      <c r="Q36" s="818">
        <v>0</v>
      </c>
      <c r="R36" s="818">
        <v>0</v>
      </c>
      <c r="S36" s="818">
        <v>0</v>
      </c>
      <c r="T36" s="816" t="s">
        <v>1351</v>
      </c>
      <c r="U36" s="818">
        <v>0</v>
      </c>
      <c r="V36" s="816" t="s">
        <v>1253</v>
      </c>
      <c r="W36" s="816" t="s">
        <v>1266</v>
      </c>
      <c r="Y36" s="859">
        <f t="shared" si="0"/>
        <v>3225.83</v>
      </c>
      <c r="Z36" s="858">
        <f t="shared" si="1"/>
        <v>0</v>
      </c>
      <c r="AA36" s="859">
        <f t="shared" si="2"/>
        <v>0</v>
      </c>
      <c r="AB36" s="820" t="s">
        <v>791</v>
      </c>
      <c r="AC36" s="815">
        <f>IF((Z36-(AA36*12))&gt;0,AA36*12,Z36)</f>
        <v>0</v>
      </c>
      <c r="AD36" s="815">
        <f>IF(($Z36-($AA36*12)-SUM($AC36:AC36))&gt;0,$AA36*12,$Z36-SUM($AC36:AC36))</f>
        <v>0</v>
      </c>
      <c r="AE36" s="815">
        <f>IF(($Z36-($AA36*12)-SUM($AC36:AD36))&gt;0,$AA36*12,$Z36-SUM($AC36:AD36))</f>
        <v>0</v>
      </c>
      <c r="AF36" s="815">
        <f>IF(($Z36-($AA36*12)-SUM($AC36:AE36))&gt;0,$AA36*12,$Z36-SUM($AC36:AE36))</f>
        <v>0</v>
      </c>
      <c r="AG36" s="815">
        <f>IF(($Z36-($AA36*12)-SUM($AC36:AF36))&gt;0,$AA36*12,$Z36-SUM($AC36:AF36))</f>
        <v>0</v>
      </c>
      <c r="AH36" s="815">
        <f>IF(($Z36-($AA36*12)-SUM($AC36:AG36))&gt;0,$AA36*12,$Z36-SUM($AC36:AG36))</f>
        <v>0</v>
      </c>
      <c r="AI36" s="815">
        <f>IF(($Z36-($AA36*12)-SUM($AC36:AH36))&gt;0,$AA36*12,$Z36-SUM($AC36:AH36))</f>
        <v>0</v>
      </c>
      <c r="AJ36" s="815" t="b">
        <f t="shared" si="3"/>
        <v>1</v>
      </c>
    </row>
    <row r="37" spans="1:36" x14ac:dyDescent="0.25">
      <c r="A37" s="817" t="s">
        <v>299</v>
      </c>
      <c r="B37" s="817" t="s">
        <v>301</v>
      </c>
      <c r="C37" s="817" t="s">
        <v>1249</v>
      </c>
      <c r="D37" s="817" t="s">
        <v>1352</v>
      </c>
      <c r="E37" s="817" t="s">
        <v>1352</v>
      </c>
      <c r="F37" s="816" t="s">
        <v>1353</v>
      </c>
      <c r="G37" s="817" t="s">
        <v>298</v>
      </c>
      <c r="H37" s="817" t="s">
        <v>721</v>
      </c>
      <c r="I37" s="817" t="s">
        <v>346</v>
      </c>
      <c r="J37" s="818">
        <v>3538.16</v>
      </c>
      <c r="K37" s="818">
        <v>3538.16</v>
      </c>
      <c r="L37" s="818">
        <v>3538.16</v>
      </c>
      <c r="M37" s="818">
        <v>0</v>
      </c>
      <c r="N37" s="818">
        <v>0</v>
      </c>
      <c r="O37" s="818">
        <v>0</v>
      </c>
      <c r="P37" s="818">
        <v>0</v>
      </c>
      <c r="Q37" s="818">
        <v>0</v>
      </c>
      <c r="R37" s="818">
        <v>0</v>
      </c>
      <c r="S37" s="818">
        <v>0</v>
      </c>
      <c r="T37" s="816" t="s">
        <v>1354</v>
      </c>
      <c r="U37" s="818">
        <v>0</v>
      </c>
      <c r="V37" s="816" t="s">
        <v>1253</v>
      </c>
      <c r="W37" s="816" t="s">
        <v>1207</v>
      </c>
      <c r="Y37" s="887">
        <f t="shared" si="0"/>
        <v>3538.16</v>
      </c>
      <c r="Z37" s="888">
        <f t="shared" si="1"/>
        <v>0</v>
      </c>
      <c r="AA37" s="887">
        <f t="shared" si="2"/>
        <v>0</v>
      </c>
      <c r="AB37" s="886"/>
      <c r="AC37" s="886"/>
      <c r="AD37" s="886"/>
      <c r="AE37" s="886"/>
      <c r="AF37" s="886"/>
      <c r="AG37" s="886"/>
      <c r="AH37" s="886"/>
      <c r="AI37" s="886"/>
      <c r="AJ37" s="815" t="b">
        <f t="shared" si="3"/>
        <v>1</v>
      </c>
    </row>
    <row r="38" spans="1:36" x14ac:dyDescent="0.25">
      <c r="A38" s="817" t="s">
        <v>247</v>
      </c>
      <c r="B38" s="817" t="s">
        <v>182</v>
      </c>
      <c r="C38" s="817" t="s">
        <v>1249</v>
      </c>
      <c r="D38" s="817" t="s">
        <v>1352</v>
      </c>
      <c r="E38" s="817" t="s">
        <v>1352</v>
      </c>
      <c r="F38" s="816" t="s">
        <v>1353</v>
      </c>
      <c r="G38" s="817" t="s">
        <v>247</v>
      </c>
      <c r="H38" s="817" t="s">
        <v>721</v>
      </c>
      <c r="I38" s="817" t="s">
        <v>346</v>
      </c>
      <c r="J38" s="818">
        <v>3597.73</v>
      </c>
      <c r="K38" s="818">
        <v>3597.73</v>
      </c>
      <c r="L38" s="818">
        <v>3597.73</v>
      </c>
      <c r="M38" s="818">
        <v>0</v>
      </c>
      <c r="N38" s="818">
        <v>0</v>
      </c>
      <c r="O38" s="818">
        <v>0</v>
      </c>
      <c r="P38" s="818">
        <v>0</v>
      </c>
      <c r="Q38" s="818">
        <v>0</v>
      </c>
      <c r="R38" s="818">
        <v>0</v>
      </c>
      <c r="S38" s="818">
        <v>0</v>
      </c>
      <c r="T38" s="816" t="s">
        <v>1354</v>
      </c>
      <c r="U38" s="818">
        <v>0</v>
      </c>
      <c r="V38" s="816" t="s">
        <v>1253</v>
      </c>
      <c r="W38" s="816" t="s">
        <v>1207</v>
      </c>
      <c r="Y38" s="859">
        <f t="shared" si="0"/>
        <v>3597.73</v>
      </c>
      <c r="Z38" s="858">
        <f t="shared" si="1"/>
        <v>0</v>
      </c>
      <c r="AA38" s="859">
        <f t="shared" si="2"/>
        <v>0</v>
      </c>
      <c r="AJ38" s="815" t="b">
        <f t="shared" si="3"/>
        <v>1</v>
      </c>
    </row>
    <row r="39" spans="1:36" x14ac:dyDescent="0.25">
      <c r="A39" s="817" t="s">
        <v>207</v>
      </c>
      <c r="B39" s="817" t="s">
        <v>1355</v>
      </c>
      <c r="C39" s="817" t="s">
        <v>1249</v>
      </c>
      <c r="D39" s="817" t="s">
        <v>1356</v>
      </c>
      <c r="E39" s="817" t="s">
        <v>1356</v>
      </c>
      <c r="F39" s="816" t="s">
        <v>1264</v>
      </c>
      <c r="G39" s="817" t="s">
        <v>304</v>
      </c>
      <c r="H39" s="817" t="s">
        <v>721</v>
      </c>
      <c r="I39" s="817" t="s">
        <v>346</v>
      </c>
      <c r="J39" s="818">
        <v>41530.720000000001</v>
      </c>
      <c r="K39" s="818">
        <v>41530.720000000001</v>
      </c>
      <c r="L39" s="818">
        <v>41530.720000000001</v>
      </c>
      <c r="M39" s="818">
        <v>0</v>
      </c>
      <c r="N39" s="818">
        <v>0</v>
      </c>
      <c r="O39" s="818">
        <v>0</v>
      </c>
      <c r="P39" s="818">
        <v>0</v>
      </c>
      <c r="Q39" s="818">
        <v>0</v>
      </c>
      <c r="R39" s="818">
        <v>0</v>
      </c>
      <c r="S39" s="818">
        <v>0</v>
      </c>
      <c r="T39" s="816" t="s">
        <v>1357</v>
      </c>
      <c r="U39" s="818">
        <v>0</v>
      </c>
      <c r="V39" s="816" t="s">
        <v>1253</v>
      </c>
      <c r="W39" s="816" t="s">
        <v>1207</v>
      </c>
      <c r="Y39" s="859">
        <f t="shared" si="0"/>
        <v>41530.720000000001</v>
      </c>
      <c r="Z39" s="858">
        <f t="shared" si="1"/>
        <v>0</v>
      </c>
      <c r="AA39" s="859">
        <f t="shared" si="2"/>
        <v>0</v>
      </c>
      <c r="AB39" s="820" t="s">
        <v>791</v>
      </c>
      <c r="AC39" s="815">
        <f>IF((Z39-(AA39*12))&gt;0,AA39*12,Z39)</f>
        <v>0</v>
      </c>
      <c r="AD39" s="815">
        <f>IF(($Z39-($AA39*12)-SUM($AC39:AC39))&gt;0,$AA39*12,$Z39-SUM($AC39:AC39))</f>
        <v>0</v>
      </c>
      <c r="AE39" s="815">
        <f>IF(($Z39-($AA39*12)-SUM($AC39:AD39))&gt;0,$AA39*12,$Z39-SUM($AC39:AD39))</f>
        <v>0</v>
      </c>
      <c r="AF39" s="815">
        <f>IF(($Z39-($AA39*12)-SUM($AC39:AE39))&gt;0,$AA39*12,$Z39-SUM($AC39:AE39))</f>
        <v>0</v>
      </c>
      <c r="AG39" s="815">
        <f>IF(($Z39-($AA39*12)-SUM($AC39:AF39))&gt;0,$AA39*12,$Z39-SUM($AC39:AF39))</f>
        <v>0</v>
      </c>
      <c r="AH39" s="815">
        <f>IF(($Z39-($AA39*12)-SUM($AC39:AG39))&gt;0,$AA39*12,$Z39-SUM($AC39:AG39))</f>
        <v>0</v>
      </c>
      <c r="AI39" s="815">
        <f>IF(($Z39-($AA39*12)-SUM($AC39:AH39))&gt;0,$AA39*12,$Z39-SUM($AC39:AH39))</f>
        <v>0</v>
      </c>
      <c r="AJ39" s="815" t="b">
        <f t="shared" si="3"/>
        <v>1</v>
      </c>
    </row>
    <row r="40" spans="1:36" x14ac:dyDescent="0.25">
      <c r="A40" s="817" t="s">
        <v>189</v>
      </c>
      <c r="B40" s="817" t="s">
        <v>321</v>
      </c>
      <c r="C40" s="817" t="s">
        <v>1249</v>
      </c>
      <c r="D40" s="817" t="s">
        <v>1358</v>
      </c>
      <c r="E40" s="817" t="s">
        <v>1358</v>
      </c>
      <c r="F40" s="816" t="s">
        <v>1359</v>
      </c>
      <c r="G40" s="817" t="s">
        <v>303</v>
      </c>
      <c r="H40" s="817" t="s">
        <v>1360</v>
      </c>
      <c r="I40" s="817" t="s">
        <v>346</v>
      </c>
      <c r="J40" s="818">
        <v>4843</v>
      </c>
      <c r="K40" s="818">
        <v>2929.85</v>
      </c>
      <c r="L40" s="818">
        <v>2929.85</v>
      </c>
      <c r="M40" s="818">
        <v>0</v>
      </c>
      <c r="N40" s="818">
        <v>50.35</v>
      </c>
      <c r="O40" s="818">
        <v>50.35</v>
      </c>
      <c r="P40" s="818">
        <v>0</v>
      </c>
      <c r="Q40" s="818">
        <v>604.20000000000005</v>
      </c>
      <c r="R40" s="818">
        <v>604.20000000000005</v>
      </c>
      <c r="S40" s="818">
        <v>0</v>
      </c>
      <c r="T40" s="816" t="s">
        <v>1361</v>
      </c>
      <c r="U40" s="818">
        <v>1913.15</v>
      </c>
      <c r="V40" s="816" t="s">
        <v>1253</v>
      </c>
      <c r="W40" s="816" t="s">
        <v>1207</v>
      </c>
      <c r="Y40" s="859">
        <f t="shared" si="0"/>
        <v>4843</v>
      </c>
      <c r="Z40" s="858">
        <f t="shared" si="1"/>
        <v>1913.15</v>
      </c>
      <c r="AA40" s="859">
        <f t="shared" si="2"/>
        <v>50.35</v>
      </c>
      <c r="AB40" s="820" t="s">
        <v>791</v>
      </c>
      <c r="AC40" s="815">
        <f>IF((Z40-(AA40*12))&gt;0,AA40*12,Z40)</f>
        <v>604.20000000000005</v>
      </c>
      <c r="AD40" s="815">
        <f>IF(($Z40-($AA40*12)-SUM($AC40:AC40))&gt;0,$AA40*12,$Z40-SUM($AC40:AC40))</f>
        <v>604.20000000000005</v>
      </c>
      <c r="AE40" s="815">
        <f>IF(($Z40-($AA40*12)-SUM($AC40:AD40))&gt;0,$AA40*12,$Z40-SUM($AC40:AD40))</f>
        <v>604.20000000000005</v>
      </c>
      <c r="AF40" s="815">
        <f>IF(($Z40-($AA40*12)-SUM($AC40:AE40))&gt;0,$AA40*12,$Z40-SUM($AC40:AE40))</f>
        <v>100.54999999999995</v>
      </c>
      <c r="AG40" s="815">
        <f>IF(($Z40-($AA40*12)-SUM($AC40:AF40))&gt;0,$AA40*12,$Z40-SUM($AC40:AF40))</f>
        <v>0</v>
      </c>
      <c r="AH40" s="815">
        <f>IF(($Z40-($AA40*12)-SUM($AC40:AG40))&gt;0,$AA40*12,$Z40-SUM($AC40:AG40))</f>
        <v>0</v>
      </c>
      <c r="AI40" s="815">
        <f>IF(($Z40-($AA40*12)-SUM($AC40:AH40))&gt;0,$AA40*12,$Z40-SUM($AC40:AH40))</f>
        <v>0</v>
      </c>
      <c r="AJ40" s="815" t="b">
        <f t="shared" si="3"/>
        <v>1</v>
      </c>
    </row>
    <row r="41" spans="1:36" x14ac:dyDescent="0.25">
      <c r="A41" s="817" t="s">
        <v>331</v>
      </c>
      <c r="B41" s="817" t="s">
        <v>1362</v>
      </c>
      <c r="C41" s="817" t="s">
        <v>1249</v>
      </c>
      <c r="D41" s="817" t="s">
        <v>1363</v>
      </c>
      <c r="E41" s="817" t="s">
        <v>1363</v>
      </c>
      <c r="F41" s="816" t="s">
        <v>1264</v>
      </c>
      <c r="G41" s="817" t="s">
        <v>304</v>
      </c>
      <c r="H41" s="817" t="s">
        <v>721</v>
      </c>
      <c r="I41" s="817" t="s">
        <v>346</v>
      </c>
      <c r="J41" s="818">
        <v>45531.07</v>
      </c>
      <c r="K41" s="818">
        <v>45531.07</v>
      </c>
      <c r="L41" s="818">
        <v>45531.07</v>
      </c>
      <c r="M41" s="818">
        <v>0</v>
      </c>
      <c r="N41" s="818">
        <v>0</v>
      </c>
      <c r="O41" s="818">
        <v>0</v>
      </c>
      <c r="P41" s="818">
        <v>0</v>
      </c>
      <c r="Q41" s="818">
        <v>4439.2700000000004</v>
      </c>
      <c r="R41" s="818">
        <v>4439.2700000000004</v>
      </c>
      <c r="S41" s="818">
        <v>0</v>
      </c>
      <c r="T41" s="816" t="s">
        <v>1364</v>
      </c>
      <c r="U41" s="818">
        <v>0</v>
      </c>
      <c r="V41" s="816" t="s">
        <v>1253</v>
      </c>
      <c r="W41" s="816" t="s">
        <v>1207</v>
      </c>
      <c r="Y41" s="859">
        <f t="shared" si="0"/>
        <v>45531.07</v>
      </c>
      <c r="Z41" s="858">
        <f t="shared" si="1"/>
        <v>0</v>
      </c>
      <c r="AA41" s="859">
        <f t="shared" si="2"/>
        <v>0</v>
      </c>
      <c r="AJ41" s="815" t="b">
        <f t="shared" si="3"/>
        <v>1</v>
      </c>
    </row>
    <row r="42" spans="1:36" x14ac:dyDescent="0.25">
      <c r="A42" s="817" t="s">
        <v>1365</v>
      </c>
      <c r="B42" s="817" t="s">
        <v>1366</v>
      </c>
      <c r="C42" s="817" t="s">
        <v>1249</v>
      </c>
      <c r="D42" s="817" t="s">
        <v>1363</v>
      </c>
      <c r="E42" s="817" t="s">
        <v>1363</v>
      </c>
      <c r="F42" s="816" t="s">
        <v>1264</v>
      </c>
      <c r="G42" s="817" t="s">
        <v>304</v>
      </c>
      <c r="H42" s="817" t="s">
        <v>721</v>
      </c>
      <c r="I42" s="817" t="s">
        <v>346</v>
      </c>
      <c r="J42" s="818">
        <v>45531.07</v>
      </c>
      <c r="K42" s="818">
        <v>45531.07</v>
      </c>
      <c r="L42" s="818">
        <v>45531.07</v>
      </c>
      <c r="M42" s="818">
        <v>0</v>
      </c>
      <c r="N42" s="818">
        <v>0</v>
      </c>
      <c r="O42" s="818">
        <v>0</v>
      </c>
      <c r="P42" s="818">
        <v>0</v>
      </c>
      <c r="Q42" s="818">
        <v>4439.2700000000004</v>
      </c>
      <c r="R42" s="818">
        <v>4439.2700000000004</v>
      </c>
      <c r="S42" s="818">
        <v>0</v>
      </c>
      <c r="T42" s="816" t="s">
        <v>1367</v>
      </c>
      <c r="U42" s="818">
        <v>0</v>
      </c>
      <c r="V42" s="816" t="s">
        <v>1253</v>
      </c>
      <c r="W42" s="816" t="s">
        <v>1207</v>
      </c>
      <c r="Y42" s="859">
        <f t="shared" si="0"/>
        <v>45531.07</v>
      </c>
      <c r="Z42" s="858">
        <f t="shared" si="1"/>
        <v>0</v>
      </c>
      <c r="AA42" s="859">
        <f t="shared" si="2"/>
        <v>0</v>
      </c>
      <c r="AJ42" s="815" t="b">
        <f t="shared" si="3"/>
        <v>1</v>
      </c>
    </row>
    <row r="43" spans="1:36" x14ac:dyDescent="0.25">
      <c r="A43" s="817" t="s">
        <v>190</v>
      </c>
      <c r="B43" s="817" t="s">
        <v>1368</v>
      </c>
      <c r="C43" s="817" t="s">
        <v>1249</v>
      </c>
      <c r="D43" s="817" t="s">
        <v>1363</v>
      </c>
      <c r="E43" s="817" t="s">
        <v>1363</v>
      </c>
      <c r="F43" s="816" t="s">
        <v>1264</v>
      </c>
      <c r="G43" s="817" t="s">
        <v>304</v>
      </c>
      <c r="H43" s="817" t="s">
        <v>721</v>
      </c>
      <c r="I43" s="817" t="s">
        <v>346</v>
      </c>
      <c r="J43" s="818">
        <v>45531.07</v>
      </c>
      <c r="K43" s="818">
        <v>45531.07</v>
      </c>
      <c r="L43" s="818">
        <v>45531.07</v>
      </c>
      <c r="M43" s="818">
        <v>0</v>
      </c>
      <c r="N43" s="818">
        <v>0</v>
      </c>
      <c r="O43" s="818">
        <v>0</v>
      </c>
      <c r="P43" s="818">
        <v>0</v>
      </c>
      <c r="Q43" s="818">
        <v>4439.2700000000004</v>
      </c>
      <c r="R43" s="818">
        <v>4439.2700000000004</v>
      </c>
      <c r="S43" s="818">
        <v>0</v>
      </c>
      <c r="T43" s="816" t="s">
        <v>1369</v>
      </c>
      <c r="U43" s="818">
        <v>0</v>
      </c>
      <c r="V43" s="816" t="s">
        <v>1253</v>
      </c>
      <c r="W43" s="816" t="s">
        <v>1207</v>
      </c>
      <c r="Y43" s="859">
        <f t="shared" si="0"/>
        <v>45531.07</v>
      </c>
      <c r="Z43" s="858">
        <f t="shared" si="1"/>
        <v>0</v>
      </c>
      <c r="AA43" s="859">
        <f t="shared" si="2"/>
        <v>0</v>
      </c>
      <c r="AJ43" s="815" t="b">
        <f t="shared" si="3"/>
        <v>1</v>
      </c>
    </row>
    <row r="44" spans="1:36" x14ac:dyDescent="0.25">
      <c r="A44" s="817" t="s">
        <v>1370</v>
      </c>
      <c r="B44" s="817" t="s">
        <v>1371</v>
      </c>
      <c r="C44" s="817" t="s">
        <v>1249</v>
      </c>
      <c r="D44" s="817" t="s">
        <v>1363</v>
      </c>
      <c r="E44" s="817" t="s">
        <v>1363</v>
      </c>
      <c r="F44" s="816" t="s">
        <v>1264</v>
      </c>
      <c r="G44" s="817" t="s">
        <v>304</v>
      </c>
      <c r="H44" s="817" t="s">
        <v>721</v>
      </c>
      <c r="I44" s="817" t="s">
        <v>346</v>
      </c>
      <c r="J44" s="818">
        <v>37466.54</v>
      </c>
      <c r="K44" s="818">
        <v>37466.54</v>
      </c>
      <c r="L44" s="818">
        <v>37466.54</v>
      </c>
      <c r="M44" s="818">
        <v>0</v>
      </c>
      <c r="N44" s="818">
        <v>0</v>
      </c>
      <c r="O44" s="818">
        <v>0</v>
      </c>
      <c r="P44" s="818">
        <v>0</v>
      </c>
      <c r="Q44" s="818">
        <v>3652.98</v>
      </c>
      <c r="R44" s="818">
        <v>3652.98</v>
      </c>
      <c r="S44" s="818">
        <v>0</v>
      </c>
      <c r="T44" s="816" t="s">
        <v>1372</v>
      </c>
      <c r="U44" s="818">
        <v>0</v>
      </c>
      <c r="V44" s="816" t="s">
        <v>1253</v>
      </c>
      <c r="W44" s="816" t="s">
        <v>1207</v>
      </c>
      <c r="Y44" s="859">
        <f t="shared" si="0"/>
        <v>37466.54</v>
      </c>
      <c r="Z44" s="858">
        <f t="shared" si="1"/>
        <v>0</v>
      </c>
      <c r="AA44" s="859">
        <f t="shared" si="2"/>
        <v>0</v>
      </c>
      <c r="AB44" s="820" t="s">
        <v>791</v>
      </c>
      <c r="AC44" s="815">
        <f>IF((Z44-(AA44*12))&gt;0,AA44*12,Z44)</f>
        <v>0</v>
      </c>
      <c r="AD44" s="815">
        <f>IF(($Z44-($AA44*12)-SUM($AC44:AC44))&gt;0,$AA44*12,$Z44-SUM($AC44:AC44))</f>
        <v>0</v>
      </c>
      <c r="AE44" s="815">
        <f>IF(($Z44-($AA44*12)-SUM($AC44:AD44))&gt;0,$AA44*12,$Z44-SUM($AC44:AD44))</f>
        <v>0</v>
      </c>
      <c r="AF44" s="815">
        <f>IF(($Z44-($AA44*12)-SUM($AC44:AE44))&gt;0,$AA44*12,$Z44-SUM($AC44:AE44))</f>
        <v>0</v>
      </c>
      <c r="AG44" s="815">
        <f>IF(($Z44-($AA44*12)-SUM($AC44:AF44))&gt;0,$AA44*12,$Z44-SUM($AC44:AF44))</f>
        <v>0</v>
      </c>
      <c r="AH44" s="815">
        <f>IF(($Z44-($AA44*12)-SUM($AC44:AG44))&gt;0,$AA44*12,$Z44-SUM($AC44:AG44))</f>
        <v>0</v>
      </c>
      <c r="AI44" s="815">
        <f>IF(($Z44-($AA44*12)-SUM($AC44:AH44))&gt;0,$AA44*12,$Z44-SUM($AC44:AH44))</f>
        <v>0</v>
      </c>
      <c r="AJ44" s="815" t="b">
        <f t="shared" si="3"/>
        <v>1</v>
      </c>
    </row>
    <row r="45" spans="1:36" x14ac:dyDescent="0.25">
      <c r="A45" s="817" t="s">
        <v>191</v>
      </c>
      <c r="B45" s="817" t="s">
        <v>1373</v>
      </c>
      <c r="C45" s="817" t="s">
        <v>1249</v>
      </c>
      <c r="D45" s="817" t="s">
        <v>1363</v>
      </c>
      <c r="E45" s="817" t="s">
        <v>1363</v>
      </c>
      <c r="F45" s="816" t="s">
        <v>1264</v>
      </c>
      <c r="G45" s="817" t="s">
        <v>304</v>
      </c>
      <c r="H45" s="817" t="s">
        <v>721</v>
      </c>
      <c r="I45" s="817" t="s">
        <v>346</v>
      </c>
      <c r="J45" s="818">
        <v>40921.71</v>
      </c>
      <c r="K45" s="818">
        <v>40921.71</v>
      </c>
      <c r="L45" s="818">
        <v>40921.71</v>
      </c>
      <c r="M45" s="818">
        <v>0</v>
      </c>
      <c r="N45" s="818">
        <v>0</v>
      </c>
      <c r="O45" s="818">
        <v>0</v>
      </c>
      <c r="P45" s="818">
        <v>0</v>
      </c>
      <c r="Q45" s="818">
        <v>3989.86</v>
      </c>
      <c r="R45" s="818">
        <v>3989.86</v>
      </c>
      <c r="S45" s="818">
        <v>0</v>
      </c>
      <c r="T45" s="816" t="s">
        <v>1374</v>
      </c>
      <c r="U45" s="818">
        <v>0</v>
      </c>
      <c r="V45" s="816" t="s">
        <v>1253</v>
      </c>
      <c r="W45" s="816" t="s">
        <v>1207</v>
      </c>
      <c r="Y45" s="859">
        <f t="shared" si="0"/>
        <v>40921.71</v>
      </c>
      <c r="Z45" s="858">
        <f t="shared" si="1"/>
        <v>0</v>
      </c>
      <c r="AA45" s="859">
        <f t="shared" si="2"/>
        <v>0</v>
      </c>
      <c r="AJ45" s="815" t="b">
        <f t="shared" si="3"/>
        <v>1</v>
      </c>
    </row>
    <row r="46" spans="1:36" x14ac:dyDescent="0.25">
      <c r="A46" s="817" t="s">
        <v>192</v>
      </c>
      <c r="B46" s="817" t="s">
        <v>302</v>
      </c>
      <c r="C46" s="817" t="s">
        <v>1249</v>
      </c>
      <c r="D46" s="817" t="s">
        <v>1363</v>
      </c>
      <c r="E46" s="817" t="s">
        <v>1363</v>
      </c>
      <c r="F46" s="816" t="s">
        <v>1264</v>
      </c>
      <c r="G46" s="817" t="s">
        <v>304</v>
      </c>
      <c r="H46" s="817" t="s">
        <v>721</v>
      </c>
      <c r="I46" s="817" t="s">
        <v>346</v>
      </c>
      <c r="J46" s="818">
        <v>40921.71</v>
      </c>
      <c r="K46" s="818">
        <v>40921.71</v>
      </c>
      <c r="L46" s="818">
        <v>40921.71</v>
      </c>
      <c r="M46" s="818">
        <v>0</v>
      </c>
      <c r="N46" s="818">
        <v>0</v>
      </c>
      <c r="O46" s="818">
        <v>0</v>
      </c>
      <c r="P46" s="818">
        <v>0</v>
      </c>
      <c r="Q46" s="818">
        <v>3989.86</v>
      </c>
      <c r="R46" s="818">
        <v>3989.86</v>
      </c>
      <c r="S46" s="818">
        <v>0</v>
      </c>
      <c r="T46" s="816" t="s">
        <v>1375</v>
      </c>
      <c r="U46" s="818">
        <v>0</v>
      </c>
      <c r="V46" s="816" t="s">
        <v>1253</v>
      </c>
      <c r="W46" s="816" t="s">
        <v>1207</v>
      </c>
      <c r="Y46" s="859">
        <f t="shared" si="0"/>
        <v>40921.71</v>
      </c>
      <c r="Z46" s="858">
        <f t="shared" si="1"/>
        <v>0</v>
      </c>
      <c r="AA46" s="859">
        <f t="shared" si="2"/>
        <v>0</v>
      </c>
      <c r="AJ46" s="815" t="b">
        <f t="shared" si="3"/>
        <v>1</v>
      </c>
    </row>
    <row r="47" spans="1:36" x14ac:dyDescent="0.25">
      <c r="A47" s="817" t="s">
        <v>193</v>
      </c>
      <c r="B47" s="817" t="s">
        <v>1376</v>
      </c>
      <c r="C47" s="817" t="s">
        <v>1261</v>
      </c>
      <c r="D47" s="817" t="s">
        <v>1377</v>
      </c>
      <c r="E47" s="817" t="s">
        <v>1377</v>
      </c>
      <c r="F47" s="816" t="s">
        <v>1284</v>
      </c>
      <c r="G47" s="817" t="s">
        <v>304</v>
      </c>
      <c r="H47" s="817" t="s">
        <v>721</v>
      </c>
      <c r="I47" s="817" t="s">
        <v>346</v>
      </c>
      <c r="J47" s="818">
        <v>7640</v>
      </c>
      <c r="K47" s="818">
        <v>7640</v>
      </c>
      <c r="L47" s="818">
        <v>7640</v>
      </c>
      <c r="M47" s="818">
        <v>0</v>
      </c>
      <c r="N47" s="818">
        <v>0</v>
      </c>
      <c r="O47" s="818">
        <v>0</v>
      </c>
      <c r="P47" s="818">
        <v>0</v>
      </c>
      <c r="Q47" s="818">
        <v>1387.71</v>
      </c>
      <c r="R47" s="818">
        <v>1387.71</v>
      </c>
      <c r="S47" s="818">
        <v>0</v>
      </c>
      <c r="T47" s="816" t="s">
        <v>1378</v>
      </c>
      <c r="U47" s="818">
        <v>0</v>
      </c>
      <c r="V47" s="816" t="s">
        <v>1253</v>
      </c>
      <c r="W47" s="816" t="s">
        <v>1379</v>
      </c>
      <c r="Y47" s="859">
        <f t="shared" si="0"/>
        <v>7640</v>
      </c>
      <c r="Z47" s="858">
        <f t="shared" si="1"/>
        <v>0</v>
      </c>
      <c r="AA47" s="859">
        <f t="shared" si="2"/>
        <v>0</v>
      </c>
      <c r="AB47" s="820" t="s">
        <v>802</v>
      </c>
      <c r="AJ47" s="815" t="b">
        <f t="shared" si="3"/>
        <v>1</v>
      </c>
    </row>
    <row r="48" spans="1:36" x14ac:dyDescent="0.25">
      <c r="A48" s="817" t="s">
        <v>1380</v>
      </c>
      <c r="B48" s="817" t="s">
        <v>1381</v>
      </c>
      <c r="C48" s="817" t="s">
        <v>1261</v>
      </c>
      <c r="D48" s="817" t="s">
        <v>1377</v>
      </c>
      <c r="E48" s="817" t="s">
        <v>1377</v>
      </c>
      <c r="F48" s="816" t="s">
        <v>1284</v>
      </c>
      <c r="G48" s="817" t="s">
        <v>304</v>
      </c>
      <c r="H48" s="817" t="s">
        <v>721</v>
      </c>
      <c r="I48" s="817" t="s">
        <v>346</v>
      </c>
      <c r="J48" s="818">
        <v>3100</v>
      </c>
      <c r="K48" s="818">
        <v>3100</v>
      </c>
      <c r="L48" s="818">
        <v>3100</v>
      </c>
      <c r="M48" s="818">
        <v>0</v>
      </c>
      <c r="N48" s="818">
        <v>0</v>
      </c>
      <c r="O48" s="818">
        <v>0</v>
      </c>
      <c r="P48" s="818">
        <v>0</v>
      </c>
      <c r="Q48" s="818">
        <v>563.09</v>
      </c>
      <c r="R48" s="818">
        <v>563.09</v>
      </c>
      <c r="S48" s="818">
        <v>0</v>
      </c>
      <c r="T48" s="816" t="s">
        <v>1382</v>
      </c>
      <c r="U48" s="818">
        <v>0</v>
      </c>
      <c r="V48" s="816" t="s">
        <v>1253</v>
      </c>
      <c r="W48" s="816" t="s">
        <v>1379</v>
      </c>
      <c r="Y48" s="859">
        <f t="shared" si="0"/>
        <v>3100</v>
      </c>
      <c r="Z48" s="858">
        <f t="shared" si="1"/>
        <v>0</v>
      </c>
      <c r="AA48" s="859">
        <f t="shared" si="2"/>
        <v>0</v>
      </c>
      <c r="AB48" s="820" t="s">
        <v>802</v>
      </c>
      <c r="AJ48" s="815" t="b">
        <f t="shared" si="3"/>
        <v>1</v>
      </c>
    </row>
    <row r="49" spans="1:36" x14ac:dyDescent="0.25">
      <c r="A49" s="817" t="s">
        <v>194</v>
      </c>
      <c r="B49" s="817" t="s">
        <v>271</v>
      </c>
      <c r="C49" s="817" t="s">
        <v>1261</v>
      </c>
      <c r="D49" s="817" t="s">
        <v>1377</v>
      </c>
      <c r="E49" s="817" t="s">
        <v>1377</v>
      </c>
      <c r="F49" s="816" t="s">
        <v>1284</v>
      </c>
      <c r="G49" s="817" t="s">
        <v>304</v>
      </c>
      <c r="H49" s="817" t="s">
        <v>721</v>
      </c>
      <c r="I49" s="817" t="s">
        <v>346</v>
      </c>
      <c r="J49" s="818">
        <v>3100</v>
      </c>
      <c r="K49" s="818">
        <v>3100</v>
      </c>
      <c r="L49" s="818">
        <v>3100</v>
      </c>
      <c r="M49" s="818">
        <v>0</v>
      </c>
      <c r="N49" s="818">
        <v>0</v>
      </c>
      <c r="O49" s="818">
        <v>0</v>
      </c>
      <c r="P49" s="818">
        <v>0</v>
      </c>
      <c r="Q49" s="818">
        <v>563.09</v>
      </c>
      <c r="R49" s="818">
        <v>563.09</v>
      </c>
      <c r="S49" s="818">
        <v>0</v>
      </c>
      <c r="T49" s="816" t="s">
        <v>1382</v>
      </c>
      <c r="U49" s="818">
        <v>0</v>
      </c>
      <c r="V49" s="816" t="s">
        <v>1253</v>
      </c>
      <c r="W49" s="816" t="s">
        <v>1379</v>
      </c>
      <c r="Y49" s="859">
        <f t="shared" si="0"/>
        <v>3100</v>
      </c>
      <c r="Z49" s="858">
        <f t="shared" si="1"/>
        <v>0</v>
      </c>
      <c r="AA49" s="859">
        <f t="shared" si="2"/>
        <v>0</v>
      </c>
      <c r="AB49" s="820" t="s">
        <v>802</v>
      </c>
      <c r="AJ49" s="815" t="b">
        <f t="shared" si="3"/>
        <v>1</v>
      </c>
    </row>
    <row r="50" spans="1:36" x14ac:dyDescent="0.25">
      <c r="A50" s="817" t="s">
        <v>304</v>
      </c>
      <c r="B50" s="817" t="s">
        <v>1383</v>
      </c>
      <c r="C50" s="817" t="s">
        <v>1261</v>
      </c>
      <c r="D50" s="817" t="s">
        <v>1377</v>
      </c>
      <c r="E50" s="817" t="s">
        <v>1377</v>
      </c>
      <c r="F50" s="816" t="s">
        <v>1284</v>
      </c>
      <c r="G50" s="817" t="s">
        <v>304</v>
      </c>
      <c r="H50" s="817" t="s">
        <v>721</v>
      </c>
      <c r="I50" s="817" t="s">
        <v>346</v>
      </c>
      <c r="J50" s="818">
        <v>3100</v>
      </c>
      <c r="K50" s="818">
        <v>3100</v>
      </c>
      <c r="L50" s="818">
        <v>3100</v>
      </c>
      <c r="M50" s="818">
        <v>0</v>
      </c>
      <c r="N50" s="818">
        <v>0</v>
      </c>
      <c r="O50" s="818">
        <v>0</v>
      </c>
      <c r="P50" s="818">
        <v>0</v>
      </c>
      <c r="Q50" s="818">
        <v>563.09</v>
      </c>
      <c r="R50" s="818">
        <v>563.09</v>
      </c>
      <c r="S50" s="818">
        <v>0</v>
      </c>
      <c r="T50" s="816" t="s">
        <v>1382</v>
      </c>
      <c r="U50" s="818">
        <v>0</v>
      </c>
      <c r="V50" s="816" t="s">
        <v>1253</v>
      </c>
      <c r="W50" s="816" t="s">
        <v>1379</v>
      </c>
      <c r="Y50" s="859">
        <f t="shared" si="0"/>
        <v>3100</v>
      </c>
      <c r="Z50" s="858">
        <f t="shared" si="1"/>
        <v>0</v>
      </c>
      <c r="AA50" s="859">
        <f t="shared" si="2"/>
        <v>0</v>
      </c>
      <c r="AB50" s="820" t="s">
        <v>802</v>
      </c>
      <c r="AJ50" s="815" t="b">
        <f t="shared" si="3"/>
        <v>1</v>
      </c>
    </row>
    <row r="51" spans="1:36" x14ac:dyDescent="0.25">
      <c r="A51" s="817" t="s">
        <v>311</v>
      </c>
      <c r="B51" s="817" t="s">
        <v>1384</v>
      </c>
      <c r="C51" s="817" t="s">
        <v>1261</v>
      </c>
      <c r="D51" s="817" t="s">
        <v>1377</v>
      </c>
      <c r="E51" s="817" t="s">
        <v>1377</v>
      </c>
      <c r="F51" s="816" t="s">
        <v>1284</v>
      </c>
      <c r="G51" s="817" t="s">
        <v>304</v>
      </c>
      <c r="H51" s="817" t="s">
        <v>721</v>
      </c>
      <c r="I51" s="817" t="s">
        <v>346</v>
      </c>
      <c r="J51" s="818">
        <v>3100</v>
      </c>
      <c r="K51" s="818">
        <v>3100</v>
      </c>
      <c r="L51" s="818">
        <v>3100</v>
      </c>
      <c r="M51" s="818">
        <v>0</v>
      </c>
      <c r="N51" s="818">
        <v>0</v>
      </c>
      <c r="O51" s="818">
        <v>0</v>
      </c>
      <c r="P51" s="818">
        <v>0</v>
      </c>
      <c r="Q51" s="818">
        <v>563.09</v>
      </c>
      <c r="R51" s="818">
        <v>563.09</v>
      </c>
      <c r="S51" s="818">
        <v>0</v>
      </c>
      <c r="T51" s="816" t="s">
        <v>1382</v>
      </c>
      <c r="U51" s="818">
        <v>0</v>
      </c>
      <c r="V51" s="816" t="s">
        <v>1253</v>
      </c>
      <c r="W51" s="816" t="s">
        <v>1379</v>
      </c>
      <c r="Y51" s="859">
        <f t="shared" si="0"/>
        <v>3100</v>
      </c>
      <c r="Z51" s="858">
        <f t="shared" si="1"/>
        <v>0</v>
      </c>
      <c r="AA51" s="859">
        <f t="shared" si="2"/>
        <v>0</v>
      </c>
      <c r="AB51" s="820" t="s">
        <v>802</v>
      </c>
      <c r="AJ51" s="815" t="b">
        <f t="shared" si="3"/>
        <v>1</v>
      </c>
    </row>
    <row r="52" spans="1:36" x14ac:dyDescent="0.25">
      <c r="A52" s="817" t="s">
        <v>1385</v>
      </c>
      <c r="B52" s="817" t="s">
        <v>323</v>
      </c>
      <c r="C52" s="817" t="s">
        <v>1261</v>
      </c>
      <c r="D52" s="817" t="s">
        <v>1377</v>
      </c>
      <c r="E52" s="817" t="s">
        <v>1377</v>
      </c>
      <c r="F52" s="816" t="s">
        <v>1284</v>
      </c>
      <c r="G52" s="817" t="s">
        <v>304</v>
      </c>
      <c r="H52" s="817" t="s">
        <v>721</v>
      </c>
      <c r="I52" s="817" t="s">
        <v>346</v>
      </c>
      <c r="J52" s="818">
        <v>3100</v>
      </c>
      <c r="K52" s="818">
        <v>3100</v>
      </c>
      <c r="L52" s="818">
        <v>3100</v>
      </c>
      <c r="M52" s="818">
        <v>0</v>
      </c>
      <c r="N52" s="818">
        <v>0</v>
      </c>
      <c r="O52" s="818">
        <v>0</v>
      </c>
      <c r="P52" s="818">
        <v>0</v>
      </c>
      <c r="Q52" s="818">
        <v>563.09</v>
      </c>
      <c r="R52" s="818">
        <v>563.09</v>
      </c>
      <c r="S52" s="818">
        <v>0</v>
      </c>
      <c r="T52" s="816" t="s">
        <v>1382</v>
      </c>
      <c r="U52" s="818">
        <v>0</v>
      </c>
      <c r="V52" s="816" t="s">
        <v>1253</v>
      </c>
      <c r="W52" s="816" t="s">
        <v>1379</v>
      </c>
      <c r="Y52" s="859">
        <f t="shared" si="0"/>
        <v>3100</v>
      </c>
      <c r="Z52" s="858">
        <f t="shared" si="1"/>
        <v>0</v>
      </c>
      <c r="AA52" s="859">
        <f t="shared" si="2"/>
        <v>0</v>
      </c>
      <c r="AB52" s="820" t="s">
        <v>802</v>
      </c>
      <c r="AJ52" s="815" t="b">
        <f t="shared" si="3"/>
        <v>1</v>
      </c>
    </row>
    <row r="53" spans="1:36" x14ac:dyDescent="0.25">
      <c r="A53" s="817" t="s">
        <v>1386</v>
      </c>
      <c r="B53" s="817" t="s">
        <v>1387</v>
      </c>
      <c r="C53" s="817" t="s">
        <v>1261</v>
      </c>
      <c r="D53" s="817" t="s">
        <v>1377</v>
      </c>
      <c r="E53" s="817" t="s">
        <v>1377</v>
      </c>
      <c r="F53" s="816" t="s">
        <v>1284</v>
      </c>
      <c r="G53" s="817" t="s">
        <v>304</v>
      </c>
      <c r="H53" s="817" t="s">
        <v>721</v>
      </c>
      <c r="I53" s="817" t="s">
        <v>346</v>
      </c>
      <c r="J53" s="818">
        <v>3100</v>
      </c>
      <c r="K53" s="818">
        <v>3100</v>
      </c>
      <c r="L53" s="818">
        <v>3100</v>
      </c>
      <c r="M53" s="818">
        <v>0</v>
      </c>
      <c r="N53" s="818">
        <v>0</v>
      </c>
      <c r="O53" s="818">
        <v>0</v>
      </c>
      <c r="P53" s="818">
        <v>0</v>
      </c>
      <c r="Q53" s="818">
        <v>563.09</v>
      </c>
      <c r="R53" s="818">
        <v>563.09</v>
      </c>
      <c r="S53" s="818">
        <v>0</v>
      </c>
      <c r="T53" s="816" t="s">
        <v>1382</v>
      </c>
      <c r="U53" s="818">
        <v>0</v>
      </c>
      <c r="V53" s="816" t="s">
        <v>1253</v>
      </c>
      <c r="W53" s="816" t="s">
        <v>1379</v>
      </c>
      <c r="Y53" s="859">
        <f t="shared" si="0"/>
        <v>3100</v>
      </c>
      <c r="Z53" s="858">
        <f t="shared" si="1"/>
        <v>0</v>
      </c>
      <c r="AA53" s="859">
        <f t="shared" si="2"/>
        <v>0</v>
      </c>
      <c r="AB53" s="820" t="s">
        <v>802</v>
      </c>
      <c r="AJ53" s="815" t="b">
        <f t="shared" si="3"/>
        <v>1</v>
      </c>
    </row>
    <row r="54" spans="1:36" x14ac:dyDescent="0.25">
      <c r="A54" s="817" t="s">
        <v>315</v>
      </c>
      <c r="B54" s="817" t="s">
        <v>1388</v>
      </c>
      <c r="C54" s="817" t="s">
        <v>1261</v>
      </c>
      <c r="D54" s="817" t="s">
        <v>1377</v>
      </c>
      <c r="E54" s="817" t="s">
        <v>1377</v>
      </c>
      <c r="F54" s="816" t="s">
        <v>1284</v>
      </c>
      <c r="G54" s="817" t="s">
        <v>304</v>
      </c>
      <c r="H54" s="817" t="s">
        <v>721</v>
      </c>
      <c r="I54" s="817" t="s">
        <v>346</v>
      </c>
      <c r="J54" s="818">
        <v>3100</v>
      </c>
      <c r="K54" s="818">
        <v>3100</v>
      </c>
      <c r="L54" s="818">
        <v>3100</v>
      </c>
      <c r="M54" s="818">
        <v>0</v>
      </c>
      <c r="N54" s="818">
        <v>0</v>
      </c>
      <c r="O54" s="818">
        <v>0</v>
      </c>
      <c r="P54" s="818">
        <v>0</v>
      </c>
      <c r="Q54" s="818">
        <v>563.09</v>
      </c>
      <c r="R54" s="818">
        <v>563.09</v>
      </c>
      <c r="S54" s="818">
        <v>0</v>
      </c>
      <c r="T54" s="816" t="s">
        <v>1382</v>
      </c>
      <c r="U54" s="818">
        <v>0</v>
      </c>
      <c r="V54" s="816" t="s">
        <v>1253</v>
      </c>
      <c r="W54" s="816" t="s">
        <v>1379</v>
      </c>
      <c r="Y54" s="859">
        <f t="shared" si="0"/>
        <v>3100</v>
      </c>
      <c r="Z54" s="858">
        <f t="shared" si="1"/>
        <v>0</v>
      </c>
      <c r="AA54" s="859">
        <f t="shared" si="2"/>
        <v>0</v>
      </c>
      <c r="AB54" s="820" t="s">
        <v>802</v>
      </c>
      <c r="AJ54" s="815" t="b">
        <f t="shared" si="3"/>
        <v>1</v>
      </c>
    </row>
    <row r="55" spans="1:36" x14ac:dyDescent="0.25">
      <c r="A55" s="817" t="s">
        <v>1389</v>
      </c>
      <c r="B55" s="817" t="s">
        <v>1390</v>
      </c>
      <c r="C55" s="817" t="s">
        <v>1261</v>
      </c>
      <c r="D55" s="817" t="s">
        <v>1377</v>
      </c>
      <c r="E55" s="817" t="s">
        <v>1377</v>
      </c>
      <c r="F55" s="816" t="s">
        <v>1284</v>
      </c>
      <c r="G55" s="817" t="s">
        <v>304</v>
      </c>
      <c r="H55" s="817" t="s">
        <v>721</v>
      </c>
      <c r="I55" s="817" t="s">
        <v>346</v>
      </c>
      <c r="J55" s="818">
        <v>3100</v>
      </c>
      <c r="K55" s="818">
        <v>3100</v>
      </c>
      <c r="L55" s="818">
        <v>3100</v>
      </c>
      <c r="M55" s="818">
        <v>0</v>
      </c>
      <c r="N55" s="818">
        <v>0</v>
      </c>
      <c r="O55" s="818">
        <v>0</v>
      </c>
      <c r="P55" s="818">
        <v>0</v>
      </c>
      <c r="Q55" s="818">
        <v>563.09</v>
      </c>
      <c r="R55" s="818">
        <v>563.09</v>
      </c>
      <c r="S55" s="818">
        <v>0</v>
      </c>
      <c r="T55" s="816" t="s">
        <v>1382</v>
      </c>
      <c r="U55" s="818">
        <v>0</v>
      </c>
      <c r="V55" s="816" t="s">
        <v>1253</v>
      </c>
      <c r="W55" s="816" t="s">
        <v>1379</v>
      </c>
      <c r="Y55" s="859">
        <f t="shared" si="0"/>
        <v>3100</v>
      </c>
      <c r="Z55" s="858">
        <f t="shared" si="1"/>
        <v>0</v>
      </c>
      <c r="AA55" s="859">
        <f t="shared" si="2"/>
        <v>0</v>
      </c>
      <c r="AB55" s="820" t="s">
        <v>802</v>
      </c>
      <c r="AJ55" s="815" t="b">
        <f t="shared" si="3"/>
        <v>1</v>
      </c>
    </row>
    <row r="56" spans="1:36" x14ac:dyDescent="0.25">
      <c r="A56" s="817" t="s">
        <v>195</v>
      </c>
      <c r="B56" s="817" t="s">
        <v>1391</v>
      </c>
      <c r="C56" s="817" t="s">
        <v>1261</v>
      </c>
      <c r="D56" s="817" t="s">
        <v>1377</v>
      </c>
      <c r="E56" s="817" t="s">
        <v>1377</v>
      </c>
      <c r="F56" s="816" t="s">
        <v>1284</v>
      </c>
      <c r="G56" s="817" t="s">
        <v>247</v>
      </c>
      <c r="H56" s="817" t="s">
        <v>721</v>
      </c>
      <c r="I56" s="817" t="s">
        <v>346</v>
      </c>
      <c r="J56" s="818">
        <v>3100</v>
      </c>
      <c r="K56" s="818">
        <v>3184.06</v>
      </c>
      <c r="L56" s="818">
        <v>3184.06</v>
      </c>
      <c r="M56" s="818">
        <v>0</v>
      </c>
      <c r="N56" s="818">
        <v>0</v>
      </c>
      <c r="O56" s="818">
        <v>0</v>
      </c>
      <c r="P56" s="818">
        <v>0</v>
      </c>
      <c r="Q56" s="818">
        <v>0</v>
      </c>
      <c r="R56" s="818">
        <v>0</v>
      </c>
      <c r="S56" s="818">
        <v>0</v>
      </c>
      <c r="T56" s="816" t="s">
        <v>1382</v>
      </c>
      <c r="U56" s="818">
        <v>-84.06</v>
      </c>
      <c r="V56" s="816" t="s">
        <v>1253</v>
      </c>
      <c r="W56" s="816" t="s">
        <v>1379</v>
      </c>
      <c r="Y56" s="859">
        <f t="shared" si="0"/>
        <v>3100</v>
      </c>
      <c r="Z56" s="858">
        <f t="shared" si="1"/>
        <v>-84.059999999999945</v>
      </c>
      <c r="AA56" s="859">
        <f t="shared" si="2"/>
        <v>0</v>
      </c>
      <c r="AB56" s="820" t="s">
        <v>802</v>
      </c>
      <c r="AJ56" s="815" t="b">
        <f t="shared" si="3"/>
        <v>0</v>
      </c>
    </row>
    <row r="57" spans="1:36" x14ac:dyDescent="0.25">
      <c r="A57" s="817" t="s">
        <v>1392</v>
      </c>
      <c r="B57" s="817" t="s">
        <v>1393</v>
      </c>
      <c r="C57" s="817" t="s">
        <v>1261</v>
      </c>
      <c r="D57" s="817" t="s">
        <v>1377</v>
      </c>
      <c r="E57" s="817" t="s">
        <v>1377</v>
      </c>
      <c r="F57" s="816" t="s">
        <v>1284</v>
      </c>
      <c r="G57" s="817" t="s">
        <v>304</v>
      </c>
      <c r="H57" s="817" t="s">
        <v>721</v>
      </c>
      <c r="I57" s="817" t="s">
        <v>346</v>
      </c>
      <c r="J57" s="818">
        <v>3100</v>
      </c>
      <c r="K57" s="818">
        <v>3100</v>
      </c>
      <c r="L57" s="818">
        <v>3100</v>
      </c>
      <c r="M57" s="818">
        <v>0</v>
      </c>
      <c r="N57" s="818">
        <v>0</v>
      </c>
      <c r="O57" s="818">
        <v>0</v>
      </c>
      <c r="P57" s="818">
        <v>0</v>
      </c>
      <c r="Q57" s="818">
        <v>563.09</v>
      </c>
      <c r="R57" s="818">
        <v>563.09</v>
      </c>
      <c r="S57" s="818">
        <v>0</v>
      </c>
      <c r="T57" s="816" t="s">
        <v>1394</v>
      </c>
      <c r="U57" s="818">
        <v>0</v>
      </c>
      <c r="V57" s="816" t="s">
        <v>1253</v>
      </c>
      <c r="W57" s="816" t="s">
        <v>1379</v>
      </c>
      <c r="Y57" s="859">
        <f t="shared" si="0"/>
        <v>3100</v>
      </c>
      <c r="Z57" s="858">
        <f t="shared" si="1"/>
        <v>0</v>
      </c>
      <c r="AA57" s="859">
        <f t="shared" si="2"/>
        <v>0</v>
      </c>
      <c r="AB57" s="820" t="s">
        <v>802</v>
      </c>
      <c r="AJ57" s="815" t="b">
        <f t="shared" si="3"/>
        <v>1</v>
      </c>
    </row>
    <row r="58" spans="1:36" x14ac:dyDescent="0.25">
      <c r="A58" s="817" t="s">
        <v>330</v>
      </c>
      <c r="B58" s="817" t="s">
        <v>720</v>
      </c>
      <c r="C58" s="817" t="s">
        <v>1261</v>
      </c>
      <c r="D58" s="817" t="s">
        <v>1377</v>
      </c>
      <c r="E58" s="817" t="s">
        <v>1377</v>
      </c>
      <c r="F58" s="816" t="s">
        <v>1284</v>
      </c>
      <c r="G58" s="817" t="s">
        <v>304</v>
      </c>
      <c r="H58" s="817" t="s">
        <v>721</v>
      </c>
      <c r="I58" s="817" t="s">
        <v>346</v>
      </c>
      <c r="J58" s="818">
        <v>3100</v>
      </c>
      <c r="K58" s="818">
        <v>3100</v>
      </c>
      <c r="L58" s="818">
        <v>3100</v>
      </c>
      <c r="M58" s="818">
        <v>0</v>
      </c>
      <c r="N58" s="818">
        <v>0</v>
      </c>
      <c r="O58" s="818">
        <v>0</v>
      </c>
      <c r="P58" s="818">
        <v>0</v>
      </c>
      <c r="Q58" s="818">
        <v>563.09</v>
      </c>
      <c r="R58" s="818">
        <v>563.09</v>
      </c>
      <c r="S58" s="818">
        <v>0</v>
      </c>
      <c r="T58" s="816" t="s">
        <v>1395</v>
      </c>
      <c r="U58" s="818">
        <v>0</v>
      </c>
      <c r="V58" s="816" t="s">
        <v>1253</v>
      </c>
      <c r="W58" s="816" t="s">
        <v>1379</v>
      </c>
      <c r="Y58" s="859">
        <f t="shared" si="0"/>
        <v>3100</v>
      </c>
      <c r="Z58" s="858">
        <f t="shared" si="1"/>
        <v>0</v>
      </c>
      <c r="AA58" s="859">
        <f t="shared" si="2"/>
        <v>0</v>
      </c>
      <c r="AB58" s="820" t="s">
        <v>802</v>
      </c>
      <c r="AJ58" s="815" t="b">
        <f t="shared" si="3"/>
        <v>1</v>
      </c>
    </row>
    <row r="59" spans="1:36" x14ac:dyDescent="0.25">
      <c r="A59" s="817" t="s">
        <v>1276</v>
      </c>
      <c r="B59" s="817" t="s">
        <v>272</v>
      </c>
      <c r="C59" s="817" t="s">
        <v>1261</v>
      </c>
      <c r="D59" s="817" t="s">
        <v>1377</v>
      </c>
      <c r="E59" s="817" t="s">
        <v>1377</v>
      </c>
      <c r="F59" s="816" t="s">
        <v>1284</v>
      </c>
      <c r="G59" s="817" t="s">
        <v>304</v>
      </c>
      <c r="H59" s="817" t="s">
        <v>721</v>
      </c>
      <c r="I59" s="817" t="s">
        <v>346</v>
      </c>
      <c r="J59" s="818">
        <v>3750</v>
      </c>
      <c r="K59" s="818">
        <v>3750</v>
      </c>
      <c r="L59" s="818">
        <v>3750</v>
      </c>
      <c r="M59" s="818">
        <v>0</v>
      </c>
      <c r="N59" s="818">
        <v>0</v>
      </c>
      <c r="O59" s="818">
        <v>0</v>
      </c>
      <c r="P59" s="818">
        <v>0</v>
      </c>
      <c r="Q59" s="818">
        <v>681.15</v>
      </c>
      <c r="R59" s="818">
        <v>681.15</v>
      </c>
      <c r="S59" s="818">
        <v>0</v>
      </c>
      <c r="T59" s="816" t="s">
        <v>1396</v>
      </c>
      <c r="U59" s="818">
        <v>0</v>
      </c>
      <c r="V59" s="816" t="s">
        <v>1253</v>
      </c>
      <c r="W59" s="816" t="s">
        <v>1379</v>
      </c>
      <c r="Y59" s="859">
        <f t="shared" si="0"/>
        <v>3750</v>
      </c>
      <c r="Z59" s="858">
        <f t="shared" si="1"/>
        <v>0</v>
      </c>
      <c r="AA59" s="859">
        <f t="shared" si="2"/>
        <v>0</v>
      </c>
      <c r="AB59" s="820" t="s">
        <v>802</v>
      </c>
      <c r="AJ59" s="815" t="b">
        <f t="shared" si="3"/>
        <v>1</v>
      </c>
    </row>
    <row r="60" spans="1:36" x14ac:dyDescent="0.25">
      <c r="A60" s="817" t="s">
        <v>196</v>
      </c>
      <c r="B60" s="817" t="s">
        <v>1397</v>
      </c>
      <c r="C60" s="817" t="s">
        <v>1261</v>
      </c>
      <c r="D60" s="817" t="s">
        <v>1377</v>
      </c>
      <c r="E60" s="817" t="s">
        <v>1377</v>
      </c>
      <c r="F60" s="816" t="s">
        <v>1284</v>
      </c>
      <c r="G60" s="817" t="s">
        <v>304</v>
      </c>
      <c r="H60" s="817" t="s">
        <v>721</v>
      </c>
      <c r="I60" s="817" t="s">
        <v>346</v>
      </c>
      <c r="J60" s="818">
        <v>3750</v>
      </c>
      <c r="K60" s="818">
        <v>3750</v>
      </c>
      <c r="L60" s="818">
        <v>3750</v>
      </c>
      <c r="M60" s="818">
        <v>0</v>
      </c>
      <c r="N60" s="818">
        <v>0</v>
      </c>
      <c r="O60" s="818">
        <v>0</v>
      </c>
      <c r="P60" s="818">
        <v>0</v>
      </c>
      <c r="Q60" s="818">
        <v>681.15</v>
      </c>
      <c r="R60" s="818">
        <v>681.15</v>
      </c>
      <c r="S60" s="818">
        <v>0</v>
      </c>
      <c r="T60" s="816" t="s">
        <v>1396</v>
      </c>
      <c r="U60" s="818">
        <v>0</v>
      </c>
      <c r="V60" s="816" t="s">
        <v>1253</v>
      </c>
      <c r="W60" s="816" t="s">
        <v>1379</v>
      </c>
      <c r="Y60" s="859">
        <f t="shared" si="0"/>
        <v>3750</v>
      </c>
      <c r="Z60" s="858">
        <f t="shared" si="1"/>
        <v>0</v>
      </c>
      <c r="AA60" s="859">
        <f t="shared" si="2"/>
        <v>0</v>
      </c>
      <c r="AB60" s="820" t="s">
        <v>802</v>
      </c>
      <c r="AJ60" s="815" t="b">
        <f t="shared" si="3"/>
        <v>1</v>
      </c>
    </row>
    <row r="61" spans="1:36" x14ac:dyDescent="0.25">
      <c r="A61" s="817" t="s">
        <v>1398</v>
      </c>
      <c r="B61" s="817" t="s">
        <v>1399</v>
      </c>
      <c r="C61" s="817" t="s">
        <v>1249</v>
      </c>
      <c r="D61" s="817" t="s">
        <v>1377</v>
      </c>
      <c r="E61" s="817" t="s">
        <v>1377</v>
      </c>
      <c r="F61" s="816" t="s">
        <v>1284</v>
      </c>
      <c r="G61" s="817" t="s">
        <v>304</v>
      </c>
      <c r="H61" s="817" t="s">
        <v>721</v>
      </c>
      <c r="I61" s="817" t="s">
        <v>346</v>
      </c>
      <c r="J61" s="818">
        <v>3063.71</v>
      </c>
      <c r="K61" s="818">
        <v>3063.71</v>
      </c>
      <c r="L61" s="818">
        <v>3063.71</v>
      </c>
      <c r="M61" s="818">
        <v>0</v>
      </c>
      <c r="N61" s="818">
        <v>0</v>
      </c>
      <c r="O61" s="818">
        <v>0</v>
      </c>
      <c r="P61" s="818">
        <v>0</v>
      </c>
      <c r="Q61" s="818">
        <v>556.46</v>
      </c>
      <c r="R61" s="818">
        <v>556.46</v>
      </c>
      <c r="S61" s="818">
        <v>0</v>
      </c>
      <c r="T61" s="816" t="s">
        <v>1400</v>
      </c>
      <c r="U61" s="818">
        <v>0</v>
      </c>
      <c r="V61" s="816" t="s">
        <v>1253</v>
      </c>
      <c r="W61" s="816" t="s">
        <v>1207</v>
      </c>
      <c r="Y61" s="859">
        <f t="shared" si="0"/>
        <v>3063.71</v>
      </c>
      <c r="Z61" s="858">
        <f t="shared" si="1"/>
        <v>0</v>
      </c>
      <c r="AA61" s="859">
        <f t="shared" si="2"/>
        <v>0</v>
      </c>
      <c r="AB61" s="820" t="s">
        <v>802</v>
      </c>
      <c r="AJ61" s="815" t="b">
        <f t="shared" si="3"/>
        <v>1</v>
      </c>
    </row>
    <row r="62" spans="1:36" x14ac:dyDescent="0.25">
      <c r="A62" s="817" t="s">
        <v>197</v>
      </c>
      <c r="B62" s="817" t="s">
        <v>1401</v>
      </c>
      <c r="C62" s="817" t="s">
        <v>1249</v>
      </c>
      <c r="D62" s="817" t="s">
        <v>1402</v>
      </c>
      <c r="E62" s="817" t="s">
        <v>1402</v>
      </c>
      <c r="F62" s="816" t="s">
        <v>1284</v>
      </c>
      <c r="G62" s="817" t="s">
        <v>298</v>
      </c>
      <c r="H62" s="817" t="s">
        <v>721</v>
      </c>
      <c r="I62" s="817" t="s">
        <v>346</v>
      </c>
      <c r="J62" s="818">
        <v>3573.59</v>
      </c>
      <c r="K62" s="818">
        <v>3573.59</v>
      </c>
      <c r="L62" s="818">
        <v>3573.59</v>
      </c>
      <c r="M62" s="818">
        <v>0</v>
      </c>
      <c r="N62" s="818">
        <v>0</v>
      </c>
      <c r="O62" s="818">
        <v>0</v>
      </c>
      <c r="P62" s="818">
        <v>0</v>
      </c>
      <c r="Q62" s="818">
        <v>0</v>
      </c>
      <c r="R62" s="818">
        <v>0</v>
      </c>
      <c r="S62" s="818">
        <v>0</v>
      </c>
      <c r="T62" s="816" t="s">
        <v>1403</v>
      </c>
      <c r="U62" s="818">
        <v>0</v>
      </c>
      <c r="V62" s="816" t="s">
        <v>1253</v>
      </c>
      <c r="W62" s="816" t="s">
        <v>1207</v>
      </c>
      <c r="Y62" s="859">
        <f t="shared" si="0"/>
        <v>3573.59</v>
      </c>
      <c r="Z62" s="858">
        <f t="shared" si="1"/>
        <v>0</v>
      </c>
      <c r="AA62" s="859">
        <f t="shared" si="2"/>
        <v>0</v>
      </c>
      <c r="AB62" s="820" t="s">
        <v>802</v>
      </c>
      <c r="AJ62" s="815" t="b">
        <f t="shared" si="3"/>
        <v>1</v>
      </c>
    </row>
    <row r="63" spans="1:36" x14ac:dyDescent="0.25">
      <c r="A63" s="817" t="s">
        <v>1283</v>
      </c>
      <c r="B63" s="817" t="s">
        <v>1404</v>
      </c>
      <c r="C63" s="817" t="s">
        <v>1249</v>
      </c>
      <c r="D63" s="817" t="s">
        <v>1405</v>
      </c>
      <c r="E63" s="817" t="s">
        <v>1405</v>
      </c>
      <c r="F63" s="816" t="s">
        <v>1264</v>
      </c>
      <c r="G63" s="817" t="s">
        <v>304</v>
      </c>
      <c r="H63" s="817" t="s">
        <v>1406</v>
      </c>
      <c r="I63" s="817" t="s">
        <v>346</v>
      </c>
      <c r="J63" s="818">
        <v>41018.6</v>
      </c>
      <c r="K63" s="818">
        <v>35190.65</v>
      </c>
      <c r="L63" s="818">
        <v>35190.65</v>
      </c>
      <c r="M63" s="818">
        <v>0</v>
      </c>
      <c r="N63" s="818">
        <v>832.57</v>
      </c>
      <c r="O63" s="818">
        <v>832.57</v>
      </c>
      <c r="P63" s="818">
        <v>0</v>
      </c>
      <c r="Q63" s="818">
        <v>9990.75</v>
      </c>
      <c r="R63" s="818">
        <v>9990.75</v>
      </c>
      <c r="S63" s="818">
        <v>0</v>
      </c>
      <c r="T63" s="884" t="s">
        <v>1407</v>
      </c>
      <c r="U63" s="818">
        <v>5827.95</v>
      </c>
      <c r="V63" s="816" t="s">
        <v>1253</v>
      </c>
      <c r="W63" s="816" t="s">
        <v>1207</v>
      </c>
      <c r="Y63" s="859">
        <f t="shared" si="0"/>
        <v>41018.6</v>
      </c>
      <c r="Z63" s="858">
        <f t="shared" si="1"/>
        <v>5827.9499999999971</v>
      </c>
      <c r="AA63" s="859">
        <f t="shared" si="2"/>
        <v>832.57</v>
      </c>
      <c r="AB63" s="820" t="s">
        <v>791</v>
      </c>
      <c r="AC63" s="815">
        <f>IF((Z63-(AA63*12))&gt;0,AA63*12,Z63)</f>
        <v>5827.9499999999971</v>
      </c>
      <c r="AD63" s="815">
        <f>IF(($Z63-($AA63*12)-SUM($AC63:AC63))&gt;0,$AA63*12,$Z63-SUM($AC63:AC63))</f>
        <v>0</v>
      </c>
      <c r="AE63" s="815">
        <f>IF(($Z63-($AA63*12)-SUM($AC63:AD63))&gt;0,$AA63*12,$Z63-SUM($AC63:AD63))</f>
        <v>0</v>
      </c>
      <c r="AF63" s="815">
        <f>IF(($Z63-($AA63*12)-SUM($AC63:AE63))&gt;0,$AA63*12,$Z63-SUM($AC63:AE63))</f>
        <v>0</v>
      </c>
      <c r="AG63" s="815">
        <f>IF(($Z63-($AA63*12)-SUM($AC63:AF63))&gt;0,$AA63*12,$Z63-SUM($AC63:AF63))</f>
        <v>0</v>
      </c>
      <c r="AH63" s="815">
        <f>IF(($Z63-($AA63*12)-SUM($AC63:AG63))&gt;0,$AA63*12,$Z63-SUM($AC63:AG63))</f>
        <v>0</v>
      </c>
      <c r="AI63" s="815">
        <f>IF(($Z63-($AA63*12)-SUM($AC63:AH63))&gt;0,$AA63*12,$Z63-SUM($AC63:AH63))</f>
        <v>0</v>
      </c>
      <c r="AJ63" s="815" t="b">
        <f t="shared" si="3"/>
        <v>1</v>
      </c>
    </row>
    <row r="64" spans="1:36" x14ac:dyDescent="0.25">
      <c r="A64" s="817" t="s">
        <v>198</v>
      </c>
      <c r="B64" s="817" t="s">
        <v>1408</v>
      </c>
      <c r="C64" s="817" t="s">
        <v>1249</v>
      </c>
      <c r="D64" s="817" t="s">
        <v>1405</v>
      </c>
      <c r="E64" s="817" t="s">
        <v>1405</v>
      </c>
      <c r="F64" s="816" t="s">
        <v>1264</v>
      </c>
      <c r="G64" s="817" t="s">
        <v>304</v>
      </c>
      <c r="H64" s="817" t="s">
        <v>1406</v>
      </c>
      <c r="I64" s="817" t="s">
        <v>346</v>
      </c>
      <c r="J64" s="818">
        <v>41018.6</v>
      </c>
      <c r="K64" s="818">
        <v>35098.81</v>
      </c>
      <c r="L64" s="818">
        <v>35098.81</v>
      </c>
      <c r="M64" s="818">
        <v>0</v>
      </c>
      <c r="N64" s="818">
        <v>845.69</v>
      </c>
      <c r="O64" s="818">
        <v>845.69</v>
      </c>
      <c r="P64" s="818">
        <v>0</v>
      </c>
      <c r="Q64" s="818">
        <v>10148.25</v>
      </c>
      <c r="R64" s="818">
        <v>10148.25</v>
      </c>
      <c r="S64" s="818">
        <v>0</v>
      </c>
      <c r="T64" s="884" t="s">
        <v>1409</v>
      </c>
      <c r="U64" s="818">
        <v>5919.79</v>
      </c>
      <c r="V64" s="816" t="s">
        <v>1253</v>
      </c>
      <c r="W64" s="816" t="s">
        <v>1207</v>
      </c>
      <c r="Y64" s="859">
        <f t="shared" si="0"/>
        <v>41018.6</v>
      </c>
      <c r="Z64" s="858">
        <f t="shared" si="1"/>
        <v>5919.7900000000009</v>
      </c>
      <c r="AA64" s="859">
        <f t="shared" si="2"/>
        <v>845.69</v>
      </c>
      <c r="AB64" s="820" t="s">
        <v>791</v>
      </c>
      <c r="AC64" s="815">
        <f t="shared" ref="AC64:AC66" si="4">IF((Z64-(AA64*12))&gt;0,AA64*12,Z64)</f>
        <v>5919.7900000000009</v>
      </c>
      <c r="AD64" s="815">
        <f>IF(($Z64-($AA64*12)-SUM($AC64:AC64))&gt;0,$AA64*12,$Z64-SUM($AC64:AC64))</f>
        <v>0</v>
      </c>
      <c r="AE64" s="815">
        <f>IF(($Z64-($AA64*12)-SUM($AC64:AD64))&gt;0,$AA64*12,$Z64-SUM($AC64:AD64))</f>
        <v>0</v>
      </c>
      <c r="AF64" s="815">
        <f>IF(($Z64-($AA64*12)-SUM($AC64:AE64))&gt;0,$AA64*12,$Z64-SUM($AC64:AE64))</f>
        <v>0</v>
      </c>
      <c r="AG64" s="815">
        <f>IF(($Z64-($AA64*12)-SUM($AC64:AF64))&gt;0,$AA64*12,$Z64-SUM($AC64:AF64))</f>
        <v>0</v>
      </c>
      <c r="AH64" s="815">
        <f>IF(($Z64-($AA64*12)-SUM($AC64:AG64))&gt;0,$AA64*12,$Z64-SUM($AC64:AG64))</f>
        <v>0</v>
      </c>
      <c r="AI64" s="815">
        <f>IF(($Z64-($AA64*12)-SUM($AC64:AH64))&gt;0,$AA64*12,$Z64-SUM($AC64:AH64))</f>
        <v>0</v>
      </c>
      <c r="AJ64" s="815" t="b">
        <f t="shared" si="3"/>
        <v>1</v>
      </c>
    </row>
    <row r="65" spans="1:36" x14ac:dyDescent="0.25">
      <c r="A65" s="817" t="s">
        <v>199</v>
      </c>
      <c r="B65" s="817" t="s">
        <v>1410</v>
      </c>
      <c r="C65" s="817" t="s">
        <v>1249</v>
      </c>
      <c r="D65" s="817" t="s">
        <v>1411</v>
      </c>
      <c r="E65" s="817" t="s">
        <v>1411</v>
      </c>
      <c r="F65" s="816" t="s">
        <v>1264</v>
      </c>
      <c r="G65" s="817" t="s">
        <v>304</v>
      </c>
      <c r="H65" s="817" t="s">
        <v>1337</v>
      </c>
      <c r="I65" s="817" t="s">
        <v>346</v>
      </c>
      <c r="J65" s="818">
        <v>31150.05</v>
      </c>
      <c r="K65" s="818">
        <v>23417.79</v>
      </c>
      <c r="L65" s="818">
        <v>23417.79</v>
      </c>
      <c r="M65" s="818">
        <v>0</v>
      </c>
      <c r="N65" s="818">
        <v>644.36</v>
      </c>
      <c r="O65" s="818">
        <v>644.36</v>
      </c>
      <c r="P65" s="818">
        <v>0</v>
      </c>
      <c r="Q65" s="818">
        <v>7732.32</v>
      </c>
      <c r="R65" s="818">
        <v>7732.32</v>
      </c>
      <c r="S65" s="818">
        <v>0</v>
      </c>
      <c r="T65" s="816" t="s">
        <v>1412</v>
      </c>
      <c r="U65" s="818">
        <v>7732.26</v>
      </c>
      <c r="V65" s="816" t="s">
        <v>1253</v>
      </c>
      <c r="W65" s="816" t="s">
        <v>1207</v>
      </c>
      <c r="Y65" s="859">
        <f t="shared" si="0"/>
        <v>31150.05</v>
      </c>
      <c r="Z65" s="858">
        <f t="shared" si="1"/>
        <v>7732.2599999999984</v>
      </c>
      <c r="AA65" s="859">
        <f t="shared" si="2"/>
        <v>644.36</v>
      </c>
      <c r="AB65" s="820" t="s">
        <v>791</v>
      </c>
      <c r="AC65" s="815">
        <f t="shared" si="4"/>
        <v>7732.2599999999984</v>
      </c>
      <c r="AD65" s="815">
        <f>IF(($Z65-($AA65*12)-SUM($AC65:AC65))&gt;0,$AA65*12,$Z65-SUM($AC65:AC65))</f>
        <v>0</v>
      </c>
      <c r="AE65" s="815">
        <f>IF(($Z65-($AA65*12)-SUM($AC65:AD65))&gt;0,$AA65*12,$Z65-SUM($AC65:AD65))</f>
        <v>0</v>
      </c>
      <c r="AF65" s="815">
        <f>IF(($Z65-($AA65*12)-SUM($AC65:AE65))&gt;0,$AA65*12,$Z65-SUM($AC65:AE65))</f>
        <v>0</v>
      </c>
      <c r="AG65" s="815">
        <f>IF(($Z65-($AA65*12)-SUM($AC65:AF65))&gt;0,$AA65*12,$Z65-SUM($AC65:AF65))</f>
        <v>0</v>
      </c>
      <c r="AH65" s="815">
        <f>IF(($Z65-($AA65*12)-SUM($AC65:AG65))&gt;0,$AA65*12,$Z65-SUM($AC65:AG65))</f>
        <v>0</v>
      </c>
      <c r="AI65" s="815">
        <f>IF(($Z65-($AA65*12)-SUM($AC65:AH65))&gt;0,$AA65*12,$Z65-SUM($AC65:AH65))</f>
        <v>0</v>
      </c>
      <c r="AJ65" s="815" t="b">
        <f t="shared" si="3"/>
        <v>1</v>
      </c>
    </row>
    <row r="66" spans="1:36" x14ac:dyDescent="0.25">
      <c r="A66" s="817" t="s">
        <v>200</v>
      </c>
      <c r="B66" s="817" t="s">
        <v>1413</v>
      </c>
      <c r="C66" s="817" t="s">
        <v>1249</v>
      </c>
      <c r="D66" s="817" t="s">
        <v>1411</v>
      </c>
      <c r="E66" s="817" t="s">
        <v>1411</v>
      </c>
      <c r="F66" s="816" t="s">
        <v>1264</v>
      </c>
      <c r="G66" s="817" t="s">
        <v>304</v>
      </c>
      <c r="H66" s="817" t="s">
        <v>1337</v>
      </c>
      <c r="I66" s="817" t="s">
        <v>346</v>
      </c>
      <c r="J66" s="818">
        <v>29253.25</v>
      </c>
      <c r="K66" s="818">
        <v>21991.75</v>
      </c>
      <c r="L66" s="818">
        <v>21991.75</v>
      </c>
      <c r="M66" s="818">
        <v>0</v>
      </c>
      <c r="N66" s="818">
        <v>605.12</v>
      </c>
      <c r="O66" s="818">
        <v>605.12</v>
      </c>
      <c r="P66" s="818">
        <v>0</v>
      </c>
      <c r="Q66" s="818">
        <v>7261.4800000000005</v>
      </c>
      <c r="R66" s="818">
        <v>7261.4800000000005</v>
      </c>
      <c r="S66" s="818">
        <v>0</v>
      </c>
      <c r="T66" s="816" t="s">
        <v>1414</v>
      </c>
      <c r="U66" s="818">
        <v>7261.5</v>
      </c>
      <c r="V66" s="816" t="s">
        <v>1253</v>
      </c>
      <c r="W66" s="816" t="s">
        <v>1207</v>
      </c>
      <c r="Y66" s="859">
        <f t="shared" si="0"/>
        <v>29253.25</v>
      </c>
      <c r="Z66" s="858">
        <f t="shared" si="1"/>
        <v>7261.5</v>
      </c>
      <c r="AA66" s="859">
        <f t="shared" si="2"/>
        <v>605.12</v>
      </c>
      <c r="AB66" s="820" t="s">
        <v>791</v>
      </c>
      <c r="AC66" s="815">
        <f t="shared" si="4"/>
        <v>7261.4400000000005</v>
      </c>
      <c r="AD66" s="815">
        <f>IF(($Z66-($AA66*12)-SUM($AC66:AC66))&gt;0,$AA66*12,$Z66-SUM($AC66:AC66))</f>
        <v>5.9999999999490683E-2</v>
      </c>
      <c r="AE66" s="815">
        <f>IF(($Z66-($AA66*12)-SUM($AC66:AD66))&gt;0,$AA66*12,$Z66-SUM($AC66:AD66))</f>
        <v>0</v>
      </c>
      <c r="AF66" s="815">
        <f>IF(($Z66-($AA66*12)-SUM($AC66:AE66))&gt;0,$AA66*12,$Z66-SUM($AC66:AE66))</f>
        <v>0</v>
      </c>
      <c r="AG66" s="815">
        <f>IF(($Z66-($AA66*12)-SUM($AC66:AF66))&gt;0,$AA66*12,$Z66-SUM($AC66:AF66))</f>
        <v>0</v>
      </c>
      <c r="AH66" s="815">
        <f>IF(($Z66-($AA66*12)-SUM($AC66:AG66))&gt;0,$AA66*12,$Z66-SUM($AC66:AG66))</f>
        <v>0</v>
      </c>
      <c r="AI66" s="815">
        <f>IF(($Z66-($AA66*12)-SUM($AC66:AH66))&gt;0,$AA66*12,$Z66-SUM($AC66:AH66))</f>
        <v>0</v>
      </c>
      <c r="AJ66" s="815" t="b">
        <f t="shared" si="3"/>
        <v>1</v>
      </c>
    </row>
    <row r="67" spans="1:36" x14ac:dyDescent="0.25">
      <c r="A67" s="817" t="s">
        <v>1415</v>
      </c>
      <c r="B67" s="817" t="s">
        <v>1416</v>
      </c>
      <c r="C67" s="817" t="s">
        <v>1249</v>
      </c>
      <c r="D67" s="817" t="s">
        <v>1411</v>
      </c>
      <c r="E67" s="817" t="s">
        <v>1411</v>
      </c>
      <c r="F67" s="816" t="s">
        <v>1264</v>
      </c>
      <c r="G67" s="817" t="s">
        <v>304</v>
      </c>
      <c r="H67" s="817" t="s">
        <v>1337</v>
      </c>
      <c r="I67" s="817" t="s">
        <v>346</v>
      </c>
      <c r="J67" s="818">
        <v>31150.05</v>
      </c>
      <c r="K67" s="818">
        <v>23417.79</v>
      </c>
      <c r="L67" s="818">
        <v>23417.79</v>
      </c>
      <c r="M67" s="818">
        <v>0</v>
      </c>
      <c r="N67" s="818">
        <v>644.36</v>
      </c>
      <c r="O67" s="818">
        <v>644.36</v>
      </c>
      <c r="P67" s="818">
        <v>0</v>
      </c>
      <c r="Q67" s="818">
        <v>7732.32</v>
      </c>
      <c r="R67" s="818">
        <v>7732.32</v>
      </c>
      <c r="S67" s="818">
        <v>0</v>
      </c>
      <c r="T67" s="816" t="s">
        <v>1417</v>
      </c>
      <c r="U67" s="818">
        <v>7732.26</v>
      </c>
      <c r="V67" s="816" t="s">
        <v>1253</v>
      </c>
      <c r="W67" s="816" t="s">
        <v>1207</v>
      </c>
      <c r="Y67" s="859">
        <f t="shared" si="0"/>
        <v>31150.05</v>
      </c>
      <c r="Z67" s="858">
        <f t="shared" si="1"/>
        <v>7732.2599999999984</v>
      </c>
      <c r="AA67" s="859">
        <f t="shared" si="2"/>
        <v>644.36</v>
      </c>
      <c r="AB67" s="820" t="s">
        <v>791</v>
      </c>
      <c r="AC67" s="815">
        <f t="shared" ref="AC67:AC79" si="5">IF((Z67-(AA67*12))&gt;0,AA67*12,Z67)</f>
        <v>7732.2599999999984</v>
      </c>
      <c r="AD67" s="815">
        <f>IF(($Z67-($AA67*12)-SUM($AC67:AC67))&gt;0,$AA67*12,$Z67-SUM($AC67:AC67))</f>
        <v>0</v>
      </c>
      <c r="AE67" s="815">
        <f>IF(($Z67-($AA67*12)-SUM($AC67:AD67))&gt;0,$AA67*12,$Z67-SUM($AC67:AD67))</f>
        <v>0</v>
      </c>
      <c r="AF67" s="815">
        <f>IF(($Z67-($AA67*12)-SUM($AC67:AE67))&gt;0,$AA67*12,$Z67-SUM($AC67:AE67))</f>
        <v>0</v>
      </c>
      <c r="AG67" s="815">
        <f>IF(($Z67-($AA67*12)-SUM($AC67:AF67))&gt;0,$AA67*12,$Z67-SUM($AC67:AF67))</f>
        <v>0</v>
      </c>
      <c r="AH67" s="815">
        <f>IF(($Z67-($AA67*12)-SUM($AC67:AG67))&gt;0,$AA67*12,$Z67-SUM($AC67:AG67))</f>
        <v>0</v>
      </c>
      <c r="AI67" s="815">
        <f>IF(($Z67-($AA67*12)-SUM($AC67:AH67))&gt;0,$AA67*12,$Z67-SUM($AC67:AH67))</f>
        <v>0</v>
      </c>
      <c r="AJ67" s="815" t="b">
        <f t="shared" si="3"/>
        <v>1</v>
      </c>
    </row>
    <row r="68" spans="1:36" x14ac:dyDescent="0.25">
      <c r="A68" s="817" t="s">
        <v>201</v>
      </c>
      <c r="B68" s="817" t="s">
        <v>1418</v>
      </c>
      <c r="C68" s="817" t="s">
        <v>1249</v>
      </c>
      <c r="D68" s="817" t="s">
        <v>1411</v>
      </c>
      <c r="E68" s="817" t="s">
        <v>1411</v>
      </c>
      <c r="F68" s="816" t="s">
        <v>1419</v>
      </c>
      <c r="G68" s="817" t="s">
        <v>304</v>
      </c>
      <c r="H68" s="817" t="s">
        <v>1337</v>
      </c>
      <c r="I68" s="817" t="s">
        <v>346</v>
      </c>
      <c r="J68" s="818">
        <v>8525.31</v>
      </c>
      <c r="K68" s="818">
        <v>6409.07</v>
      </c>
      <c r="L68" s="818">
        <v>6409.07</v>
      </c>
      <c r="M68" s="818">
        <v>0</v>
      </c>
      <c r="N68" s="818">
        <v>176.35</v>
      </c>
      <c r="O68" s="818">
        <v>176.35</v>
      </c>
      <c r="P68" s="818">
        <v>0</v>
      </c>
      <c r="Q68" s="818">
        <v>2116.1999999999998</v>
      </c>
      <c r="R68" s="818">
        <v>2116.1999999999998</v>
      </c>
      <c r="S68" s="818">
        <v>0</v>
      </c>
      <c r="T68" s="816" t="s">
        <v>1420</v>
      </c>
      <c r="U68" s="818">
        <v>2116.2400000000002</v>
      </c>
      <c r="V68" s="816" t="s">
        <v>1253</v>
      </c>
      <c r="W68" s="816" t="s">
        <v>1207</v>
      </c>
      <c r="Y68" s="859">
        <f t="shared" si="0"/>
        <v>8525.31</v>
      </c>
      <c r="Z68" s="858">
        <f t="shared" si="1"/>
        <v>2116.2399999999998</v>
      </c>
      <c r="AA68" s="859">
        <f t="shared" si="2"/>
        <v>176.35</v>
      </c>
      <c r="AB68" s="820" t="s">
        <v>791</v>
      </c>
      <c r="AC68" s="815">
        <f t="shared" si="5"/>
        <v>2116.1999999999998</v>
      </c>
      <c r="AD68" s="815">
        <f>IF(($Z68-($AA68*12)-SUM($AC68:AC68))&gt;0,$AA68*12,$Z68-SUM($AC68:AC68))</f>
        <v>3.999999999996362E-2</v>
      </c>
      <c r="AE68" s="815">
        <f>IF(($Z68-($AA68*12)-SUM($AC68:AD68))&gt;0,$AA68*12,$Z68-SUM($AC68:AD68))</f>
        <v>0</v>
      </c>
      <c r="AF68" s="815">
        <f>IF(($Z68-($AA68*12)-SUM($AC68:AE68))&gt;0,$AA68*12,$Z68-SUM($AC68:AE68))</f>
        <v>0</v>
      </c>
      <c r="AG68" s="815">
        <f>IF(($Z68-($AA68*12)-SUM($AC68:AF68))&gt;0,$AA68*12,$Z68-SUM($AC68:AF68))</f>
        <v>0</v>
      </c>
      <c r="AH68" s="815">
        <f>IF(($Z68-($AA68*12)-SUM($AC68:AG68))&gt;0,$AA68*12,$Z68-SUM($AC68:AG68))</f>
        <v>0</v>
      </c>
      <c r="AI68" s="815">
        <f>IF(($Z68-($AA68*12)-SUM($AC68:AH68))&gt;0,$AA68*12,$Z68-SUM($AC68:AH68))</f>
        <v>0</v>
      </c>
      <c r="AJ68" s="815" t="b">
        <f t="shared" si="3"/>
        <v>1</v>
      </c>
    </row>
    <row r="69" spans="1:36" x14ac:dyDescent="0.25">
      <c r="A69" s="817" t="s">
        <v>1289</v>
      </c>
      <c r="B69" s="817" t="s">
        <v>273</v>
      </c>
      <c r="C69" s="817" t="s">
        <v>1249</v>
      </c>
      <c r="D69" s="817" t="s">
        <v>1421</v>
      </c>
      <c r="E69" s="817" t="s">
        <v>1421</v>
      </c>
      <c r="F69" s="816" t="s">
        <v>1251</v>
      </c>
      <c r="G69" s="817" t="s">
        <v>304</v>
      </c>
      <c r="H69" s="817" t="s">
        <v>1422</v>
      </c>
      <c r="I69" s="817" t="s">
        <v>346</v>
      </c>
      <c r="J69" s="818">
        <v>16114.68</v>
      </c>
      <c r="K69" s="818">
        <v>11443.67</v>
      </c>
      <c r="L69" s="818">
        <v>11443.67</v>
      </c>
      <c r="M69" s="818">
        <v>0</v>
      </c>
      <c r="N69" s="818">
        <v>333.64</v>
      </c>
      <c r="O69" s="818">
        <v>333.64</v>
      </c>
      <c r="P69" s="818">
        <v>0</v>
      </c>
      <c r="Q69" s="818">
        <v>4003.6800000000003</v>
      </c>
      <c r="R69" s="818">
        <v>4003.6800000000003</v>
      </c>
      <c r="S69" s="818">
        <v>0</v>
      </c>
      <c r="T69" s="816" t="s">
        <v>1423</v>
      </c>
      <c r="U69" s="818">
        <v>4671.01</v>
      </c>
      <c r="V69" s="816" t="s">
        <v>1253</v>
      </c>
      <c r="W69" s="816" t="s">
        <v>1207</v>
      </c>
      <c r="Y69" s="859">
        <f t="shared" si="0"/>
        <v>16114.68</v>
      </c>
      <c r="Z69" s="858">
        <f t="shared" si="1"/>
        <v>4671.01</v>
      </c>
      <c r="AA69" s="859">
        <f t="shared" si="2"/>
        <v>333.64</v>
      </c>
      <c r="AB69" s="820" t="s">
        <v>791</v>
      </c>
      <c r="AC69" s="815">
        <f t="shared" si="5"/>
        <v>4003.68</v>
      </c>
      <c r="AD69" s="815">
        <f>IF(($Z69-($AA69*12)-SUM($AC69:AC69))&gt;0,$AA69*12,$Z69-SUM($AC69:AC69))</f>
        <v>667.33000000000038</v>
      </c>
      <c r="AE69" s="815">
        <f>IF(($Z69-($AA69*12)-SUM($AC69:AD69))&gt;0,$AA69*12,$Z69-SUM($AC69:AD69))</f>
        <v>0</v>
      </c>
      <c r="AF69" s="815">
        <f>IF(($Z69-($AA69*12)-SUM($AC69:AE69))&gt;0,$AA69*12,$Z69-SUM($AC69:AE69))</f>
        <v>0</v>
      </c>
      <c r="AG69" s="815">
        <f>IF(($Z69-($AA69*12)-SUM($AC69:AF69))&gt;0,$AA69*12,$Z69-SUM($AC69:AF69))</f>
        <v>0</v>
      </c>
      <c r="AH69" s="815">
        <f>IF(($Z69-($AA69*12)-SUM($AC69:AG69))&gt;0,$AA69*12,$Z69-SUM($AC69:AG69))</f>
        <v>0</v>
      </c>
      <c r="AI69" s="815">
        <f>IF(($Z69-($AA69*12)-SUM($AC69:AH69))&gt;0,$AA69*12,$Z69-SUM($AC69:AH69))</f>
        <v>0</v>
      </c>
      <c r="AJ69" s="815" t="b">
        <f t="shared" si="3"/>
        <v>1</v>
      </c>
    </row>
    <row r="70" spans="1:36" x14ac:dyDescent="0.25">
      <c r="A70" s="817" t="s">
        <v>202</v>
      </c>
      <c r="B70" s="817" t="s">
        <v>183</v>
      </c>
      <c r="C70" s="817" t="s">
        <v>1249</v>
      </c>
      <c r="D70" s="817" t="s">
        <v>1421</v>
      </c>
      <c r="E70" s="817" t="s">
        <v>1421</v>
      </c>
      <c r="F70" s="816" t="s">
        <v>1251</v>
      </c>
      <c r="G70" s="817" t="s">
        <v>304</v>
      </c>
      <c r="H70" s="817" t="s">
        <v>1422</v>
      </c>
      <c r="I70" s="817" t="s">
        <v>346</v>
      </c>
      <c r="J70" s="818">
        <v>16114.68</v>
      </c>
      <c r="K70" s="818">
        <v>11443.67</v>
      </c>
      <c r="L70" s="818">
        <v>11443.67</v>
      </c>
      <c r="M70" s="818">
        <v>0</v>
      </c>
      <c r="N70" s="818">
        <v>333.64</v>
      </c>
      <c r="O70" s="818">
        <v>333.64</v>
      </c>
      <c r="P70" s="818">
        <v>0</v>
      </c>
      <c r="Q70" s="818">
        <v>4003.6800000000003</v>
      </c>
      <c r="R70" s="818">
        <v>4003.6800000000003</v>
      </c>
      <c r="S70" s="818">
        <v>0</v>
      </c>
      <c r="T70" s="816" t="s">
        <v>1424</v>
      </c>
      <c r="U70" s="818">
        <v>4671.01</v>
      </c>
      <c r="V70" s="816" t="s">
        <v>1253</v>
      </c>
      <c r="W70" s="816" t="s">
        <v>1207</v>
      </c>
      <c r="Y70" s="859">
        <f t="shared" si="0"/>
        <v>16114.68</v>
      </c>
      <c r="Z70" s="858">
        <f t="shared" si="1"/>
        <v>4671.01</v>
      </c>
      <c r="AA70" s="859">
        <f t="shared" si="2"/>
        <v>333.64</v>
      </c>
      <c r="AB70" s="820" t="s">
        <v>791</v>
      </c>
      <c r="AC70" s="815">
        <f t="shared" si="5"/>
        <v>4003.68</v>
      </c>
      <c r="AD70" s="815">
        <f>IF(($Z70-($AA70*12)-SUM($AC70:AC70))&gt;0,$AA70*12,$Z70-SUM($AC70:AC70))</f>
        <v>667.33000000000038</v>
      </c>
      <c r="AE70" s="815">
        <f>IF(($Z70-($AA70*12)-SUM($AC70:AD70))&gt;0,$AA70*12,$Z70-SUM($AC70:AD70))</f>
        <v>0</v>
      </c>
      <c r="AF70" s="815">
        <f>IF(($Z70-($AA70*12)-SUM($AC70:AE70))&gt;0,$AA70*12,$Z70-SUM($AC70:AE70))</f>
        <v>0</v>
      </c>
      <c r="AG70" s="815">
        <f>IF(($Z70-($AA70*12)-SUM($AC70:AF70))&gt;0,$AA70*12,$Z70-SUM($AC70:AF70))</f>
        <v>0</v>
      </c>
      <c r="AH70" s="815">
        <f>IF(($Z70-($AA70*12)-SUM($AC70:AG70))&gt;0,$AA70*12,$Z70-SUM($AC70:AG70))</f>
        <v>0</v>
      </c>
      <c r="AI70" s="815">
        <f>IF(($Z70-($AA70*12)-SUM($AC70:AH70))&gt;0,$AA70*12,$Z70-SUM($AC70:AH70))</f>
        <v>0</v>
      </c>
      <c r="AJ70" s="815" t="b">
        <f t="shared" si="3"/>
        <v>1</v>
      </c>
    </row>
    <row r="71" spans="1:36" x14ac:dyDescent="0.25">
      <c r="A71" s="817" t="s">
        <v>1296</v>
      </c>
      <c r="B71" s="817" t="s">
        <v>719</v>
      </c>
      <c r="C71" s="817" t="s">
        <v>1249</v>
      </c>
      <c r="D71" s="817" t="s">
        <v>1421</v>
      </c>
      <c r="E71" s="817" t="s">
        <v>1421</v>
      </c>
      <c r="F71" s="816" t="s">
        <v>1251</v>
      </c>
      <c r="G71" s="817" t="s">
        <v>304</v>
      </c>
      <c r="H71" s="817" t="s">
        <v>1422</v>
      </c>
      <c r="I71" s="817" t="s">
        <v>346</v>
      </c>
      <c r="J71" s="818">
        <v>16786.12</v>
      </c>
      <c r="K71" s="818">
        <v>11920.49</v>
      </c>
      <c r="L71" s="818">
        <v>11920.49</v>
      </c>
      <c r="M71" s="818">
        <v>0</v>
      </c>
      <c r="N71" s="818">
        <v>347.54</v>
      </c>
      <c r="O71" s="818">
        <v>347.54</v>
      </c>
      <c r="P71" s="818">
        <v>0</v>
      </c>
      <c r="Q71" s="818">
        <v>4170.5</v>
      </c>
      <c r="R71" s="818">
        <v>4170.5</v>
      </c>
      <c r="S71" s="818">
        <v>0</v>
      </c>
      <c r="T71" s="816" t="s">
        <v>1425</v>
      </c>
      <c r="U71" s="818">
        <v>4865.63</v>
      </c>
      <c r="V71" s="816" t="s">
        <v>1253</v>
      </c>
      <c r="W71" s="816" t="s">
        <v>1207</v>
      </c>
      <c r="Y71" s="859">
        <f t="shared" si="0"/>
        <v>16786.12</v>
      </c>
      <c r="Z71" s="858">
        <f t="shared" si="1"/>
        <v>4865.6299999999992</v>
      </c>
      <c r="AA71" s="859">
        <f t="shared" si="2"/>
        <v>347.54</v>
      </c>
      <c r="AB71" s="820" t="s">
        <v>791</v>
      </c>
      <c r="AC71" s="815">
        <f t="shared" si="5"/>
        <v>4170.4800000000005</v>
      </c>
      <c r="AD71" s="815">
        <f>IF(($Z71-($AA71*12)-SUM($AC71:AC71))&gt;0,$AA71*12,$Z71-SUM($AC71:AC71))</f>
        <v>695.14999999999873</v>
      </c>
      <c r="AE71" s="815">
        <f>IF(($Z71-($AA71*12)-SUM($AC71:AD71))&gt;0,$AA71*12,$Z71-SUM($AC71:AD71))</f>
        <v>0</v>
      </c>
      <c r="AF71" s="815">
        <f>IF(($Z71-($AA71*12)-SUM($AC71:AE71))&gt;0,$AA71*12,$Z71-SUM($AC71:AE71))</f>
        <v>0</v>
      </c>
      <c r="AG71" s="815">
        <f>IF(($Z71-($AA71*12)-SUM($AC71:AF71))&gt;0,$AA71*12,$Z71-SUM($AC71:AF71))</f>
        <v>0</v>
      </c>
      <c r="AH71" s="815">
        <f>IF(($Z71-($AA71*12)-SUM($AC71:AG71))&gt;0,$AA71*12,$Z71-SUM($AC71:AG71))</f>
        <v>0</v>
      </c>
      <c r="AI71" s="815">
        <f>IF(($Z71-($AA71*12)-SUM($AC71:AH71))&gt;0,$AA71*12,$Z71-SUM($AC71:AH71))</f>
        <v>0</v>
      </c>
      <c r="AJ71" s="815" t="b">
        <f t="shared" si="3"/>
        <v>1</v>
      </c>
    </row>
    <row r="72" spans="1:36" x14ac:dyDescent="0.25">
      <c r="A72" s="817" t="s">
        <v>203</v>
      </c>
      <c r="B72" s="817" t="s">
        <v>1426</v>
      </c>
      <c r="C72" s="817" t="s">
        <v>1249</v>
      </c>
      <c r="D72" s="817" t="s">
        <v>1421</v>
      </c>
      <c r="E72" s="817" t="s">
        <v>1421</v>
      </c>
      <c r="F72" s="816" t="s">
        <v>1251</v>
      </c>
      <c r="G72" s="817" t="s">
        <v>304</v>
      </c>
      <c r="H72" s="817" t="s">
        <v>1422</v>
      </c>
      <c r="I72" s="817" t="s">
        <v>346</v>
      </c>
      <c r="J72" s="818">
        <v>16786.12</v>
      </c>
      <c r="K72" s="818">
        <v>11920.49</v>
      </c>
      <c r="L72" s="818">
        <v>11920.49</v>
      </c>
      <c r="M72" s="818">
        <v>0</v>
      </c>
      <c r="N72" s="818">
        <v>347.54</v>
      </c>
      <c r="O72" s="818">
        <v>347.54</v>
      </c>
      <c r="P72" s="818">
        <v>0</v>
      </c>
      <c r="Q72" s="818">
        <v>4170.5</v>
      </c>
      <c r="R72" s="818">
        <v>4170.5</v>
      </c>
      <c r="S72" s="818">
        <v>0</v>
      </c>
      <c r="T72" s="816" t="s">
        <v>1427</v>
      </c>
      <c r="U72" s="818">
        <v>4865.63</v>
      </c>
      <c r="V72" s="816" t="s">
        <v>1253</v>
      </c>
      <c r="W72" s="816" t="s">
        <v>1207</v>
      </c>
      <c r="Y72" s="859">
        <f t="shared" ref="Y72:Y112" si="6">J72</f>
        <v>16786.12</v>
      </c>
      <c r="Z72" s="858">
        <f t="shared" ref="Z72:Z112" si="7">J72-K72</f>
        <v>4865.6299999999992</v>
      </c>
      <c r="AA72" s="859">
        <f t="shared" ref="AA72:AA112" si="8">N72</f>
        <v>347.54</v>
      </c>
      <c r="AB72" s="820" t="s">
        <v>791</v>
      </c>
      <c r="AC72" s="815">
        <f t="shared" si="5"/>
        <v>4170.4800000000005</v>
      </c>
      <c r="AD72" s="815">
        <f>IF(($Z72-($AA72*12)-SUM($AC72:AC72))&gt;0,$AA72*12,$Z72-SUM($AC72:AC72))</f>
        <v>695.14999999999873</v>
      </c>
      <c r="AE72" s="815">
        <f>IF(($Z72-($AA72*12)-SUM($AC72:AD72))&gt;0,$AA72*12,$Z72-SUM($AC72:AD72))</f>
        <v>0</v>
      </c>
      <c r="AF72" s="815">
        <f>IF(($Z72-($AA72*12)-SUM($AC72:AE72))&gt;0,$AA72*12,$Z72-SUM($AC72:AE72))</f>
        <v>0</v>
      </c>
      <c r="AG72" s="815">
        <f>IF(($Z72-($AA72*12)-SUM($AC72:AF72))&gt;0,$AA72*12,$Z72-SUM($AC72:AF72))</f>
        <v>0</v>
      </c>
      <c r="AH72" s="815">
        <f>IF(($Z72-($AA72*12)-SUM($AC72:AG72))&gt;0,$AA72*12,$Z72-SUM($AC72:AG72))</f>
        <v>0</v>
      </c>
      <c r="AI72" s="815">
        <f>IF(($Z72-($AA72*12)-SUM($AC72:AH72))&gt;0,$AA72*12,$Z72-SUM($AC72:AH72))</f>
        <v>0</v>
      </c>
      <c r="AJ72" s="815" t="b">
        <f t="shared" ref="AJ72:AJ112" si="9">U72=SUM(AC72:AI72)</f>
        <v>1</v>
      </c>
    </row>
    <row r="73" spans="1:36" x14ac:dyDescent="0.25">
      <c r="A73" s="817" t="s">
        <v>1299</v>
      </c>
      <c r="B73" s="817" t="s">
        <v>1428</v>
      </c>
      <c r="C73" s="817" t="s">
        <v>1249</v>
      </c>
      <c r="D73" s="817" t="s">
        <v>1429</v>
      </c>
      <c r="E73" s="817" t="s">
        <v>1429</v>
      </c>
      <c r="F73" s="816" t="s">
        <v>1264</v>
      </c>
      <c r="G73" s="817" t="s">
        <v>304</v>
      </c>
      <c r="H73" s="817" t="s">
        <v>1347</v>
      </c>
      <c r="I73" s="817" t="s">
        <v>346</v>
      </c>
      <c r="J73" s="818">
        <v>57477.08</v>
      </c>
      <c r="K73" s="818">
        <v>38257.160000000003</v>
      </c>
      <c r="L73" s="818">
        <v>38257.160000000003</v>
      </c>
      <c r="M73" s="818">
        <v>0</v>
      </c>
      <c r="N73" s="818">
        <v>1201.24</v>
      </c>
      <c r="O73" s="818">
        <v>1201.24</v>
      </c>
      <c r="P73" s="818">
        <v>0</v>
      </c>
      <c r="Q73" s="818">
        <v>14414.94</v>
      </c>
      <c r="R73" s="818">
        <v>14414.94</v>
      </c>
      <c r="S73" s="818">
        <v>0</v>
      </c>
      <c r="T73" s="816" t="s">
        <v>1430</v>
      </c>
      <c r="U73" s="818">
        <v>19219.920000000002</v>
      </c>
      <c r="V73" s="816" t="s">
        <v>1253</v>
      </c>
      <c r="W73" s="816" t="s">
        <v>1207</v>
      </c>
      <c r="Y73" s="859">
        <f t="shared" si="6"/>
        <v>57477.08</v>
      </c>
      <c r="Z73" s="858">
        <f t="shared" si="7"/>
        <v>19219.919999999998</v>
      </c>
      <c r="AA73" s="859">
        <f t="shared" si="8"/>
        <v>1201.24</v>
      </c>
      <c r="AB73" s="820" t="s">
        <v>791</v>
      </c>
      <c r="AC73" s="815">
        <f t="shared" si="5"/>
        <v>14414.880000000001</v>
      </c>
      <c r="AD73" s="815">
        <f>IF(($Z73-($AA73*12)-SUM($AC73:AC73))&gt;0,$AA73*12,$Z73-SUM($AC73:AC73))</f>
        <v>4805.0399999999972</v>
      </c>
      <c r="AE73" s="815">
        <f>IF(($Z73-($AA73*12)-SUM($AC73:AD73))&gt;0,$AA73*12,$Z73-SUM($AC73:AD73))</f>
        <v>0</v>
      </c>
      <c r="AF73" s="815">
        <f>IF(($Z73-($AA73*12)-SUM($AC73:AE73))&gt;0,$AA73*12,$Z73-SUM($AC73:AE73))</f>
        <v>0</v>
      </c>
      <c r="AG73" s="815">
        <f>IF(($Z73-($AA73*12)-SUM($AC73:AF73))&gt;0,$AA73*12,$Z73-SUM($AC73:AF73))</f>
        <v>0</v>
      </c>
      <c r="AH73" s="815">
        <f>IF(($Z73-($AA73*12)-SUM($AC73:AG73))&gt;0,$AA73*12,$Z73-SUM($AC73:AG73))</f>
        <v>0</v>
      </c>
      <c r="AI73" s="815">
        <f>IF(($Z73-($AA73*12)-SUM($AC73:AH73))&gt;0,$AA73*12,$Z73-SUM($AC73:AH73))</f>
        <v>0</v>
      </c>
      <c r="AJ73" s="815" t="b">
        <f t="shared" si="9"/>
        <v>1</v>
      </c>
    </row>
    <row r="74" spans="1:36" x14ac:dyDescent="0.25">
      <c r="A74" s="817" t="s">
        <v>204</v>
      </c>
      <c r="B74" s="817" t="s">
        <v>1431</v>
      </c>
      <c r="C74" s="817" t="s">
        <v>1249</v>
      </c>
      <c r="D74" s="817" t="s">
        <v>1429</v>
      </c>
      <c r="E74" s="817" t="s">
        <v>1429</v>
      </c>
      <c r="F74" s="816" t="s">
        <v>1264</v>
      </c>
      <c r="G74" s="817" t="s">
        <v>304</v>
      </c>
      <c r="H74" s="817" t="s">
        <v>1347</v>
      </c>
      <c r="I74" s="817" t="s">
        <v>346</v>
      </c>
      <c r="J74" s="818">
        <v>64009.79</v>
      </c>
      <c r="K74" s="818">
        <v>42789.87</v>
      </c>
      <c r="L74" s="818">
        <v>42789.87</v>
      </c>
      <c r="M74" s="818">
        <v>0</v>
      </c>
      <c r="N74" s="818">
        <v>1326.24</v>
      </c>
      <c r="O74" s="818">
        <v>1326.24</v>
      </c>
      <c r="P74" s="818">
        <v>0</v>
      </c>
      <c r="Q74" s="818">
        <v>15914.880000000001</v>
      </c>
      <c r="R74" s="818">
        <v>15914.880000000001</v>
      </c>
      <c r="S74" s="818">
        <v>0</v>
      </c>
      <c r="T74" s="884" t="s">
        <v>1432</v>
      </c>
      <c r="U74" s="818">
        <v>21219.920000000002</v>
      </c>
      <c r="V74" s="816" t="s">
        <v>1253</v>
      </c>
      <c r="W74" s="816" t="s">
        <v>1207</v>
      </c>
      <c r="Y74" s="859">
        <f t="shared" si="6"/>
        <v>64009.79</v>
      </c>
      <c r="Z74" s="858">
        <f t="shared" si="7"/>
        <v>21219.919999999998</v>
      </c>
      <c r="AA74" s="859">
        <f t="shared" si="8"/>
        <v>1326.24</v>
      </c>
      <c r="AB74" s="820" t="s">
        <v>791</v>
      </c>
      <c r="AC74" s="815">
        <f t="shared" si="5"/>
        <v>15914.880000000001</v>
      </c>
      <c r="AD74" s="815">
        <f>IF(($Z74-($AA74*12)-SUM($AC74:AC74))&gt;0,$AA74*12,$Z74-SUM($AC74:AC74))</f>
        <v>5305.0399999999972</v>
      </c>
      <c r="AE74" s="815">
        <f>IF(($Z74-($AA74*12)-SUM($AC74:AD74))&gt;0,$AA74*12,$Z74-SUM($AC74:AD74))</f>
        <v>0</v>
      </c>
      <c r="AF74" s="815">
        <f>IF(($Z74-($AA74*12)-SUM($AC74:AE74))&gt;0,$AA74*12,$Z74-SUM($AC74:AE74))</f>
        <v>0</v>
      </c>
      <c r="AG74" s="815">
        <f>IF(($Z74-($AA74*12)-SUM($AC74:AF74))&gt;0,$AA74*12,$Z74-SUM($AC74:AF74))</f>
        <v>0</v>
      </c>
      <c r="AH74" s="815">
        <f>IF(($Z74-($AA74*12)-SUM($AC74:AG74))&gt;0,$AA74*12,$Z74-SUM($AC74:AG74))</f>
        <v>0</v>
      </c>
      <c r="AI74" s="815">
        <f>IF(($Z74-($AA74*12)-SUM($AC74:AH74))&gt;0,$AA74*12,$Z74-SUM($AC74:AH74))</f>
        <v>0</v>
      </c>
      <c r="AJ74" s="815" t="b">
        <f t="shared" si="9"/>
        <v>1</v>
      </c>
    </row>
    <row r="75" spans="1:36" x14ac:dyDescent="0.25">
      <c r="A75" s="817" t="s">
        <v>1433</v>
      </c>
      <c r="B75" s="817" t="s">
        <v>184</v>
      </c>
      <c r="C75" s="817" t="s">
        <v>1249</v>
      </c>
      <c r="D75" s="817" t="s">
        <v>1434</v>
      </c>
      <c r="E75" s="817" t="s">
        <v>1434</v>
      </c>
      <c r="F75" s="816" t="s">
        <v>1264</v>
      </c>
      <c r="G75" s="817" t="s">
        <v>304</v>
      </c>
      <c r="H75" s="817" t="s">
        <v>1435</v>
      </c>
      <c r="I75" s="817" t="s">
        <v>346</v>
      </c>
      <c r="J75" s="818">
        <v>144053.80000000002</v>
      </c>
      <c r="K75" s="818">
        <v>87294.46</v>
      </c>
      <c r="L75" s="818">
        <v>87294.46</v>
      </c>
      <c r="M75" s="818">
        <v>0</v>
      </c>
      <c r="N75" s="818">
        <v>2987.33</v>
      </c>
      <c r="O75" s="818">
        <v>2987.33</v>
      </c>
      <c r="P75" s="818">
        <v>0</v>
      </c>
      <c r="Q75" s="818">
        <v>35847.96</v>
      </c>
      <c r="R75" s="818">
        <v>35847.96</v>
      </c>
      <c r="S75" s="818">
        <v>0</v>
      </c>
      <c r="T75" s="816" t="s">
        <v>1436</v>
      </c>
      <c r="U75" s="818">
        <v>56759.340000000004</v>
      </c>
      <c r="V75" s="816" t="s">
        <v>1253</v>
      </c>
      <c r="W75" s="816" t="s">
        <v>1207</v>
      </c>
      <c r="Y75" s="859">
        <f t="shared" si="6"/>
        <v>144053.80000000002</v>
      </c>
      <c r="Z75" s="858">
        <f t="shared" si="7"/>
        <v>56759.340000000011</v>
      </c>
      <c r="AA75" s="859">
        <f t="shared" si="8"/>
        <v>2987.33</v>
      </c>
      <c r="AB75" s="820" t="s">
        <v>791</v>
      </c>
      <c r="AC75" s="815">
        <f t="shared" si="5"/>
        <v>35847.96</v>
      </c>
      <c r="AD75" s="815">
        <f>IF(($Z75-($AA75*12)-SUM($AC75:AC75))&gt;0,$AA75*12,$Z75-SUM($AC75:AC75))</f>
        <v>20911.380000000012</v>
      </c>
      <c r="AE75" s="815">
        <f>IF(($Z75-($AA75*12)-SUM($AC75:AD75))&gt;0,$AA75*12,$Z75-SUM($AC75:AD75))</f>
        <v>0</v>
      </c>
      <c r="AF75" s="815">
        <f>IF(($Z75-($AA75*12)-SUM($AC75:AE75))&gt;0,$AA75*12,$Z75-SUM($AC75:AE75))</f>
        <v>0</v>
      </c>
      <c r="AG75" s="815">
        <f>IF(($Z75-($AA75*12)-SUM($AC75:AF75))&gt;0,$AA75*12,$Z75-SUM($AC75:AF75))</f>
        <v>0</v>
      </c>
      <c r="AH75" s="815">
        <f>IF(($Z75-($AA75*12)-SUM($AC75:AG75))&gt;0,$AA75*12,$Z75-SUM($AC75:AG75))</f>
        <v>0</v>
      </c>
      <c r="AI75" s="815">
        <f>IF(($Z75-($AA75*12)-SUM($AC75:AH75))&gt;0,$AA75*12,$Z75-SUM($AC75:AH75))</f>
        <v>0</v>
      </c>
      <c r="AJ75" s="815" t="b">
        <f t="shared" si="9"/>
        <v>1</v>
      </c>
    </row>
    <row r="76" spans="1:36" x14ac:dyDescent="0.25">
      <c r="A76" s="817" t="s">
        <v>1439</v>
      </c>
      <c r="B76" s="817" t="s">
        <v>1440</v>
      </c>
      <c r="C76" s="817" t="s">
        <v>1249</v>
      </c>
      <c r="D76" s="817" t="s">
        <v>1441</v>
      </c>
      <c r="E76" s="817" t="s">
        <v>1441</v>
      </c>
      <c r="F76" s="816" t="s">
        <v>1284</v>
      </c>
      <c r="G76" s="817" t="s">
        <v>298</v>
      </c>
      <c r="H76" s="817" t="s">
        <v>721</v>
      </c>
      <c r="I76" s="817" t="s">
        <v>346</v>
      </c>
      <c r="J76" s="818">
        <v>3523</v>
      </c>
      <c r="K76" s="818">
        <v>3523</v>
      </c>
      <c r="L76" s="818">
        <v>3523</v>
      </c>
      <c r="M76" s="818">
        <v>0</v>
      </c>
      <c r="N76" s="818">
        <v>143.72</v>
      </c>
      <c r="O76" s="818">
        <v>143.72</v>
      </c>
      <c r="P76" s="818">
        <v>0</v>
      </c>
      <c r="Q76" s="818">
        <v>1724.68</v>
      </c>
      <c r="R76" s="818">
        <v>1724.68</v>
      </c>
      <c r="S76" s="818">
        <v>0</v>
      </c>
      <c r="T76" s="816" t="s">
        <v>1442</v>
      </c>
      <c r="U76" s="818">
        <v>0</v>
      </c>
      <c r="V76" s="816" t="s">
        <v>1253</v>
      </c>
      <c r="W76" s="816" t="s">
        <v>1207</v>
      </c>
      <c r="Y76" s="859">
        <f t="shared" si="6"/>
        <v>3523</v>
      </c>
      <c r="Z76" s="858">
        <f t="shared" si="7"/>
        <v>0</v>
      </c>
      <c r="AA76" s="859">
        <f t="shared" si="8"/>
        <v>143.72</v>
      </c>
      <c r="AB76" s="820" t="s">
        <v>802</v>
      </c>
      <c r="AC76" s="815">
        <f t="shared" si="5"/>
        <v>0</v>
      </c>
      <c r="AD76" s="815">
        <f>IF(($Z76-($AA76*12)-SUM($AC76:AC76))&gt;0,$AA76*12,$Z76-SUM($AC76:AC76))</f>
        <v>0</v>
      </c>
      <c r="AE76" s="815">
        <f>IF(($Z76-($AA76*12)-SUM($AC76:AD76))&gt;0,$AA76*12,$Z76-SUM($AC76:AD76))</f>
        <v>0</v>
      </c>
      <c r="AF76" s="815">
        <f>IF(($Z76-($AA76*12)-SUM($AC76:AE76))&gt;0,$AA76*12,$Z76-SUM($AC76:AE76))</f>
        <v>0</v>
      </c>
      <c r="AG76" s="815">
        <f>IF(($Z76-($AA76*12)-SUM($AC76:AF76))&gt;0,$AA76*12,$Z76-SUM($AC76:AF76))</f>
        <v>0</v>
      </c>
      <c r="AH76" s="815">
        <f>IF(($Z76-($AA76*12)-SUM($AC76:AG76))&gt;0,$AA76*12,$Z76-SUM($AC76:AG76))</f>
        <v>0</v>
      </c>
      <c r="AI76" s="815">
        <f>IF(($Z76-($AA76*12)-SUM($AC76:AH76))&gt;0,$AA76*12,$Z76-SUM($AC76:AH76))</f>
        <v>0</v>
      </c>
      <c r="AJ76" s="815" t="b">
        <f t="shared" si="9"/>
        <v>1</v>
      </c>
    </row>
    <row r="77" spans="1:36" x14ac:dyDescent="0.25">
      <c r="A77" s="817" t="s">
        <v>205</v>
      </c>
      <c r="B77" s="817" t="s">
        <v>1443</v>
      </c>
      <c r="C77" s="817" t="s">
        <v>1249</v>
      </c>
      <c r="D77" s="817" t="s">
        <v>1444</v>
      </c>
      <c r="E77" s="817" t="s">
        <v>1444</v>
      </c>
      <c r="F77" s="816" t="s">
        <v>1273</v>
      </c>
      <c r="G77" s="817" t="s">
        <v>304</v>
      </c>
      <c r="H77" s="817" t="s">
        <v>1445</v>
      </c>
      <c r="I77" s="817" t="s">
        <v>346</v>
      </c>
      <c r="J77" s="818">
        <v>11240</v>
      </c>
      <c r="K77" s="818">
        <v>4683.38</v>
      </c>
      <c r="L77" s="818">
        <v>4683.38</v>
      </c>
      <c r="M77" s="818">
        <v>0</v>
      </c>
      <c r="N77" s="818">
        <v>234.16</v>
      </c>
      <c r="O77" s="818">
        <v>234.16</v>
      </c>
      <c r="P77" s="818">
        <v>0</v>
      </c>
      <c r="Q77" s="818">
        <v>2810.02</v>
      </c>
      <c r="R77" s="818">
        <v>2810.02</v>
      </c>
      <c r="S77" s="818">
        <v>0</v>
      </c>
      <c r="T77" s="816" t="s">
        <v>1446</v>
      </c>
      <c r="U77" s="818">
        <v>6556.62</v>
      </c>
      <c r="V77" s="816" t="s">
        <v>1253</v>
      </c>
      <c r="W77" s="816" t="s">
        <v>1207</v>
      </c>
      <c r="Y77" s="859">
        <f t="shared" si="6"/>
        <v>11240</v>
      </c>
      <c r="Z77" s="858">
        <f t="shared" si="7"/>
        <v>6556.62</v>
      </c>
      <c r="AA77" s="859">
        <f t="shared" si="8"/>
        <v>234.16</v>
      </c>
      <c r="AB77" s="820" t="s">
        <v>791</v>
      </c>
      <c r="AC77" s="815">
        <f t="shared" si="5"/>
        <v>2809.92</v>
      </c>
      <c r="AD77" s="815">
        <f>IF(($Z77-($AA77*12)-SUM($AC77:AC77))&gt;0,$AA77*12,$Z77-SUM($AC77:AC77))</f>
        <v>2809.92</v>
      </c>
      <c r="AE77" s="815">
        <f>IF(($Z77-($AA77*12)-SUM($AC77:AD77))&gt;0,$AA77*12,$Z77-SUM($AC77:AD77))</f>
        <v>936.77999999999975</v>
      </c>
      <c r="AF77" s="815">
        <f>IF(($Z77-($AA77*12)-SUM($AC77:AE77))&gt;0,$AA77*12,$Z77-SUM($AC77:AE77))</f>
        <v>0</v>
      </c>
      <c r="AG77" s="815">
        <f>IF(($Z77-($AA77*12)-SUM($AC77:AF77))&gt;0,$AA77*12,$Z77-SUM($AC77:AF77))</f>
        <v>0</v>
      </c>
      <c r="AH77" s="815">
        <f>IF(($Z77-($AA77*12)-SUM($AC77:AG77))&gt;0,$AA77*12,$Z77-SUM($AC77:AG77))</f>
        <v>0</v>
      </c>
      <c r="AI77" s="815">
        <f>IF(($Z77-($AA77*12)-SUM($AC77:AH77))&gt;0,$AA77*12,$Z77-SUM($AC77:AH77))</f>
        <v>0</v>
      </c>
      <c r="AJ77" s="815" t="b">
        <f t="shared" si="9"/>
        <v>1</v>
      </c>
    </row>
    <row r="78" spans="1:36" x14ac:dyDescent="0.25">
      <c r="A78" s="817" t="s">
        <v>312</v>
      </c>
      <c r="B78" s="817" t="s">
        <v>317</v>
      </c>
      <c r="C78" s="817" t="s">
        <v>1249</v>
      </c>
      <c r="D78" s="817" t="s">
        <v>1444</v>
      </c>
      <c r="E78" s="817" t="s">
        <v>1444</v>
      </c>
      <c r="F78" s="816" t="s">
        <v>1273</v>
      </c>
      <c r="G78" s="817" t="s">
        <v>304</v>
      </c>
      <c r="H78" s="817" t="s">
        <v>1445</v>
      </c>
      <c r="I78" s="817" t="s">
        <v>346</v>
      </c>
      <c r="J78" s="818">
        <v>11240</v>
      </c>
      <c r="K78" s="818">
        <v>4683.38</v>
      </c>
      <c r="L78" s="818">
        <v>4683.38</v>
      </c>
      <c r="M78" s="818">
        <v>0</v>
      </c>
      <c r="N78" s="818">
        <v>234.16</v>
      </c>
      <c r="O78" s="818">
        <v>234.16</v>
      </c>
      <c r="P78" s="818">
        <v>0</v>
      </c>
      <c r="Q78" s="818">
        <v>2810.02</v>
      </c>
      <c r="R78" s="818">
        <v>2810.02</v>
      </c>
      <c r="S78" s="818">
        <v>0</v>
      </c>
      <c r="T78" s="816" t="s">
        <v>1447</v>
      </c>
      <c r="U78" s="818">
        <v>6556.62</v>
      </c>
      <c r="V78" s="816" t="s">
        <v>1253</v>
      </c>
      <c r="W78" s="816" t="s">
        <v>1207</v>
      </c>
      <c r="Y78" s="859">
        <f t="shared" si="6"/>
        <v>11240</v>
      </c>
      <c r="Z78" s="858">
        <f t="shared" si="7"/>
        <v>6556.62</v>
      </c>
      <c r="AA78" s="859">
        <f t="shared" si="8"/>
        <v>234.16</v>
      </c>
      <c r="AB78" s="820" t="s">
        <v>791</v>
      </c>
      <c r="AC78" s="815">
        <f t="shared" si="5"/>
        <v>2809.92</v>
      </c>
      <c r="AD78" s="815">
        <f>IF(($Z78-($AA78*12)-SUM($AC78:AC78))&gt;0,$AA78*12,$Z78-SUM($AC78:AC78))</f>
        <v>2809.92</v>
      </c>
      <c r="AE78" s="815">
        <f>IF(($Z78-($AA78*12)-SUM($AC78:AD78))&gt;0,$AA78*12,$Z78-SUM($AC78:AD78))</f>
        <v>936.77999999999975</v>
      </c>
      <c r="AF78" s="815">
        <f>IF(($Z78-($AA78*12)-SUM($AC78:AE78))&gt;0,$AA78*12,$Z78-SUM($AC78:AE78))</f>
        <v>0</v>
      </c>
      <c r="AG78" s="815">
        <f>IF(($Z78-($AA78*12)-SUM($AC78:AF78))&gt;0,$AA78*12,$Z78-SUM($AC78:AF78))</f>
        <v>0</v>
      </c>
      <c r="AH78" s="815">
        <f>IF(($Z78-($AA78*12)-SUM($AC78:AG78))&gt;0,$AA78*12,$Z78-SUM($AC78:AG78))</f>
        <v>0</v>
      </c>
      <c r="AI78" s="815">
        <f>IF(($Z78-($AA78*12)-SUM($AC78:AH78))&gt;0,$AA78*12,$Z78-SUM($AC78:AH78))</f>
        <v>0</v>
      </c>
      <c r="AJ78" s="815" t="b">
        <f t="shared" si="9"/>
        <v>1</v>
      </c>
    </row>
    <row r="79" spans="1:36" x14ac:dyDescent="0.25">
      <c r="A79" s="817" t="s">
        <v>314</v>
      </c>
      <c r="B79" s="817" t="s">
        <v>1448</v>
      </c>
      <c r="C79" s="817" t="s">
        <v>1249</v>
      </c>
      <c r="D79" s="817" t="s">
        <v>1444</v>
      </c>
      <c r="E79" s="817" t="s">
        <v>1444</v>
      </c>
      <c r="F79" s="816" t="s">
        <v>1273</v>
      </c>
      <c r="G79" s="817" t="s">
        <v>304</v>
      </c>
      <c r="H79" s="817" t="s">
        <v>1445</v>
      </c>
      <c r="I79" s="817" t="s">
        <v>346</v>
      </c>
      <c r="J79" s="818">
        <v>11240</v>
      </c>
      <c r="K79" s="818">
        <v>4683.38</v>
      </c>
      <c r="L79" s="818">
        <v>4683.38</v>
      </c>
      <c r="M79" s="818">
        <v>0</v>
      </c>
      <c r="N79" s="818">
        <v>234.16</v>
      </c>
      <c r="O79" s="818">
        <v>234.16</v>
      </c>
      <c r="P79" s="818">
        <v>0</v>
      </c>
      <c r="Q79" s="818">
        <v>2810.02</v>
      </c>
      <c r="R79" s="818">
        <v>2810.02</v>
      </c>
      <c r="S79" s="818">
        <v>0</v>
      </c>
      <c r="T79" s="816" t="s">
        <v>1449</v>
      </c>
      <c r="U79" s="818">
        <v>6556.62</v>
      </c>
      <c r="V79" s="816" t="s">
        <v>1253</v>
      </c>
      <c r="W79" s="816" t="s">
        <v>1207</v>
      </c>
      <c r="Y79" s="859">
        <f t="shared" si="6"/>
        <v>11240</v>
      </c>
      <c r="Z79" s="858">
        <f t="shared" si="7"/>
        <v>6556.62</v>
      </c>
      <c r="AA79" s="859">
        <f t="shared" si="8"/>
        <v>234.16</v>
      </c>
      <c r="AB79" s="820" t="s">
        <v>791</v>
      </c>
      <c r="AC79" s="815">
        <f t="shared" si="5"/>
        <v>2809.92</v>
      </c>
      <c r="AD79" s="815">
        <f>IF(($Z79-($AA79*12)-SUM($AC79:AC79))&gt;0,$AA79*12,$Z79-SUM($AC79:AC79))</f>
        <v>2809.92</v>
      </c>
      <c r="AE79" s="815">
        <f>IF(($Z79-($AA79*12)-SUM($AC79:AD79))&gt;0,$AA79*12,$Z79-SUM($AC79:AD79))</f>
        <v>936.77999999999975</v>
      </c>
      <c r="AF79" s="815">
        <f>IF(($Z79-($AA79*12)-SUM($AC79:AE79))&gt;0,$AA79*12,$Z79-SUM($AC79:AE79))</f>
        <v>0</v>
      </c>
      <c r="AG79" s="815">
        <f>IF(($Z79-($AA79*12)-SUM($AC79:AF79))&gt;0,$AA79*12,$Z79-SUM($AC79:AF79))</f>
        <v>0</v>
      </c>
      <c r="AH79" s="815">
        <f>IF(($Z79-($AA79*12)-SUM($AC79:AG79))&gt;0,$AA79*12,$Z79-SUM($AC79:AG79))</f>
        <v>0</v>
      </c>
      <c r="AI79" s="815">
        <f>IF(($Z79-($AA79*12)-SUM($AC79:AH79))&gt;0,$AA79*12,$Z79-SUM($AC79:AH79))</f>
        <v>0</v>
      </c>
      <c r="AJ79" s="815" t="b">
        <f t="shared" si="9"/>
        <v>1</v>
      </c>
    </row>
    <row r="80" spans="1:36" x14ac:dyDescent="0.25">
      <c r="A80" s="817" t="s">
        <v>1450</v>
      </c>
      <c r="B80" s="817" t="s">
        <v>305</v>
      </c>
      <c r="C80" s="817" t="s">
        <v>1249</v>
      </c>
      <c r="D80" s="817" t="s">
        <v>1444</v>
      </c>
      <c r="E80" s="817" t="s">
        <v>1444</v>
      </c>
      <c r="F80" s="816" t="s">
        <v>1273</v>
      </c>
      <c r="G80" s="817" t="s">
        <v>304</v>
      </c>
      <c r="H80" s="817" t="s">
        <v>1445</v>
      </c>
      <c r="I80" s="817" t="s">
        <v>346</v>
      </c>
      <c r="J80" s="818">
        <v>11240</v>
      </c>
      <c r="K80" s="818">
        <v>4683.38</v>
      </c>
      <c r="L80" s="818">
        <v>4683.38</v>
      </c>
      <c r="M80" s="818">
        <v>0</v>
      </c>
      <c r="N80" s="818">
        <v>234.16</v>
      </c>
      <c r="O80" s="818">
        <v>234.16</v>
      </c>
      <c r="P80" s="818">
        <v>0</v>
      </c>
      <c r="Q80" s="818">
        <v>2810.02</v>
      </c>
      <c r="R80" s="818">
        <v>2810.02</v>
      </c>
      <c r="S80" s="818">
        <v>0</v>
      </c>
      <c r="T80" s="816" t="s">
        <v>1451</v>
      </c>
      <c r="U80" s="818">
        <v>6556.62</v>
      </c>
      <c r="V80" s="816" t="s">
        <v>1253</v>
      </c>
      <c r="W80" s="816" t="s">
        <v>1207</v>
      </c>
      <c r="Y80" s="887">
        <f t="shared" si="6"/>
        <v>11240</v>
      </c>
      <c r="Z80" s="888">
        <f t="shared" si="7"/>
        <v>6556.62</v>
      </c>
      <c r="AA80" s="887">
        <f t="shared" si="8"/>
        <v>234.16</v>
      </c>
      <c r="AB80" s="820" t="s">
        <v>791</v>
      </c>
      <c r="AC80" s="815">
        <f>IF((Z80-(AA80*12))&gt;0,AA80*12,Z80)</f>
        <v>2809.92</v>
      </c>
      <c r="AD80" s="815">
        <f>IF(($Z80-($AA80*12)-SUM($AC80:AC80))&gt;0,$AA80*12,$Z80-SUM($AC80:AC80))</f>
        <v>2809.92</v>
      </c>
      <c r="AE80" s="815">
        <f>IF(($Z80-($AA80*12)-SUM($AC80:AD80))&gt;0,$AA80*12,$Z80-SUM($AC80:AD80))</f>
        <v>936.77999999999975</v>
      </c>
      <c r="AF80" s="815">
        <f>IF(($Z80-($AA80*12)-SUM($AC80:AE80))&gt;0,$AA80*12,$Z80-SUM($AC80:AE80))</f>
        <v>0</v>
      </c>
      <c r="AG80" s="815">
        <f>IF(($Z80-($AA80*12)-SUM($AC80:AF80))&gt;0,$AA80*12,$Z80-SUM($AC80:AF80))</f>
        <v>0</v>
      </c>
      <c r="AH80" s="815">
        <f>IF(($Z80-($AA80*12)-SUM($AC80:AG80))&gt;0,$AA80*12,$Z80-SUM($AC80:AG80))</f>
        <v>0</v>
      </c>
      <c r="AI80" s="815">
        <f>IF(($Z80-($AA80*12)-SUM($AC80:AH80))&gt;0,$AA80*12,$Z80-SUM($AC80:AH80))</f>
        <v>0</v>
      </c>
      <c r="AJ80" s="815" t="b">
        <f t="shared" si="9"/>
        <v>1</v>
      </c>
    </row>
    <row r="81" spans="1:36" x14ac:dyDescent="0.25">
      <c r="A81" s="817" t="s">
        <v>310</v>
      </c>
      <c r="B81" s="817" t="s">
        <v>1452</v>
      </c>
      <c r="C81" s="817" t="s">
        <v>1249</v>
      </c>
      <c r="D81" s="817" t="s">
        <v>1444</v>
      </c>
      <c r="E81" s="817" t="s">
        <v>1444</v>
      </c>
      <c r="F81" s="816" t="s">
        <v>1273</v>
      </c>
      <c r="G81" s="817" t="s">
        <v>304</v>
      </c>
      <c r="H81" s="817" t="s">
        <v>1445</v>
      </c>
      <c r="I81" s="817" t="s">
        <v>346</v>
      </c>
      <c r="J81" s="818">
        <v>15300</v>
      </c>
      <c r="K81" s="818">
        <v>6375</v>
      </c>
      <c r="L81" s="818">
        <v>6375</v>
      </c>
      <c r="M81" s="818">
        <v>0</v>
      </c>
      <c r="N81" s="818">
        <v>318.75</v>
      </c>
      <c r="O81" s="818">
        <v>318.75</v>
      </c>
      <c r="P81" s="818">
        <v>0</v>
      </c>
      <c r="Q81" s="818">
        <v>3825</v>
      </c>
      <c r="R81" s="818">
        <v>3825</v>
      </c>
      <c r="S81" s="818">
        <v>0</v>
      </c>
      <c r="T81" s="816" t="s">
        <v>1453</v>
      </c>
      <c r="U81" s="818">
        <v>8925</v>
      </c>
      <c r="V81" s="816" t="s">
        <v>1253</v>
      </c>
      <c r="W81" s="816" t="s">
        <v>1207</v>
      </c>
      <c r="Y81" s="859">
        <f t="shared" si="6"/>
        <v>15300</v>
      </c>
      <c r="Z81" s="858">
        <f t="shared" si="7"/>
        <v>8925</v>
      </c>
      <c r="AA81" s="859">
        <f t="shared" si="8"/>
        <v>318.75</v>
      </c>
      <c r="AB81" s="820" t="s">
        <v>791</v>
      </c>
      <c r="AC81" s="815">
        <f t="shared" ref="AC81:AC89" si="10">IF((Z81-(AA81*12))&gt;0,AA81*12,Z81)</f>
        <v>3825</v>
      </c>
      <c r="AD81" s="815">
        <f>IF(($Z81-($AA81*12)-SUM($AC81:AC81))&gt;0,$AA81*12,$Z81-SUM($AC81:AC81))</f>
        <v>3825</v>
      </c>
      <c r="AE81" s="815">
        <f>IF(($Z81-($AA81*12)-SUM($AC81:AD81))&gt;0,$AA81*12,$Z81-SUM($AC81:AD81))</f>
        <v>1275</v>
      </c>
      <c r="AF81" s="815">
        <f>IF(($Z81-($AA81*12)-SUM($AC81:AE81))&gt;0,$AA81*12,$Z81-SUM($AC81:AE81))</f>
        <v>0</v>
      </c>
      <c r="AG81" s="815">
        <f>IF(($Z81-($AA81*12)-SUM($AC81:AF81))&gt;0,$AA81*12,$Z81-SUM($AC81:AF81))</f>
        <v>0</v>
      </c>
      <c r="AH81" s="815">
        <f>IF(($Z81-($AA81*12)-SUM($AC81:AG81))&gt;0,$AA81*12,$Z81-SUM($AC81:AG81))</f>
        <v>0</v>
      </c>
      <c r="AI81" s="815">
        <f>IF(($Z81-($AA81*12)-SUM($AC81:AH81))&gt;0,$AA81*12,$Z81-SUM($AC81:AH81))</f>
        <v>0</v>
      </c>
      <c r="AJ81" s="815" t="b">
        <f t="shared" si="9"/>
        <v>1</v>
      </c>
    </row>
    <row r="82" spans="1:36" x14ac:dyDescent="0.25">
      <c r="A82" s="817" t="s">
        <v>340</v>
      </c>
      <c r="B82" s="817" t="s">
        <v>1454</v>
      </c>
      <c r="C82" s="817" t="s">
        <v>1249</v>
      </c>
      <c r="D82" s="817" t="s">
        <v>1444</v>
      </c>
      <c r="E82" s="817" t="s">
        <v>1444</v>
      </c>
      <c r="F82" s="816" t="s">
        <v>1273</v>
      </c>
      <c r="G82" s="817" t="s">
        <v>304</v>
      </c>
      <c r="H82" s="817" t="s">
        <v>1445</v>
      </c>
      <c r="I82" s="817" t="s">
        <v>346</v>
      </c>
      <c r="J82" s="818">
        <v>16223.29</v>
      </c>
      <c r="K82" s="818">
        <v>6759.71</v>
      </c>
      <c r="L82" s="818">
        <v>6759.71</v>
      </c>
      <c r="M82" s="818">
        <v>0</v>
      </c>
      <c r="N82" s="818">
        <v>337.98</v>
      </c>
      <c r="O82" s="818">
        <v>337.98</v>
      </c>
      <c r="P82" s="818">
        <v>0</v>
      </c>
      <c r="Q82" s="818">
        <v>4055.82</v>
      </c>
      <c r="R82" s="818">
        <v>4055.82</v>
      </c>
      <c r="S82" s="818">
        <v>0</v>
      </c>
      <c r="T82" s="816" t="s">
        <v>1455</v>
      </c>
      <c r="U82" s="818">
        <v>9463.58</v>
      </c>
      <c r="V82" s="816" t="s">
        <v>1253</v>
      </c>
      <c r="W82" s="816" t="s">
        <v>1207</v>
      </c>
      <c r="Y82" s="859">
        <f t="shared" si="6"/>
        <v>16223.29</v>
      </c>
      <c r="Z82" s="858">
        <f t="shared" si="7"/>
        <v>9463.5800000000017</v>
      </c>
      <c r="AA82" s="859">
        <f t="shared" si="8"/>
        <v>337.98</v>
      </c>
      <c r="AB82" s="820" t="s">
        <v>791</v>
      </c>
      <c r="AC82" s="815">
        <f t="shared" si="10"/>
        <v>4055.76</v>
      </c>
      <c r="AD82" s="815">
        <f>IF(($Z82-($AA82*12)-SUM($AC82:AC82))&gt;0,$AA82*12,$Z82-SUM($AC82:AC82))</f>
        <v>4055.76</v>
      </c>
      <c r="AE82" s="815">
        <f>IF(($Z82-($AA82*12)-SUM($AC82:AD82))&gt;0,$AA82*12,$Z82-SUM($AC82:AD82))</f>
        <v>1352.0600000000013</v>
      </c>
      <c r="AF82" s="815">
        <f>IF(($Z82-($AA82*12)-SUM($AC82:AE82))&gt;0,$AA82*12,$Z82-SUM($AC82:AE82))</f>
        <v>0</v>
      </c>
      <c r="AG82" s="815">
        <f>IF(($Z82-($AA82*12)-SUM($AC82:AF82))&gt;0,$AA82*12,$Z82-SUM($AC82:AF82))</f>
        <v>0</v>
      </c>
      <c r="AH82" s="815">
        <f>IF(($Z82-($AA82*12)-SUM($AC82:AG82))&gt;0,$AA82*12,$Z82-SUM($AC82:AG82))</f>
        <v>0</v>
      </c>
      <c r="AI82" s="815">
        <f>IF(($Z82-($AA82*12)-SUM($AC82:AH82))&gt;0,$AA82*12,$Z82-SUM($AC82:AH82))</f>
        <v>0</v>
      </c>
      <c r="AJ82" s="815" t="b">
        <f t="shared" si="9"/>
        <v>1</v>
      </c>
    </row>
    <row r="83" spans="1:36" x14ac:dyDescent="0.25">
      <c r="A83" s="817" t="s">
        <v>332</v>
      </c>
      <c r="B83" s="817" t="s">
        <v>1456</v>
      </c>
      <c r="C83" s="817" t="s">
        <v>1249</v>
      </c>
      <c r="D83" s="817" t="s">
        <v>1444</v>
      </c>
      <c r="E83" s="817" t="s">
        <v>1444</v>
      </c>
      <c r="F83" s="816" t="s">
        <v>1273</v>
      </c>
      <c r="G83" s="817" t="s">
        <v>304</v>
      </c>
      <c r="H83" s="817" t="s">
        <v>1445</v>
      </c>
      <c r="I83" s="817" t="s">
        <v>346</v>
      </c>
      <c r="J83" s="818">
        <v>16223.29</v>
      </c>
      <c r="K83" s="818">
        <v>6759.71</v>
      </c>
      <c r="L83" s="818">
        <v>6759.71</v>
      </c>
      <c r="M83" s="818">
        <v>0</v>
      </c>
      <c r="N83" s="818">
        <v>337.98</v>
      </c>
      <c r="O83" s="818">
        <v>337.98</v>
      </c>
      <c r="P83" s="818">
        <v>0</v>
      </c>
      <c r="Q83" s="818">
        <v>4055.82</v>
      </c>
      <c r="R83" s="818">
        <v>4055.82</v>
      </c>
      <c r="S83" s="818">
        <v>0</v>
      </c>
      <c r="T83" s="816" t="s">
        <v>1457</v>
      </c>
      <c r="U83" s="818">
        <v>9463.58</v>
      </c>
      <c r="V83" s="816" t="s">
        <v>1253</v>
      </c>
      <c r="W83" s="816" t="s">
        <v>1207</v>
      </c>
      <c r="Y83" s="859">
        <f t="shared" si="6"/>
        <v>16223.29</v>
      </c>
      <c r="Z83" s="858">
        <f t="shared" si="7"/>
        <v>9463.5800000000017</v>
      </c>
      <c r="AA83" s="859">
        <f t="shared" si="8"/>
        <v>337.98</v>
      </c>
      <c r="AB83" s="820" t="s">
        <v>791</v>
      </c>
      <c r="AC83" s="815">
        <f t="shared" si="10"/>
        <v>4055.76</v>
      </c>
      <c r="AD83" s="815">
        <f>IF(($Z83-($AA83*12)-SUM($AC83:AC83))&gt;0,$AA83*12,$Z83-SUM($AC83:AC83))</f>
        <v>4055.76</v>
      </c>
      <c r="AE83" s="815">
        <f>IF(($Z83-($AA83*12)-SUM($AC83:AD83))&gt;0,$AA83*12,$Z83-SUM($AC83:AD83))</f>
        <v>1352.0600000000013</v>
      </c>
      <c r="AF83" s="815">
        <f>IF(($Z83-($AA83*12)-SUM($AC83:AE83))&gt;0,$AA83*12,$Z83-SUM($AC83:AE83))</f>
        <v>0</v>
      </c>
      <c r="AG83" s="815">
        <f>IF(($Z83-($AA83*12)-SUM($AC83:AF83))&gt;0,$AA83*12,$Z83-SUM($AC83:AF83))</f>
        <v>0</v>
      </c>
      <c r="AH83" s="815">
        <f>IF(($Z83-($AA83*12)-SUM($AC83:AG83))&gt;0,$AA83*12,$Z83-SUM($AC83:AG83))</f>
        <v>0</v>
      </c>
      <c r="AI83" s="815">
        <f>IF(($Z83-($AA83*12)-SUM($AC83:AH83))&gt;0,$AA83*12,$Z83-SUM($AC83:AH83))</f>
        <v>0</v>
      </c>
      <c r="AJ83" s="815" t="b">
        <f t="shared" si="9"/>
        <v>1</v>
      </c>
    </row>
    <row r="84" spans="1:36" x14ac:dyDescent="0.25">
      <c r="A84" s="817" t="s">
        <v>318</v>
      </c>
      <c r="B84" s="817" t="s">
        <v>1458</v>
      </c>
      <c r="C84" s="817" t="s">
        <v>1249</v>
      </c>
      <c r="D84" s="817" t="s">
        <v>1459</v>
      </c>
      <c r="E84" s="817" t="s">
        <v>1459</v>
      </c>
      <c r="F84" s="816" t="s">
        <v>1284</v>
      </c>
      <c r="G84" s="817" t="s">
        <v>298</v>
      </c>
      <c r="H84" s="817" t="s">
        <v>1460</v>
      </c>
      <c r="I84" s="817" t="s">
        <v>346</v>
      </c>
      <c r="J84" s="818">
        <v>5938.9000000000005</v>
      </c>
      <c r="K84" s="818">
        <v>1484.71</v>
      </c>
      <c r="L84" s="818">
        <v>1484.71</v>
      </c>
      <c r="M84" s="818">
        <v>0</v>
      </c>
      <c r="N84" s="818">
        <v>247.45000000000002</v>
      </c>
      <c r="O84" s="818">
        <v>247.45000000000002</v>
      </c>
      <c r="P84" s="818">
        <v>0</v>
      </c>
      <c r="Q84" s="818">
        <v>1484.71</v>
      </c>
      <c r="R84" s="818">
        <v>1484.71</v>
      </c>
      <c r="S84" s="818">
        <v>0</v>
      </c>
      <c r="T84" s="816" t="s">
        <v>1461</v>
      </c>
      <c r="U84" s="818">
        <v>4454.1900000000005</v>
      </c>
      <c r="V84" s="816" t="s">
        <v>1253</v>
      </c>
      <c r="W84" s="816" t="s">
        <v>1207</v>
      </c>
      <c r="Y84" s="859">
        <f t="shared" si="6"/>
        <v>5938.9000000000005</v>
      </c>
      <c r="Z84" s="858">
        <f t="shared" si="7"/>
        <v>4454.1900000000005</v>
      </c>
      <c r="AA84" s="859">
        <f t="shared" si="8"/>
        <v>247.45000000000002</v>
      </c>
      <c r="AB84" s="820" t="s">
        <v>802</v>
      </c>
      <c r="AC84" s="815">
        <f t="shared" si="10"/>
        <v>2969.4</v>
      </c>
      <c r="AD84" s="815">
        <f>IF(($Z84-($AA84*12)-SUM($AC84:AC84))&gt;0,$AA84*12,$Z84-SUM($AC84:AC84))</f>
        <v>1484.7900000000004</v>
      </c>
      <c r="AE84" s="815">
        <f>IF(($Z84-($AA84*12)-SUM($AC84:AD84))&gt;0,$AA84*12,$Z84-SUM($AC84:AD84))</f>
        <v>0</v>
      </c>
      <c r="AF84" s="815">
        <f>IF(($Z84-($AA84*12)-SUM($AC84:AE84))&gt;0,$AA84*12,$Z84-SUM($AC84:AE84))</f>
        <v>0</v>
      </c>
      <c r="AG84" s="815">
        <f>IF(($Z84-($AA84*12)-SUM($AC84:AF84))&gt;0,$AA84*12,$Z84-SUM($AC84:AF84))</f>
        <v>0</v>
      </c>
      <c r="AH84" s="815">
        <f>IF(($Z84-($AA84*12)-SUM($AC84:AG84))&gt;0,$AA84*12,$Z84-SUM($AC84:AG84))</f>
        <v>0</v>
      </c>
      <c r="AI84" s="815">
        <f>IF(($Z84-($AA84*12)-SUM($AC84:AH84))&gt;0,$AA84*12,$Z84-SUM($AC84:AH84))</f>
        <v>0</v>
      </c>
      <c r="AJ84" s="815" t="b">
        <f t="shared" si="9"/>
        <v>1</v>
      </c>
    </row>
    <row r="85" spans="1:36" x14ac:dyDescent="0.25">
      <c r="A85" s="817" t="s">
        <v>1310</v>
      </c>
      <c r="B85" s="817" t="s">
        <v>1462</v>
      </c>
      <c r="C85" s="817" t="s">
        <v>1249</v>
      </c>
      <c r="D85" s="817" t="s">
        <v>1463</v>
      </c>
      <c r="E85" s="817" t="s">
        <v>1463</v>
      </c>
      <c r="F85" s="816" t="s">
        <v>1264</v>
      </c>
      <c r="G85" s="817" t="s">
        <v>304</v>
      </c>
      <c r="H85" s="817" t="s">
        <v>1464</v>
      </c>
      <c r="I85" s="817" t="s">
        <v>346</v>
      </c>
      <c r="J85" s="818">
        <v>26775.600000000002</v>
      </c>
      <c r="K85" s="818">
        <v>0</v>
      </c>
      <c r="L85" s="818">
        <v>0</v>
      </c>
      <c r="M85" s="818">
        <v>0</v>
      </c>
      <c r="N85" s="818">
        <v>0</v>
      </c>
      <c r="O85" s="818">
        <v>0</v>
      </c>
      <c r="P85" s="818">
        <v>0</v>
      </c>
      <c r="Q85" s="818">
        <v>0</v>
      </c>
      <c r="R85" s="818">
        <v>0</v>
      </c>
      <c r="S85" s="818">
        <v>0</v>
      </c>
      <c r="T85" s="816" t="s">
        <v>1465</v>
      </c>
      <c r="U85" s="818">
        <v>26775.600000000002</v>
      </c>
      <c r="V85" s="816" t="s">
        <v>1253</v>
      </c>
      <c r="W85" s="816" t="s">
        <v>1207</v>
      </c>
      <c r="Y85" s="859">
        <f t="shared" si="6"/>
        <v>26775.600000000002</v>
      </c>
      <c r="Z85" s="858">
        <f t="shared" si="7"/>
        <v>26775.600000000002</v>
      </c>
      <c r="AA85" s="859">
        <f t="shared" si="8"/>
        <v>0</v>
      </c>
      <c r="AB85" s="820" t="s">
        <v>791</v>
      </c>
      <c r="AC85" s="815">
        <f t="shared" si="10"/>
        <v>0</v>
      </c>
      <c r="AD85" s="815">
        <f>IF(($Z85-($AA85*12)-SUM($AC85:AC85))&gt;0,$AA85*12,$Z85-SUM($AC85:AC85))</f>
        <v>0</v>
      </c>
      <c r="AE85" s="815">
        <f>IF(($Z85-($AA85*12)-SUM($AC85:AD85))&gt;0,$AA85*12,$Z85-SUM($AC85:AD85))</f>
        <v>0</v>
      </c>
      <c r="AF85" s="815">
        <f>IF(($Z85-($AA85*12)-SUM($AC85:AE85))&gt;0,$AA85*12,$Z85-SUM($AC85:AE85))</f>
        <v>0</v>
      </c>
      <c r="AG85" s="815">
        <f>IF(($Z85-($AA85*12)-SUM($AC85:AF85))&gt;0,$AA85*12,$Z85-SUM($AC85:AF85))</f>
        <v>0</v>
      </c>
      <c r="AH85" s="815">
        <f>IF(($Z85-($AA85*12)-SUM($AC85:AG85))&gt;0,$AA85*12,$Z85-SUM($AC85:AG85))</f>
        <v>0</v>
      </c>
      <c r="AI85" s="815">
        <f>IF(($Z85-($AA85*12)-SUM($AC85:AH85))&gt;0,$AA85*12,$Z85-SUM($AC85:AH85))</f>
        <v>0</v>
      </c>
      <c r="AJ85" s="815" t="b">
        <f t="shared" si="9"/>
        <v>0</v>
      </c>
    </row>
    <row r="86" spans="1:36" x14ac:dyDescent="0.25">
      <c r="A86" s="817" t="s">
        <v>337</v>
      </c>
      <c r="B86" s="817" t="s">
        <v>300</v>
      </c>
      <c r="C86" s="817" t="s">
        <v>1249</v>
      </c>
      <c r="D86" s="817" t="s">
        <v>1466</v>
      </c>
      <c r="E86" s="817" t="s">
        <v>1466</v>
      </c>
      <c r="F86" s="816" t="s">
        <v>1264</v>
      </c>
      <c r="G86" s="817" t="s">
        <v>304</v>
      </c>
      <c r="H86" s="817" t="s">
        <v>721</v>
      </c>
      <c r="I86" s="817" t="s">
        <v>346</v>
      </c>
      <c r="J86" s="818">
        <v>31353.65</v>
      </c>
      <c r="K86" s="818">
        <v>0</v>
      </c>
      <c r="L86" s="818">
        <v>0</v>
      </c>
      <c r="M86" s="818">
        <v>0</v>
      </c>
      <c r="N86" s="818">
        <v>0</v>
      </c>
      <c r="O86" s="818">
        <v>0</v>
      </c>
      <c r="P86" s="818">
        <v>0</v>
      </c>
      <c r="Q86" s="818">
        <v>0</v>
      </c>
      <c r="R86" s="818">
        <v>0</v>
      </c>
      <c r="S86" s="818">
        <v>0</v>
      </c>
      <c r="T86" s="816" t="s">
        <v>1467</v>
      </c>
      <c r="U86" s="818">
        <v>31353.65</v>
      </c>
      <c r="V86" s="816" t="s">
        <v>1253</v>
      </c>
      <c r="W86" s="816" t="s">
        <v>1207</v>
      </c>
      <c r="Y86" s="859">
        <f t="shared" si="6"/>
        <v>31353.65</v>
      </c>
      <c r="Z86" s="858">
        <f t="shared" si="7"/>
        <v>31353.65</v>
      </c>
      <c r="AA86" s="859">
        <f t="shared" si="8"/>
        <v>0</v>
      </c>
      <c r="AB86" s="820" t="s">
        <v>791</v>
      </c>
      <c r="AC86" s="815">
        <f t="shared" si="10"/>
        <v>0</v>
      </c>
      <c r="AD86" s="815">
        <f>IF(($Z86-($AA86*12)-SUM($AC86:AC86))&gt;0,$AA86*12,$Z86-SUM($AC86:AC86))</f>
        <v>0</v>
      </c>
      <c r="AE86" s="815">
        <f>IF(($Z86-($AA86*12)-SUM($AC86:AD86))&gt;0,$AA86*12,$Z86-SUM($AC86:AD86))</f>
        <v>0</v>
      </c>
      <c r="AF86" s="815">
        <f>IF(($Z86-($AA86*12)-SUM($AC86:AE86))&gt;0,$AA86*12,$Z86-SUM($AC86:AE86))</f>
        <v>0</v>
      </c>
      <c r="AG86" s="815">
        <f>IF(($Z86-($AA86*12)-SUM($AC86:AF86))&gt;0,$AA86*12,$Z86-SUM($AC86:AF86))</f>
        <v>0</v>
      </c>
      <c r="AH86" s="815">
        <f>IF(($Z86-($AA86*12)-SUM($AC86:AG86))&gt;0,$AA86*12,$Z86-SUM($AC86:AG86))</f>
        <v>0</v>
      </c>
      <c r="AI86" s="815">
        <f>IF(($Z86-($AA86*12)-SUM($AC86:AH86))&gt;0,$AA86*12,$Z86-SUM($AC86:AH86))</f>
        <v>0</v>
      </c>
      <c r="AJ86" s="815" t="b">
        <f t="shared" si="9"/>
        <v>0</v>
      </c>
    </row>
    <row r="87" spans="1:36" x14ac:dyDescent="0.25">
      <c r="A87" s="817" t="s">
        <v>334</v>
      </c>
      <c r="B87" s="817" t="s">
        <v>1468</v>
      </c>
      <c r="C87" s="817" t="s">
        <v>1249</v>
      </c>
      <c r="D87" s="817" t="s">
        <v>1466</v>
      </c>
      <c r="E87" s="817" t="s">
        <v>1466</v>
      </c>
      <c r="F87" s="816" t="s">
        <v>1264</v>
      </c>
      <c r="G87" s="817" t="s">
        <v>304</v>
      </c>
      <c r="H87" s="817" t="s">
        <v>721</v>
      </c>
      <c r="I87" s="817" t="s">
        <v>346</v>
      </c>
      <c r="J87" s="818">
        <v>63625.590000000004</v>
      </c>
      <c r="K87" s="818">
        <v>0</v>
      </c>
      <c r="L87" s="818">
        <v>0</v>
      </c>
      <c r="M87" s="818">
        <v>0</v>
      </c>
      <c r="N87" s="818">
        <v>0</v>
      </c>
      <c r="O87" s="818">
        <v>0</v>
      </c>
      <c r="P87" s="818">
        <v>0</v>
      </c>
      <c r="Q87" s="818">
        <v>0</v>
      </c>
      <c r="R87" s="818">
        <v>0</v>
      </c>
      <c r="S87" s="818">
        <v>0</v>
      </c>
      <c r="T87" s="884" t="s">
        <v>1469</v>
      </c>
      <c r="U87" s="818">
        <v>63625.590000000004</v>
      </c>
      <c r="V87" s="816" t="s">
        <v>1253</v>
      </c>
      <c r="W87" s="816" t="s">
        <v>1207</v>
      </c>
      <c r="Y87" s="859">
        <f t="shared" si="6"/>
        <v>63625.590000000004</v>
      </c>
      <c r="Z87" s="858">
        <f t="shared" si="7"/>
        <v>63625.590000000004</v>
      </c>
      <c r="AA87" s="859">
        <f t="shared" si="8"/>
        <v>0</v>
      </c>
      <c r="AB87" s="820" t="s">
        <v>791</v>
      </c>
      <c r="AC87" s="815">
        <f t="shared" si="10"/>
        <v>0</v>
      </c>
      <c r="AD87" s="815">
        <f>IF(($Z87-($AA87*12)-SUM($AC87:AC87))&gt;0,$AA87*12,$Z87-SUM($AC87:AC87))</f>
        <v>0</v>
      </c>
      <c r="AE87" s="815">
        <f>IF(($Z87-($AA87*12)-SUM($AC87:AD87))&gt;0,$AA87*12,$Z87-SUM($AC87:AD87))</f>
        <v>0</v>
      </c>
      <c r="AF87" s="815">
        <f>IF(($Z87-($AA87*12)-SUM($AC87:AE87))&gt;0,$AA87*12,$Z87-SUM($AC87:AE87))</f>
        <v>0</v>
      </c>
      <c r="AG87" s="815">
        <f>IF(($Z87-($AA87*12)-SUM($AC87:AF87))&gt;0,$AA87*12,$Z87-SUM($AC87:AF87))</f>
        <v>0</v>
      </c>
      <c r="AH87" s="815">
        <f>IF(($Z87-($AA87*12)-SUM($AC87:AG87))&gt;0,$AA87*12,$Z87-SUM($AC87:AG87))</f>
        <v>0</v>
      </c>
      <c r="AI87" s="815">
        <f>IF(($Z87-($AA87*12)-SUM($AC87:AH87))&gt;0,$AA87*12,$Z87-SUM($AC87:AH87))</f>
        <v>0</v>
      </c>
      <c r="AJ87" s="815" t="b">
        <f t="shared" si="9"/>
        <v>0</v>
      </c>
    </row>
    <row r="88" spans="1:36" x14ac:dyDescent="0.25">
      <c r="A88" s="817" t="s">
        <v>1313</v>
      </c>
      <c r="B88" s="817" t="s">
        <v>324</v>
      </c>
      <c r="C88" s="817" t="s">
        <v>1249</v>
      </c>
      <c r="D88" s="817" t="s">
        <v>1470</v>
      </c>
      <c r="E88" s="817" t="s">
        <v>1470</v>
      </c>
      <c r="F88" s="816" t="s">
        <v>1471</v>
      </c>
      <c r="G88" s="817" t="s">
        <v>204</v>
      </c>
      <c r="H88" s="817" t="s">
        <v>721</v>
      </c>
      <c r="I88" s="817" t="s">
        <v>346</v>
      </c>
      <c r="J88" s="818">
        <v>1042.02</v>
      </c>
      <c r="K88" s="818">
        <v>1042.02</v>
      </c>
      <c r="L88" s="818">
        <v>1042.02</v>
      </c>
      <c r="M88" s="818">
        <v>0</v>
      </c>
      <c r="N88" s="818">
        <v>0</v>
      </c>
      <c r="O88" s="818">
        <v>0</v>
      </c>
      <c r="P88" s="818">
        <v>0</v>
      </c>
      <c r="Q88" s="818">
        <v>0</v>
      </c>
      <c r="R88" s="818">
        <v>0</v>
      </c>
      <c r="S88" s="818">
        <v>0</v>
      </c>
      <c r="T88" s="816" t="s">
        <v>1472</v>
      </c>
      <c r="U88" s="818">
        <v>0</v>
      </c>
      <c r="V88" s="816" t="s">
        <v>1253</v>
      </c>
      <c r="W88" s="816" t="s">
        <v>1207</v>
      </c>
      <c r="Y88" s="859">
        <f t="shared" si="6"/>
        <v>1042.02</v>
      </c>
      <c r="Z88" s="858">
        <f t="shared" si="7"/>
        <v>0</v>
      </c>
      <c r="AA88" s="859">
        <f t="shared" si="8"/>
        <v>0</v>
      </c>
      <c r="AB88" s="820" t="s">
        <v>802</v>
      </c>
      <c r="AC88" s="815">
        <f t="shared" si="10"/>
        <v>0</v>
      </c>
      <c r="AD88" s="815">
        <f>IF(($Z88-($AA88*12)-SUM($AC88:AC88))&gt;0,$AA88*12,$Z88-SUM($AC88:AC88))</f>
        <v>0</v>
      </c>
      <c r="AE88" s="815">
        <f>IF(($Z88-($AA88*12)-SUM($AC88:AD88))&gt;0,$AA88*12,$Z88-SUM($AC88:AD88))</f>
        <v>0</v>
      </c>
      <c r="AF88" s="815">
        <f>IF(($Z88-($AA88*12)-SUM($AC88:AE88))&gt;0,$AA88*12,$Z88-SUM($AC88:AE88))</f>
        <v>0</v>
      </c>
      <c r="AG88" s="815">
        <f>IF(($Z88-($AA88*12)-SUM($AC88:AF88))&gt;0,$AA88*12,$Z88-SUM($AC88:AF88))</f>
        <v>0</v>
      </c>
      <c r="AH88" s="815">
        <f>IF(($Z88-($AA88*12)-SUM($AC88:AG88))&gt;0,$AA88*12,$Z88-SUM($AC88:AG88))</f>
        <v>0</v>
      </c>
      <c r="AI88" s="815">
        <f>IF(($Z88-($AA88*12)-SUM($AC88:AH88))&gt;0,$AA88*12,$Z88-SUM($AC88:AH88))</f>
        <v>0</v>
      </c>
      <c r="AJ88" s="815" t="b">
        <f t="shared" si="9"/>
        <v>1</v>
      </c>
    </row>
    <row r="89" spans="1:36" x14ac:dyDescent="0.25">
      <c r="A89" s="817" t="s">
        <v>1473</v>
      </c>
      <c r="B89" s="817">
        <v>21</v>
      </c>
      <c r="C89" s="817" t="s">
        <v>1249</v>
      </c>
      <c r="D89" s="817" t="s">
        <v>1474</v>
      </c>
      <c r="E89" s="817" t="s">
        <v>1474</v>
      </c>
      <c r="F89" s="816" t="s">
        <v>1475</v>
      </c>
      <c r="G89" s="817" t="s">
        <v>301</v>
      </c>
      <c r="H89" s="817" t="s">
        <v>721</v>
      </c>
      <c r="I89" s="817" t="s">
        <v>1254</v>
      </c>
      <c r="J89" s="818">
        <v>3725.72</v>
      </c>
      <c r="K89" s="818">
        <v>3725.72</v>
      </c>
      <c r="L89" s="818">
        <v>3725.72</v>
      </c>
      <c r="M89" s="818">
        <v>0</v>
      </c>
      <c r="N89" s="818">
        <v>0</v>
      </c>
      <c r="O89" s="818">
        <v>0</v>
      </c>
      <c r="P89" s="818">
        <v>0</v>
      </c>
      <c r="Q89" s="818">
        <v>0</v>
      </c>
      <c r="R89" s="818">
        <v>0</v>
      </c>
      <c r="S89" s="818">
        <v>0</v>
      </c>
      <c r="T89" s="816" t="s">
        <v>1476</v>
      </c>
      <c r="U89" s="818">
        <v>0</v>
      </c>
      <c r="V89" s="816" t="s">
        <v>1253</v>
      </c>
      <c r="W89" s="816" t="s">
        <v>1207</v>
      </c>
      <c r="Y89" s="859">
        <f t="shared" si="6"/>
        <v>3725.72</v>
      </c>
      <c r="Z89" s="858">
        <f t="shared" si="7"/>
        <v>0</v>
      </c>
      <c r="AA89" s="859">
        <f t="shared" si="8"/>
        <v>0</v>
      </c>
      <c r="AB89" s="820" t="s">
        <v>802</v>
      </c>
      <c r="AC89" s="815">
        <f t="shared" si="10"/>
        <v>0</v>
      </c>
      <c r="AD89" s="815">
        <f>IF(($Z89-($AA89*12)-SUM($AC89:AC89))&gt;0,$AA89*12,$Z89-SUM($AC89:AC89))</f>
        <v>0</v>
      </c>
      <c r="AE89" s="815">
        <f>IF(($Z89-($AA89*12)-SUM($AC89:AD89))&gt;0,$AA89*12,$Z89-SUM($AC89:AD89))</f>
        <v>0</v>
      </c>
      <c r="AF89" s="815">
        <f>IF(($Z89-($AA89*12)-SUM($AC89:AE89))&gt;0,$AA89*12,$Z89-SUM($AC89:AE89))</f>
        <v>0</v>
      </c>
      <c r="AG89" s="815">
        <f>IF(($Z89-($AA89*12)-SUM($AC89:AF89))&gt;0,$AA89*12,$Z89-SUM($AC89:AF89))</f>
        <v>0</v>
      </c>
      <c r="AH89" s="815">
        <f>IF(($Z89-($AA89*12)-SUM($AC89:AG89))&gt;0,$AA89*12,$Z89-SUM($AC89:AG89))</f>
        <v>0</v>
      </c>
      <c r="AI89" s="815">
        <f>IF(($Z89-($AA89*12)-SUM($AC89:AH89))&gt;0,$AA89*12,$Z89-SUM($AC89:AH89))</f>
        <v>0</v>
      </c>
      <c r="AJ89" s="815" t="b">
        <f t="shared" si="9"/>
        <v>1</v>
      </c>
    </row>
    <row r="90" spans="1:36" x14ac:dyDescent="0.25">
      <c r="A90" s="817" t="s">
        <v>1477</v>
      </c>
      <c r="B90" s="817" t="s">
        <v>1339</v>
      </c>
      <c r="C90" s="817" t="s">
        <v>1249</v>
      </c>
      <c r="D90" s="817" t="s">
        <v>1478</v>
      </c>
      <c r="E90" s="817" t="s">
        <v>1478</v>
      </c>
      <c r="F90" s="816" t="s">
        <v>1479</v>
      </c>
      <c r="G90" s="817" t="s">
        <v>301</v>
      </c>
      <c r="H90" s="817" t="s">
        <v>721</v>
      </c>
      <c r="I90" s="817" t="s">
        <v>346</v>
      </c>
      <c r="J90" s="818">
        <v>8237.25</v>
      </c>
      <c r="K90" s="818">
        <v>8237.25</v>
      </c>
      <c r="L90" s="818">
        <v>8237.25</v>
      </c>
      <c r="M90" s="818">
        <v>0</v>
      </c>
      <c r="N90" s="818">
        <v>0</v>
      </c>
      <c r="O90" s="818">
        <v>0</v>
      </c>
      <c r="P90" s="818">
        <v>0</v>
      </c>
      <c r="Q90" s="818">
        <v>0</v>
      </c>
      <c r="R90" s="818">
        <v>0</v>
      </c>
      <c r="S90" s="818">
        <v>0</v>
      </c>
      <c r="T90" s="816" t="s">
        <v>1480</v>
      </c>
      <c r="U90" s="818">
        <v>0</v>
      </c>
      <c r="V90" s="816" t="s">
        <v>1253</v>
      </c>
      <c r="W90" s="816" t="s">
        <v>1207</v>
      </c>
      <c r="Y90" s="859">
        <f t="shared" si="6"/>
        <v>8237.25</v>
      </c>
      <c r="Z90" s="858">
        <f t="shared" si="7"/>
        <v>0</v>
      </c>
      <c r="AA90" s="859">
        <f t="shared" si="8"/>
        <v>0</v>
      </c>
      <c r="AB90" s="820"/>
      <c r="AJ90" s="815" t="b">
        <f t="shared" si="9"/>
        <v>1</v>
      </c>
    </row>
    <row r="91" spans="1:36" x14ac:dyDescent="0.25">
      <c r="A91" s="817" t="s">
        <v>325</v>
      </c>
      <c r="B91" s="817" t="s">
        <v>1365</v>
      </c>
      <c r="C91" s="817" t="s">
        <v>1249</v>
      </c>
      <c r="D91" s="817" t="s">
        <v>1481</v>
      </c>
      <c r="E91" s="817" t="s">
        <v>1481</v>
      </c>
      <c r="F91" s="816" t="s">
        <v>1471</v>
      </c>
      <c r="G91" s="817" t="s">
        <v>304</v>
      </c>
      <c r="H91" s="817" t="s">
        <v>721</v>
      </c>
      <c r="I91" s="817" t="s">
        <v>346</v>
      </c>
      <c r="J91" s="818">
        <v>3495.2400000000002</v>
      </c>
      <c r="K91" s="818">
        <v>3495.2400000000002</v>
      </c>
      <c r="L91" s="818">
        <v>3495.2400000000002</v>
      </c>
      <c r="M91" s="818">
        <v>0</v>
      </c>
      <c r="N91" s="818">
        <v>0</v>
      </c>
      <c r="O91" s="818">
        <v>0</v>
      </c>
      <c r="P91" s="818">
        <v>0</v>
      </c>
      <c r="Q91" s="818">
        <v>0</v>
      </c>
      <c r="R91" s="818">
        <v>0</v>
      </c>
      <c r="S91" s="818">
        <v>0</v>
      </c>
      <c r="T91" s="816" t="s">
        <v>1482</v>
      </c>
      <c r="U91" s="818">
        <v>0</v>
      </c>
      <c r="V91" s="816" t="s">
        <v>1253</v>
      </c>
      <c r="W91" s="816" t="s">
        <v>1207</v>
      </c>
      <c r="Y91" s="859">
        <f t="shared" si="6"/>
        <v>3495.2400000000002</v>
      </c>
      <c r="Z91" s="858">
        <f t="shared" si="7"/>
        <v>0</v>
      </c>
      <c r="AA91" s="859">
        <f t="shared" si="8"/>
        <v>0</v>
      </c>
      <c r="AB91" s="820"/>
      <c r="AJ91" s="815" t="b">
        <f t="shared" si="9"/>
        <v>1</v>
      </c>
    </row>
    <row r="92" spans="1:36" x14ac:dyDescent="0.25">
      <c r="A92" s="817" t="s">
        <v>335</v>
      </c>
      <c r="B92" s="817" t="s">
        <v>193</v>
      </c>
      <c r="C92" s="817" t="s">
        <v>1249</v>
      </c>
      <c r="D92" s="817" t="s">
        <v>1481</v>
      </c>
      <c r="E92" s="817" t="s">
        <v>1481</v>
      </c>
      <c r="F92" s="816" t="s">
        <v>1471</v>
      </c>
      <c r="G92" s="817" t="s">
        <v>304</v>
      </c>
      <c r="H92" s="817" t="s">
        <v>721</v>
      </c>
      <c r="I92" s="817" t="s">
        <v>346</v>
      </c>
      <c r="J92" s="818">
        <v>3495.2400000000002</v>
      </c>
      <c r="K92" s="818">
        <v>3495.2400000000002</v>
      </c>
      <c r="L92" s="818">
        <v>3495.2400000000002</v>
      </c>
      <c r="M92" s="818">
        <v>0</v>
      </c>
      <c r="N92" s="818">
        <v>0</v>
      </c>
      <c r="O92" s="818">
        <v>0</v>
      </c>
      <c r="P92" s="818">
        <v>0</v>
      </c>
      <c r="Q92" s="818">
        <v>0</v>
      </c>
      <c r="R92" s="818">
        <v>0</v>
      </c>
      <c r="S92" s="818">
        <v>0</v>
      </c>
      <c r="T92" s="816" t="s">
        <v>1482</v>
      </c>
      <c r="U92" s="818">
        <v>0</v>
      </c>
      <c r="V92" s="816" t="s">
        <v>1253</v>
      </c>
      <c r="W92" s="816" t="s">
        <v>1207</v>
      </c>
      <c r="Y92" s="859">
        <f t="shared" si="6"/>
        <v>3495.2400000000002</v>
      </c>
      <c r="Z92" s="858">
        <f t="shared" si="7"/>
        <v>0</v>
      </c>
      <c r="AA92" s="859">
        <f t="shared" si="8"/>
        <v>0</v>
      </c>
      <c r="AB92" s="820"/>
      <c r="AJ92" s="815" t="b">
        <f t="shared" si="9"/>
        <v>1</v>
      </c>
    </row>
    <row r="93" spans="1:36" x14ac:dyDescent="0.25">
      <c r="A93" s="817" t="s">
        <v>333</v>
      </c>
      <c r="B93" s="817" t="s">
        <v>1380</v>
      </c>
      <c r="C93" s="817" t="s">
        <v>1249</v>
      </c>
      <c r="D93" s="817" t="s">
        <v>1483</v>
      </c>
      <c r="E93" s="817" t="s">
        <v>1483</v>
      </c>
      <c r="F93" s="816" t="s">
        <v>1471</v>
      </c>
      <c r="G93" s="817" t="s">
        <v>197</v>
      </c>
      <c r="H93" s="817" t="s">
        <v>721</v>
      </c>
      <c r="I93" s="817" t="s">
        <v>346</v>
      </c>
      <c r="J93" s="818">
        <v>2693.9700000000003</v>
      </c>
      <c r="K93" s="818">
        <v>2693.9700000000003</v>
      </c>
      <c r="L93" s="818">
        <v>2693.9700000000003</v>
      </c>
      <c r="M93" s="818">
        <v>0</v>
      </c>
      <c r="N93" s="818">
        <v>0</v>
      </c>
      <c r="O93" s="818">
        <v>0</v>
      </c>
      <c r="P93" s="818">
        <v>0</v>
      </c>
      <c r="Q93" s="818">
        <v>0</v>
      </c>
      <c r="R93" s="818">
        <v>0</v>
      </c>
      <c r="S93" s="818">
        <v>0</v>
      </c>
      <c r="T93" s="816" t="s">
        <v>1482</v>
      </c>
      <c r="U93" s="818">
        <v>0</v>
      </c>
      <c r="V93" s="816" t="s">
        <v>1253</v>
      </c>
      <c r="W93" s="816" t="s">
        <v>1207</v>
      </c>
      <c r="Y93" s="859">
        <f t="shared" si="6"/>
        <v>2693.9700000000003</v>
      </c>
      <c r="Z93" s="858">
        <f t="shared" si="7"/>
        <v>0</v>
      </c>
      <c r="AA93" s="859">
        <f t="shared" si="8"/>
        <v>0</v>
      </c>
      <c r="AB93" s="820"/>
      <c r="AJ93" s="815" t="b">
        <f t="shared" si="9"/>
        <v>1</v>
      </c>
    </row>
    <row r="94" spans="1:36" x14ac:dyDescent="0.25">
      <c r="A94" s="817" t="s">
        <v>327</v>
      </c>
      <c r="B94" s="817" t="s">
        <v>1389</v>
      </c>
      <c r="C94" s="817" t="s">
        <v>1249</v>
      </c>
      <c r="D94" s="817" t="s">
        <v>1484</v>
      </c>
      <c r="E94" s="817" t="s">
        <v>1484</v>
      </c>
      <c r="F94" s="816" t="s">
        <v>1471</v>
      </c>
      <c r="G94" s="817" t="s">
        <v>197</v>
      </c>
      <c r="H94" s="817" t="s">
        <v>721</v>
      </c>
      <c r="I94" s="817" t="s">
        <v>346</v>
      </c>
      <c r="J94" s="818">
        <v>3547.2000000000003</v>
      </c>
      <c r="K94" s="818">
        <v>3547.2000000000003</v>
      </c>
      <c r="L94" s="818">
        <v>3547.2000000000003</v>
      </c>
      <c r="M94" s="818">
        <v>0</v>
      </c>
      <c r="N94" s="818">
        <v>0</v>
      </c>
      <c r="O94" s="818">
        <v>0</v>
      </c>
      <c r="P94" s="818">
        <v>0</v>
      </c>
      <c r="Q94" s="818">
        <v>0</v>
      </c>
      <c r="R94" s="818">
        <v>0</v>
      </c>
      <c r="S94" s="818">
        <v>0</v>
      </c>
      <c r="T94" s="816" t="s">
        <v>1485</v>
      </c>
      <c r="U94" s="818">
        <v>0</v>
      </c>
      <c r="V94" s="816" t="s">
        <v>1253</v>
      </c>
      <c r="W94" s="816" t="s">
        <v>1207</v>
      </c>
      <c r="Y94" s="859">
        <f t="shared" si="6"/>
        <v>3547.2000000000003</v>
      </c>
      <c r="Z94" s="858">
        <f t="shared" si="7"/>
        <v>0</v>
      </c>
      <c r="AA94" s="859">
        <f t="shared" si="8"/>
        <v>0</v>
      </c>
      <c r="AB94" s="820"/>
      <c r="AJ94" s="815" t="b">
        <f t="shared" si="9"/>
        <v>1</v>
      </c>
    </row>
    <row r="95" spans="1:36" x14ac:dyDescent="0.25">
      <c r="A95" s="817" t="s">
        <v>326</v>
      </c>
      <c r="B95" s="817" t="s">
        <v>195</v>
      </c>
      <c r="C95" s="817" t="s">
        <v>1249</v>
      </c>
      <c r="D95" s="817" t="s">
        <v>1484</v>
      </c>
      <c r="E95" s="817" t="s">
        <v>1484</v>
      </c>
      <c r="F95" s="816" t="s">
        <v>1471</v>
      </c>
      <c r="G95" s="817" t="s">
        <v>197</v>
      </c>
      <c r="H95" s="817" t="s">
        <v>721</v>
      </c>
      <c r="I95" s="817" t="s">
        <v>346</v>
      </c>
      <c r="J95" s="818">
        <v>3547.2000000000003</v>
      </c>
      <c r="K95" s="818">
        <v>3547.2000000000003</v>
      </c>
      <c r="L95" s="818">
        <v>3547.2000000000003</v>
      </c>
      <c r="M95" s="818">
        <v>0</v>
      </c>
      <c r="N95" s="818">
        <v>0</v>
      </c>
      <c r="O95" s="818">
        <v>0</v>
      </c>
      <c r="P95" s="818">
        <v>0</v>
      </c>
      <c r="Q95" s="818">
        <v>0</v>
      </c>
      <c r="R95" s="818">
        <v>0</v>
      </c>
      <c r="S95" s="818">
        <v>0</v>
      </c>
      <c r="T95" s="816" t="s">
        <v>1485</v>
      </c>
      <c r="U95" s="818">
        <v>0</v>
      </c>
      <c r="V95" s="816" t="s">
        <v>1253</v>
      </c>
      <c r="W95" s="816" t="s">
        <v>1207</v>
      </c>
      <c r="Y95" s="859">
        <f t="shared" si="6"/>
        <v>3547.2000000000003</v>
      </c>
      <c r="Z95" s="858">
        <f t="shared" si="7"/>
        <v>0</v>
      </c>
      <c r="AA95" s="859">
        <f t="shared" si="8"/>
        <v>0</v>
      </c>
      <c r="AB95" s="820"/>
      <c r="AJ95" s="815" t="b">
        <f t="shared" si="9"/>
        <v>1</v>
      </c>
    </row>
    <row r="96" spans="1:36" x14ac:dyDescent="0.25">
      <c r="A96" s="817" t="s">
        <v>307</v>
      </c>
      <c r="B96" s="817" t="s">
        <v>1392</v>
      </c>
      <c r="C96" s="817" t="s">
        <v>1249</v>
      </c>
      <c r="D96" s="817" t="s">
        <v>1484</v>
      </c>
      <c r="E96" s="817" t="s">
        <v>1484</v>
      </c>
      <c r="F96" s="816" t="s">
        <v>1486</v>
      </c>
      <c r="G96" s="817" t="s">
        <v>323</v>
      </c>
      <c r="H96" s="817" t="s">
        <v>721</v>
      </c>
      <c r="I96" s="817" t="s">
        <v>346</v>
      </c>
      <c r="J96" s="818">
        <v>16034.16</v>
      </c>
      <c r="K96" s="818">
        <v>16034.16</v>
      </c>
      <c r="L96" s="818">
        <v>16034.16</v>
      </c>
      <c r="M96" s="818">
        <v>0</v>
      </c>
      <c r="N96" s="818">
        <v>0</v>
      </c>
      <c r="O96" s="818">
        <v>0</v>
      </c>
      <c r="P96" s="818">
        <v>0</v>
      </c>
      <c r="Q96" s="818">
        <v>1083.31</v>
      </c>
      <c r="R96" s="818">
        <v>1083.31</v>
      </c>
      <c r="S96" s="818">
        <v>0</v>
      </c>
      <c r="T96" s="816" t="s">
        <v>1487</v>
      </c>
      <c r="U96" s="818">
        <v>0</v>
      </c>
      <c r="V96" s="816" t="s">
        <v>1253</v>
      </c>
      <c r="W96" s="816" t="s">
        <v>1207</v>
      </c>
      <c r="Y96" s="859">
        <f t="shared" si="6"/>
        <v>16034.16</v>
      </c>
      <c r="Z96" s="858">
        <f t="shared" si="7"/>
        <v>0</v>
      </c>
      <c r="AA96" s="859">
        <f t="shared" si="8"/>
        <v>0</v>
      </c>
      <c r="AB96" s="820" t="s">
        <v>802</v>
      </c>
      <c r="AJ96" s="815" t="b">
        <f t="shared" si="9"/>
        <v>1</v>
      </c>
    </row>
    <row r="97" spans="1:36" x14ac:dyDescent="0.25">
      <c r="A97" s="817" t="s">
        <v>303</v>
      </c>
      <c r="B97" s="817" t="s">
        <v>199</v>
      </c>
      <c r="C97" s="817" t="s">
        <v>1249</v>
      </c>
      <c r="D97" s="817" t="s">
        <v>1488</v>
      </c>
      <c r="E97" s="817" t="s">
        <v>1488</v>
      </c>
      <c r="F97" s="816" t="s">
        <v>1489</v>
      </c>
      <c r="G97" s="817" t="s">
        <v>197</v>
      </c>
      <c r="H97" s="817" t="s">
        <v>721</v>
      </c>
      <c r="I97" s="817" t="s">
        <v>346</v>
      </c>
      <c r="J97" s="818">
        <v>7777.05</v>
      </c>
      <c r="K97" s="818">
        <v>7777.05</v>
      </c>
      <c r="L97" s="818">
        <v>7777.05</v>
      </c>
      <c r="M97" s="818">
        <v>0</v>
      </c>
      <c r="N97" s="818">
        <v>0</v>
      </c>
      <c r="O97" s="818">
        <v>0</v>
      </c>
      <c r="P97" s="818">
        <v>0</v>
      </c>
      <c r="Q97" s="818">
        <v>0</v>
      </c>
      <c r="R97" s="818">
        <v>0</v>
      </c>
      <c r="S97" s="818">
        <v>0</v>
      </c>
      <c r="T97" s="816" t="s">
        <v>1490</v>
      </c>
      <c r="U97" s="818">
        <v>0</v>
      </c>
      <c r="V97" s="816" t="s">
        <v>1253</v>
      </c>
      <c r="W97" s="816" t="s">
        <v>1207</v>
      </c>
      <c r="Y97" s="859">
        <f t="shared" si="6"/>
        <v>7777.05</v>
      </c>
      <c r="Z97" s="858">
        <f t="shared" si="7"/>
        <v>0</v>
      </c>
      <c r="AA97" s="859">
        <f t="shared" si="8"/>
        <v>0</v>
      </c>
      <c r="AB97" s="820" t="s">
        <v>802</v>
      </c>
      <c r="AJ97" s="815" t="b">
        <f t="shared" si="9"/>
        <v>1</v>
      </c>
    </row>
    <row r="98" spans="1:36" x14ac:dyDescent="0.25">
      <c r="A98" s="817" t="s">
        <v>313</v>
      </c>
      <c r="B98" s="817" t="s">
        <v>325</v>
      </c>
      <c r="C98" s="817" t="s">
        <v>1249</v>
      </c>
      <c r="D98" s="817" t="s">
        <v>1491</v>
      </c>
      <c r="E98" s="817" t="s">
        <v>1491</v>
      </c>
      <c r="F98" s="816" t="s">
        <v>1471</v>
      </c>
      <c r="G98" s="817" t="s">
        <v>304</v>
      </c>
      <c r="H98" s="817" t="s">
        <v>721</v>
      </c>
      <c r="I98" s="817" t="s">
        <v>346</v>
      </c>
      <c r="J98" s="818">
        <v>2520.17</v>
      </c>
      <c r="K98" s="818">
        <v>2520.17</v>
      </c>
      <c r="L98" s="818">
        <v>2520.17</v>
      </c>
      <c r="M98" s="818">
        <v>0</v>
      </c>
      <c r="N98" s="818">
        <v>0</v>
      </c>
      <c r="O98" s="818">
        <v>0</v>
      </c>
      <c r="P98" s="818">
        <v>0</v>
      </c>
      <c r="Q98" s="818">
        <v>0</v>
      </c>
      <c r="R98" s="818">
        <v>0</v>
      </c>
      <c r="S98" s="818">
        <v>0</v>
      </c>
      <c r="T98" s="816" t="s">
        <v>1492</v>
      </c>
      <c r="U98" s="818">
        <v>0</v>
      </c>
      <c r="V98" s="816" t="s">
        <v>1253</v>
      </c>
      <c r="W98" s="816" t="s">
        <v>1207</v>
      </c>
      <c r="Y98" s="859">
        <f t="shared" si="6"/>
        <v>2520.17</v>
      </c>
      <c r="Z98" s="858">
        <f t="shared" si="7"/>
        <v>0</v>
      </c>
      <c r="AA98" s="859">
        <f t="shared" si="8"/>
        <v>0</v>
      </c>
      <c r="AB98" s="820"/>
      <c r="AJ98" s="815" t="b">
        <f t="shared" si="9"/>
        <v>1</v>
      </c>
    </row>
    <row r="99" spans="1:36" x14ac:dyDescent="0.25">
      <c r="A99" s="817" t="s">
        <v>1493</v>
      </c>
      <c r="B99" s="817" t="s">
        <v>335</v>
      </c>
      <c r="C99" s="817" t="s">
        <v>1249</v>
      </c>
      <c r="D99" s="817" t="s">
        <v>1491</v>
      </c>
      <c r="E99" s="817" t="s">
        <v>1491</v>
      </c>
      <c r="F99" s="816" t="s">
        <v>1494</v>
      </c>
      <c r="G99" s="817" t="s">
        <v>323</v>
      </c>
      <c r="H99" s="817" t="s">
        <v>1495</v>
      </c>
      <c r="I99" s="817" t="s">
        <v>346</v>
      </c>
      <c r="J99" s="818">
        <v>2500</v>
      </c>
      <c r="K99" s="818">
        <v>2032.63</v>
      </c>
      <c r="L99" s="818">
        <v>2032.63</v>
      </c>
      <c r="M99" s="818">
        <v>0</v>
      </c>
      <c r="N99" s="818">
        <v>17.309999999999999</v>
      </c>
      <c r="O99" s="818">
        <v>17.309999999999999</v>
      </c>
      <c r="P99" s="818">
        <v>0</v>
      </c>
      <c r="Q99" s="818">
        <v>207.72</v>
      </c>
      <c r="R99" s="818">
        <v>207.72</v>
      </c>
      <c r="S99" s="818">
        <v>0</v>
      </c>
      <c r="T99" s="816" t="s">
        <v>1496</v>
      </c>
      <c r="U99" s="818">
        <v>467.37</v>
      </c>
      <c r="V99" s="816" t="s">
        <v>1253</v>
      </c>
      <c r="W99" s="816" t="s">
        <v>1207</v>
      </c>
      <c r="Y99" s="859">
        <f t="shared" si="6"/>
        <v>2500</v>
      </c>
      <c r="Z99" s="858">
        <f t="shared" si="7"/>
        <v>467.36999999999989</v>
      </c>
      <c r="AA99" s="859">
        <f t="shared" si="8"/>
        <v>17.309999999999999</v>
      </c>
      <c r="AB99" s="820" t="s">
        <v>802</v>
      </c>
      <c r="AC99" s="815">
        <f t="shared" ref="AC99:AC101" si="11">IF((Z99-(AA99*12))&gt;0,AA99*12,Z99)</f>
        <v>207.71999999999997</v>
      </c>
      <c r="AD99" s="815">
        <f>IF(($Z99-($AA99*12)-SUM($AC99:AC99))&gt;0,$AA99*12,$Z99-SUM($AC99:AC99))</f>
        <v>207.71999999999997</v>
      </c>
      <c r="AE99" s="815">
        <f>IF(($Z99-($AA99*12)-SUM($AC99:AD99))&gt;0,$AA99*12,$Z99-SUM($AC99:AD99))</f>
        <v>51.92999999999995</v>
      </c>
      <c r="AF99" s="815">
        <f>IF(($Z99-($AA99*12)-SUM($AC99:AE99))&gt;0,$AA99*12,$Z99-SUM($AC99:AE99))</f>
        <v>0</v>
      </c>
      <c r="AG99" s="815">
        <f>IF(($Z99-($AA99*12)-SUM($AC99:AF99))&gt;0,$AA99*12,$Z99-SUM($AC99:AF99))</f>
        <v>0</v>
      </c>
      <c r="AH99" s="815">
        <f>IF(($Z99-($AA99*12)-SUM($AC99:AG99))&gt;0,$AA99*12,$Z99-SUM($AC99:AG99))</f>
        <v>0</v>
      </c>
      <c r="AI99" s="815">
        <f>IF(($Z99-($AA99*12)-SUM($AC99:AH99))&gt;0,$AA99*12,$Z99-SUM($AC99:AH99))</f>
        <v>0</v>
      </c>
      <c r="AJ99" s="815" t="b">
        <f t="shared" si="9"/>
        <v>1</v>
      </c>
    </row>
    <row r="100" spans="1:36" x14ac:dyDescent="0.25">
      <c r="A100" s="817" t="s">
        <v>316</v>
      </c>
      <c r="B100" s="817" t="s">
        <v>322</v>
      </c>
      <c r="C100" s="817" t="s">
        <v>1249</v>
      </c>
      <c r="D100" s="817" t="s">
        <v>1329</v>
      </c>
      <c r="E100" s="817" t="s">
        <v>1329</v>
      </c>
      <c r="F100" s="816" t="s">
        <v>1479</v>
      </c>
      <c r="G100" s="817" t="s">
        <v>303</v>
      </c>
      <c r="H100" s="817" t="s">
        <v>1497</v>
      </c>
      <c r="I100" s="817" t="s">
        <v>346</v>
      </c>
      <c r="J100" s="818">
        <v>13199.49</v>
      </c>
      <c r="K100" s="818">
        <v>11972.95</v>
      </c>
      <c r="L100" s="818">
        <v>11972.95</v>
      </c>
      <c r="M100" s="818">
        <v>0</v>
      </c>
      <c r="N100" s="818">
        <v>136.28</v>
      </c>
      <c r="O100" s="818">
        <v>136.28</v>
      </c>
      <c r="P100" s="818">
        <v>0</v>
      </c>
      <c r="Q100" s="818">
        <v>1635.3600000000001</v>
      </c>
      <c r="R100" s="818">
        <v>1635.3600000000001</v>
      </c>
      <c r="S100" s="818">
        <v>0</v>
      </c>
      <c r="T100" s="816" t="s">
        <v>1498</v>
      </c>
      <c r="U100" s="818">
        <v>1226.54</v>
      </c>
      <c r="V100" s="816" t="s">
        <v>1253</v>
      </c>
      <c r="W100" s="816" t="s">
        <v>1207</v>
      </c>
      <c r="Y100" s="859">
        <f t="shared" si="6"/>
        <v>13199.49</v>
      </c>
      <c r="Z100" s="858">
        <f t="shared" si="7"/>
        <v>1226.5399999999991</v>
      </c>
      <c r="AA100" s="859">
        <f t="shared" si="8"/>
        <v>136.28</v>
      </c>
      <c r="AB100" s="820" t="s">
        <v>802</v>
      </c>
      <c r="AC100" s="815">
        <f t="shared" si="11"/>
        <v>1226.5399999999991</v>
      </c>
      <c r="AD100" s="815">
        <f>IF(($Z100-($AA100*12)-SUM($AC100:AC100))&gt;0,$AA100*12,$Z100-SUM($AC100:AC100))</f>
        <v>0</v>
      </c>
      <c r="AE100" s="815">
        <f>IF(($Z100-($AA100*12)-SUM($AC100:AD100))&gt;0,$AA100*12,$Z100-SUM($AC100:AD100))</f>
        <v>0</v>
      </c>
      <c r="AF100" s="815">
        <f>IF(($Z100-($AA100*12)-SUM($AC100:AE100))&gt;0,$AA100*12,$Z100-SUM($AC100:AE100))</f>
        <v>0</v>
      </c>
      <c r="AG100" s="815">
        <f>IF(($Z100-($AA100*12)-SUM($AC100:AF100))&gt;0,$AA100*12,$Z100-SUM($AC100:AF100))</f>
        <v>0</v>
      </c>
      <c r="AH100" s="815">
        <f>IF(($Z100-($AA100*12)-SUM($AC100:AG100))&gt;0,$AA100*12,$Z100-SUM($AC100:AG100))</f>
        <v>0</v>
      </c>
      <c r="AI100" s="815">
        <f>IF(($Z100-($AA100*12)-SUM($AC100:AH100))&gt;0,$AA100*12,$Z100-SUM($AC100:AH100))</f>
        <v>0</v>
      </c>
      <c r="AJ100" s="815" t="b">
        <f t="shared" si="9"/>
        <v>1</v>
      </c>
    </row>
    <row r="101" spans="1:36" x14ac:dyDescent="0.25">
      <c r="A101" s="817" t="s">
        <v>322</v>
      </c>
      <c r="B101" s="817" t="s">
        <v>270</v>
      </c>
      <c r="C101" s="817" t="s">
        <v>1249</v>
      </c>
      <c r="D101" s="817" t="s">
        <v>1329</v>
      </c>
      <c r="E101" s="817" t="s">
        <v>1329</v>
      </c>
      <c r="F101" s="816" t="s">
        <v>1499</v>
      </c>
      <c r="G101" s="817" t="s">
        <v>303</v>
      </c>
      <c r="H101" s="817" t="s">
        <v>1497</v>
      </c>
      <c r="I101" s="817" t="s">
        <v>346</v>
      </c>
      <c r="J101" s="818">
        <v>5788.31</v>
      </c>
      <c r="K101" s="818">
        <v>5250.43</v>
      </c>
      <c r="L101" s="818">
        <v>5250.43</v>
      </c>
      <c r="M101" s="818">
        <v>0</v>
      </c>
      <c r="N101" s="818">
        <v>59.77</v>
      </c>
      <c r="O101" s="818">
        <v>59.77</v>
      </c>
      <c r="P101" s="818">
        <v>0</v>
      </c>
      <c r="Q101" s="818">
        <v>717.14</v>
      </c>
      <c r="R101" s="818">
        <v>717.14</v>
      </c>
      <c r="S101" s="818">
        <v>0</v>
      </c>
      <c r="T101" s="816" t="s">
        <v>1500</v>
      </c>
      <c r="U101" s="818">
        <v>537.88</v>
      </c>
      <c r="V101" s="816" t="s">
        <v>1253</v>
      </c>
      <c r="W101" s="816" t="s">
        <v>1207</v>
      </c>
      <c r="Y101" s="859">
        <f t="shared" si="6"/>
        <v>5788.31</v>
      </c>
      <c r="Z101" s="858">
        <f t="shared" si="7"/>
        <v>537.88000000000011</v>
      </c>
      <c r="AA101" s="859">
        <f t="shared" si="8"/>
        <v>59.77</v>
      </c>
      <c r="AB101" s="820" t="s">
        <v>802</v>
      </c>
      <c r="AC101" s="815">
        <f t="shared" si="11"/>
        <v>537.88000000000011</v>
      </c>
      <c r="AD101" s="815">
        <f>IF(($Z101-($AA101*12)-SUM($AC101:AC101))&gt;0,$AA101*12,$Z101-SUM($AC101:AC101))</f>
        <v>0</v>
      </c>
      <c r="AE101" s="815">
        <f>IF(($Z101-($AA101*12)-SUM($AC101:AD101))&gt;0,$AA101*12,$Z101-SUM($AC101:AD101))</f>
        <v>0</v>
      </c>
      <c r="AF101" s="815">
        <f>IF(($Z101-($AA101*12)-SUM($AC101:AE101))&gt;0,$AA101*12,$Z101-SUM($AC101:AE101))</f>
        <v>0</v>
      </c>
      <c r="AG101" s="815">
        <f>IF(($Z101-($AA101*12)-SUM($AC101:AF101))&gt;0,$AA101*12,$Z101-SUM($AC101:AF101))</f>
        <v>0</v>
      </c>
      <c r="AH101" s="815">
        <f>IF(($Z101-($AA101*12)-SUM($AC101:AG101))&gt;0,$AA101*12,$Z101-SUM($AC101:AG101))</f>
        <v>0</v>
      </c>
      <c r="AI101" s="815">
        <f>IF(($Z101-($AA101*12)-SUM($AC101:AH101))&gt;0,$AA101*12,$Z101-SUM($AC101:AH101))</f>
        <v>0</v>
      </c>
      <c r="AJ101" s="815" t="b">
        <f t="shared" si="9"/>
        <v>1</v>
      </c>
    </row>
    <row r="102" spans="1:36" x14ac:dyDescent="0.25">
      <c r="A102" s="817" t="s">
        <v>178</v>
      </c>
      <c r="B102" s="817" t="s">
        <v>338</v>
      </c>
      <c r="C102" s="817" t="s">
        <v>1249</v>
      </c>
      <c r="D102" s="817" t="s">
        <v>1335</v>
      </c>
      <c r="E102" s="817" t="s">
        <v>1335</v>
      </c>
      <c r="F102" s="816" t="s">
        <v>1479</v>
      </c>
      <c r="G102" s="817" t="s">
        <v>303</v>
      </c>
      <c r="H102" s="817" t="s">
        <v>1337</v>
      </c>
      <c r="I102" s="817" t="s">
        <v>346</v>
      </c>
      <c r="J102" s="818">
        <v>30154.080000000002</v>
      </c>
      <c r="K102" s="818">
        <v>26411.58</v>
      </c>
      <c r="L102" s="818">
        <v>26411.58</v>
      </c>
      <c r="M102" s="818">
        <v>0</v>
      </c>
      <c r="N102" s="818">
        <v>311.88</v>
      </c>
      <c r="O102" s="818">
        <v>311.88</v>
      </c>
      <c r="P102" s="818">
        <v>0</v>
      </c>
      <c r="Q102" s="818">
        <v>3742.56</v>
      </c>
      <c r="R102" s="818">
        <v>3742.56</v>
      </c>
      <c r="S102" s="818">
        <v>0</v>
      </c>
      <c r="T102" s="816" t="s">
        <v>1501</v>
      </c>
      <c r="U102" s="818">
        <v>3742.5</v>
      </c>
      <c r="V102" s="816" t="s">
        <v>1253</v>
      </c>
      <c r="W102" s="816" t="s">
        <v>1207</v>
      </c>
      <c r="Y102" s="859">
        <f t="shared" si="6"/>
        <v>30154.080000000002</v>
      </c>
      <c r="Z102" s="858">
        <f t="shared" si="7"/>
        <v>3742.5</v>
      </c>
      <c r="AA102" s="859">
        <f t="shared" si="8"/>
        <v>311.88</v>
      </c>
      <c r="AB102" s="820" t="s">
        <v>791</v>
      </c>
      <c r="AC102" s="815">
        <f>IF((Z102-(AA102*12))&gt;0,AA102*12,Z102)</f>
        <v>3742.5</v>
      </c>
      <c r="AD102" s="815">
        <f>IF(($Z102-($AA102*12)-SUM($AC102:AC102))&gt;0,$AA102*12,$Z102-SUM($AC102:AC102))</f>
        <v>0</v>
      </c>
      <c r="AE102" s="815">
        <f>IF(($Z102-($AA102*12)-SUM($AC102:AD102))&gt;0,$AA102*12,$Z102-SUM($AC102:AD102))</f>
        <v>0</v>
      </c>
      <c r="AF102" s="815">
        <f>IF(($Z102-($AA102*12)-SUM($AC102:AE102))&gt;0,$AA102*12,$Z102-SUM($AC102:AE102))</f>
        <v>0</v>
      </c>
      <c r="AG102" s="815">
        <f>IF(($Z102-($AA102*12)-SUM($AC102:AF102))&gt;0,$AA102*12,$Z102-SUM($AC102:AF102))</f>
        <v>0</v>
      </c>
      <c r="AH102" s="815">
        <f>IF(($Z102-($AA102*12)-SUM($AC102:AG102))&gt;0,$AA102*12,$Z102-SUM($AC102:AG102))</f>
        <v>0</v>
      </c>
      <c r="AI102" s="815">
        <f>IF(($Z102-($AA102*12)-SUM($AC102:AH102))&gt;0,$AA102*12,$Z102-SUM($AC102:AH102))</f>
        <v>0</v>
      </c>
      <c r="AJ102" s="815" t="b">
        <f t="shared" si="9"/>
        <v>1</v>
      </c>
    </row>
    <row r="103" spans="1:36" x14ac:dyDescent="0.25">
      <c r="A103" s="817" t="s">
        <v>1325</v>
      </c>
      <c r="B103" s="817" t="s">
        <v>306</v>
      </c>
      <c r="C103" s="817" t="s">
        <v>1249</v>
      </c>
      <c r="D103" s="817" t="s">
        <v>1335</v>
      </c>
      <c r="E103" s="817" t="s">
        <v>1335</v>
      </c>
      <c r="F103" s="816" t="s">
        <v>1479</v>
      </c>
      <c r="G103" s="817" t="s">
        <v>303</v>
      </c>
      <c r="H103" s="817" t="s">
        <v>1337</v>
      </c>
      <c r="I103" s="817" t="s">
        <v>346</v>
      </c>
      <c r="J103" s="818">
        <v>6504.88</v>
      </c>
      <c r="K103" s="818">
        <v>5697.58</v>
      </c>
      <c r="L103" s="818">
        <v>5697.58</v>
      </c>
      <c r="M103" s="818">
        <v>0</v>
      </c>
      <c r="N103" s="818">
        <v>67.27</v>
      </c>
      <c r="O103" s="818">
        <v>67.27</v>
      </c>
      <c r="P103" s="818">
        <v>0</v>
      </c>
      <c r="Q103" s="818">
        <v>807.35</v>
      </c>
      <c r="R103" s="818">
        <v>807.35</v>
      </c>
      <c r="S103" s="818">
        <v>0</v>
      </c>
      <c r="T103" s="816" t="s">
        <v>1502</v>
      </c>
      <c r="U103" s="818">
        <v>807.30000000000007</v>
      </c>
      <c r="V103" s="816" t="s">
        <v>1253</v>
      </c>
      <c r="W103" s="816" t="s">
        <v>1207</v>
      </c>
      <c r="Y103" s="859">
        <f t="shared" si="6"/>
        <v>6504.88</v>
      </c>
      <c r="Z103" s="858">
        <f t="shared" si="7"/>
        <v>807.30000000000018</v>
      </c>
      <c r="AA103" s="859">
        <f t="shared" si="8"/>
        <v>67.27</v>
      </c>
      <c r="AB103" s="820" t="s">
        <v>791</v>
      </c>
      <c r="AC103" s="815">
        <f>IF((Z103-(AA103*12))&gt;0,AA103*12,Z103)</f>
        <v>807.24</v>
      </c>
      <c r="AD103" s="815">
        <f>IF(($Z103-($AA103*12)-SUM($AC103:AC103))&gt;0,$AA103*12,$Z103-SUM($AC103:AC103))</f>
        <v>6.0000000000172804E-2</v>
      </c>
      <c r="AE103" s="815">
        <f>IF(($Z103-($AA103*12)-SUM($AC103:AD103))&gt;0,$AA103*12,$Z103-SUM($AC103:AD103))</f>
        <v>0</v>
      </c>
      <c r="AF103" s="815">
        <f>IF(($Z103-($AA103*12)-SUM($AC103:AE103))&gt;0,$AA103*12,$Z103-SUM($AC103:AE103))</f>
        <v>0</v>
      </c>
      <c r="AG103" s="815">
        <f>IF(($Z103-($AA103*12)-SUM($AC103:AF103))&gt;0,$AA103*12,$Z103-SUM($AC103:AF103))</f>
        <v>0</v>
      </c>
      <c r="AH103" s="815">
        <f>IF(($Z103-($AA103*12)-SUM($AC103:AG103))&gt;0,$AA103*12,$Z103-SUM($AC103:AG103))</f>
        <v>0</v>
      </c>
      <c r="AI103" s="815">
        <f>IF(($Z103-($AA103*12)-SUM($AC103:AH103))&gt;0,$AA103*12,$Z103-SUM($AC103:AH103))</f>
        <v>0</v>
      </c>
      <c r="AJ103" s="815" t="b">
        <f t="shared" si="9"/>
        <v>1</v>
      </c>
    </row>
    <row r="104" spans="1:36" x14ac:dyDescent="0.25">
      <c r="A104" s="817" t="s">
        <v>308</v>
      </c>
      <c r="B104" s="817" t="s">
        <v>320</v>
      </c>
      <c r="C104" s="817" t="s">
        <v>1249</v>
      </c>
      <c r="D104" s="817" t="s">
        <v>1335</v>
      </c>
      <c r="E104" s="817" t="s">
        <v>1335</v>
      </c>
      <c r="F104" s="816" t="s">
        <v>1479</v>
      </c>
      <c r="G104" s="817" t="s">
        <v>303</v>
      </c>
      <c r="H104" s="817" t="s">
        <v>1337</v>
      </c>
      <c r="I104" s="817" t="s">
        <v>346</v>
      </c>
      <c r="J104" s="818">
        <v>2091.0300000000002</v>
      </c>
      <c r="K104" s="818">
        <v>1831.49</v>
      </c>
      <c r="L104" s="818">
        <v>1831.49</v>
      </c>
      <c r="M104" s="818">
        <v>0</v>
      </c>
      <c r="N104" s="818">
        <v>21.63</v>
      </c>
      <c r="O104" s="818">
        <v>21.63</v>
      </c>
      <c r="P104" s="818">
        <v>0</v>
      </c>
      <c r="Q104" s="818">
        <v>259.56</v>
      </c>
      <c r="R104" s="818">
        <v>259.56</v>
      </c>
      <c r="S104" s="818">
        <v>0</v>
      </c>
      <c r="T104" s="816" t="s">
        <v>1503</v>
      </c>
      <c r="U104" s="818">
        <v>259.54000000000002</v>
      </c>
      <c r="V104" s="816" t="s">
        <v>1253</v>
      </c>
      <c r="W104" s="816" t="s">
        <v>1207</v>
      </c>
      <c r="Y104" s="859">
        <f t="shared" si="6"/>
        <v>2091.0300000000002</v>
      </c>
      <c r="Z104" s="858">
        <f t="shared" si="7"/>
        <v>259.54000000000019</v>
      </c>
      <c r="AA104" s="859">
        <f t="shared" si="8"/>
        <v>21.63</v>
      </c>
      <c r="AB104" s="820" t="s">
        <v>791</v>
      </c>
      <c r="AC104" s="815">
        <f t="shared" ref="AC104:AC105" si="12">IF((Z104-(AA104*12))&gt;0,AA104*12,Z104)</f>
        <v>259.54000000000019</v>
      </c>
      <c r="AD104" s="815">
        <f>IF(($Z104-($AA104*12)-SUM($AC104:AC104))&gt;0,$AA104*12,$Z104-SUM($AC104:AC104))</f>
        <v>0</v>
      </c>
      <c r="AE104" s="815">
        <f>IF(($Z104-($AA104*12)-SUM($AC104:AD104))&gt;0,$AA104*12,$Z104-SUM($AC104:AD104))</f>
        <v>0</v>
      </c>
      <c r="AF104" s="815">
        <f>IF(($Z104-($AA104*12)-SUM($AC104:AE104))&gt;0,$AA104*12,$Z104-SUM($AC104:AE104))</f>
        <v>0</v>
      </c>
      <c r="AG104" s="815">
        <f>IF(($Z104-($AA104*12)-SUM($AC104:AF104))&gt;0,$AA104*12,$Z104-SUM($AC104:AF104))</f>
        <v>0</v>
      </c>
      <c r="AH104" s="815">
        <f>IF(($Z104-($AA104*12)-SUM($AC104:AG104))&gt;0,$AA104*12,$Z104-SUM($AC104:AG104))</f>
        <v>0</v>
      </c>
      <c r="AI104" s="815">
        <f>IF(($Z104-($AA104*12)-SUM($AC104:AH104))&gt;0,$AA104*12,$Z104-SUM($AC104:AH104))</f>
        <v>0</v>
      </c>
      <c r="AJ104" s="815" t="b">
        <f t="shared" si="9"/>
        <v>1</v>
      </c>
    </row>
    <row r="105" spans="1:36" x14ac:dyDescent="0.25">
      <c r="A105" s="817" t="s">
        <v>1331</v>
      </c>
      <c r="B105" s="817" t="s">
        <v>319</v>
      </c>
      <c r="C105" s="817" t="s">
        <v>1249</v>
      </c>
      <c r="D105" s="817" t="s">
        <v>1335</v>
      </c>
      <c r="E105" s="817" t="s">
        <v>1335</v>
      </c>
      <c r="F105" s="816" t="s">
        <v>1479</v>
      </c>
      <c r="G105" s="817" t="s">
        <v>303</v>
      </c>
      <c r="H105" s="817" t="s">
        <v>1337</v>
      </c>
      <c r="I105" s="817" t="s">
        <v>346</v>
      </c>
      <c r="J105" s="818">
        <v>2091.0300000000002</v>
      </c>
      <c r="K105" s="818">
        <v>1831.49</v>
      </c>
      <c r="L105" s="818">
        <v>1831.49</v>
      </c>
      <c r="M105" s="818">
        <v>0</v>
      </c>
      <c r="N105" s="818">
        <v>21.63</v>
      </c>
      <c r="O105" s="818">
        <v>21.63</v>
      </c>
      <c r="P105" s="818">
        <v>0</v>
      </c>
      <c r="Q105" s="818">
        <v>259.56</v>
      </c>
      <c r="R105" s="818">
        <v>259.56</v>
      </c>
      <c r="S105" s="818">
        <v>0</v>
      </c>
      <c r="T105" s="816" t="s">
        <v>1503</v>
      </c>
      <c r="U105" s="818">
        <v>259.54000000000002</v>
      </c>
      <c r="V105" s="816" t="s">
        <v>1253</v>
      </c>
      <c r="W105" s="816" t="s">
        <v>1207</v>
      </c>
      <c r="Y105" s="859">
        <f t="shared" si="6"/>
        <v>2091.0300000000002</v>
      </c>
      <c r="Z105" s="858">
        <f t="shared" si="7"/>
        <v>259.54000000000019</v>
      </c>
      <c r="AA105" s="859">
        <f t="shared" si="8"/>
        <v>21.63</v>
      </c>
      <c r="AB105" s="820" t="s">
        <v>791</v>
      </c>
      <c r="AC105" s="815">
        <f t="shared" si="12"/>
        <v>259.54000000000019</v>
      </c>
      <c r="AD105" s="815">
        <f>IF(($Z105-($AA105*12)-SUM($AC105:AC105))&gt;0,$AA105*12,$Z105-SUM($AC105:AC105))</f>
        <v>0</v>
      </c>
      <c r="AE105" s="815">
        <f>IF(($Z105-($AA105*12)-SUM($AC105:AD105))&gt;0,$AA105*12,$Z105-SUM($AC105:AD105))</f>
        <v>0</v>
      </c>
      <c r="AF105" s="815">
        <f>IF(($Z105-($AA105*12)-SUM($AC105:AE105))&gt;0,$AA105*12,$Z105-SUM($AC105:AE105))</f>
        <v>0</v>
      </c>
      <c r="AG105" s="815">
        <f>IF(($Z105-($AA105*12)-SUM($AC105:AF105))&gt;0,$AA105*12,$Z105-SUM($AC105:AF105))</f>
        <v>0</v>
      </c>
      <c r="AH105" s="815">
        <f>IF(($Z105-($AA105*12)-SUM($AC105:AG105))&gt;0,$AA105*12,$Z105-SUM($AC105:AG105))</f>
        <v>0</v>
      </c>
      <c r="AI105" s="815">
        <f>IF(($Z105-($AA105*12)-SUM($AC105:AH105))&gt;0,$AA105*12,$Z105-SUM($AC105:AH105))</f>
        <v>0</v>
      </c>
      <c r="AJ105" s="815" t="b">
        <f t="shared" si="9"/>
        <v>1</v>
      </c>
    </row>
    <row r="106" spans="1:36" x14ac:dyDescent="0.25">
      <c r="A106" s="817" t="s">
        <v>270</v>
      </c>
      <c r="B106" s="817" t="s">
        <v>1504</v>
      </c>
      <c r="C106" s="817" t="s">
        <v>1249</v>
      </c>
      <c r="D106" s="817" t="s">
        <v>1505</v>
      </c>
      <c r="E106" s="817" t="s">
        <v>1505</v>
      </c>
      <c r="F106" s="816" t="s">
        <v>1486</v>
      </c>
      <c r="G106" s="817" t="s">
        <v>306</v>
      </c>
      <c r="H106" s="817" t="s">
        <v>1506</v>
      </c>
      <c r="I106" s="817" t="s">
        <v>346</v>
      </c>
      <c r="J106" s="818">
        <v>24525.33</v>
      </c>
      <c r="K106" s="818">
        <v>18867.400000000001</v>
      </c>
      <c r="L106" s="818">
        <v>18867.400000000001</v>
      </c>
      <c r="M106" s="818">
        <v>0</v>
      </c>
      <c r="N106" s="818">
        <v>226.32</v>
      </c>
      <c r="O106" s="818">
        <v>226.32</v>
      </c>
      <c r="P106" s="818">
        <v>0</v>
      </c>
      <c r="Q106" s="818">
        <v>2715.84</v>
      </c>
      <c r="R106" s="818">
        <v>2715.84</v>
      </c>
      <c r="S106" s="818">
        <v>0</v>
      </c>
      <c r="T106" s="816" t="s">
        <v>1507</v>
      </c>
      <c r="U106" s="818">
        <v>5657.93</v>
      </c>
      <c r="V106" s="816" t="s">
        <v>1253</v>
      </c>
      <c r="W106" s="816" t="s">
        <v>1207</v>
      </c>
      <c r="Y106" s="859">
        <f t="shared" si="6"/>
        <v>24525.33</v>
      </c>
      <c r="Z106" s="858">
        <f t="shared" si="7"/>
        <v>5657.93</v>
      </c>
      <c r="AA106" s="859">
        <f t="shared" si="8"/>
        <v>226.32</v>
      </c>
      <c r="AB106" s="820" t="s">
        <v>802</v>
      </c>
      <c r="AC106" s="815">
        <f t="shared" ref="AC106:AC111" si="13">IF((Z106-(AA106*12))&gt;0,AA106*12,Z106)</f>
        <v>2715.84</v>
      </c>
      <c r="AD106" s="815">
        <f>IF(($Z106-($AA106*12)-SUM($AC106:AC106))&gt;0,$AA106*12,$Z106-SUM($AC106:AC106))</f>
        <v>2715.84</v>
      </c>
      <c r="AE106" s="815">
        <f>IF(($Z106-($AA106*12)-SUM($AC106:AD106))&gt;0,$AA106*12,$Z106-SUM($AC106:AD106))</f>
        <v>226.25</v>
      </c>
      <c r="AF106" s="815">
        <f>IF(($Z106-($AA106*12)-SUM($AC106:AE106))&gt;0,$AA106*12,$Z106-SUM($AC106:AE106))</f>
        <v>0</v>
      </c>
      <c r="AG106" s="815">
        <f>IF(($Z106-($AA106*12)-SUM($AC106:AF106))&gt;0,$AA106*12,$Z106-SUM($AC106:AF106))</f>
        <v>0</v>
      </c>
      <c r="AH106" s="815">
        <f>IF(($Z106-($AA106*12)-SUM($AC106:AG106))&gt;0,$AA106*12,$Z106-SUM($AC106:AG106))</f>
        <v>0</v>
      </c>
      <c r="AI106" s="815">
        <f>IF(($Z106-($AA106*12)-SUM($AC106:AH106))&gt;0,$AA106*12,$Z106-SUM($AC106:AH106))</f>
        <v>0</v>
      </c>
      <c r="AJ106" s="815" t="b">
        <f t="shared" si="9"/>
        <v>1</v>
      </c>
    </row>
    <row r="107" spans="1:36" x14ac:dyDescent="0.25">
      <c r="A107" s="817" t="s">
        <v>179</v>
      </c>
      <c r="B107" s="817" t="s">
        <v>341</v>
      </c>
      <c r="C107" s="817" t="s">
        <v>1249</v>
      </c>
      <c r="D107" s="817" t="s">
        <v>1352</v>
      </c>
      <c r="E107" s="817" t="s">
        <v>1352</v>
      </c>
      <c r="F107" s="816" t="s">
        <v>1471</v>
      </c>
      <c r="G107" s="817" t="s">
        <v>304</v>
      </c>
      <c r="H107" s="817" t="s">
        <v>721</v>
      </c>
      <c r="I107" s="817" t="s">
        <v>346</v>
      </c>
      <c r="J107" s="818">
        <v>4032</v>
      </c>
      <c r="K107" s="818">
        <v>4032</v>
      </c>
      <c r="L107" s="818">
        <v>4032</v>
      </c>
      <c r="M107" s="818">
        <v>0</v>
      </c>
      <c r="N107" s="818">
        <v>0</v>
      </c>
      <c r="O107" s="818">
        <v>0</v>
      </c>
      <c r="P107" s="818">
        <v>0</v>
      </c>
      <c r="Q107" s="818">
        <v>0</v>
      </c>
      <c r="R107" s="818">
        <v>0</v>
      </c>
      <c r="S107" s="818">
        <v>0</v>
      </c>
      <c r="T107" s="816" t="s">
        <v>1508</v>
      </c>
      <c r="U107" s="818">
        <v>0</v>
      </c>
      <c r="V107" s="816" t="s">
        <v>1253</v>
      </c>
      <c r="W107" s="816" t="s">
        <v>1207</v>
      </c>
      <c r="Y107" s="859">
        <f t="shared" si="6"/>
        <v>4032</v>
      </c>
      <c r="Z107" s="858">
        <f t="shared" si="7"/>
        <v>0</v>
      </c>
      <c r="AA107" s="859">
        <f t="shared" si="8"/>
        <v>0</v>
      </c>
      <c r="AB107" s="820"/>
      <c r="AC107" s="815">
        <f t="shared" si="13"/>
        <v>0</v>
      </c>
      <c r="AD107" s="815">
        <f>IF(($Z107-($AA107*12)-SUM($AC107:AC107))&gt;0,$AA107*12,$Z107-SUM($AC107:AC107))</f>
        <v>0</v>
      </c>
      <c r="AE107" s="815">
        <f>IF(($Z107-($AA107*12)-SUM($AC107:AD107))&gt;0,$AA107*12,$Z107-SUM($AC107:AD107))</f>
        <v>0</v>
      </c>
      <c r="AF107" s="815">
        <f>IF(($Z107-($AA107*12)-SUM($AC107:AE107))&gt;0,$AA107*12,$Z107-SUM($AC107:AE107))</f>
        <v>0</v>
      </c>
      <c r="AG107" s="815">
        <f>IF(($Z107-($AA107*12)-SUM($AC107:AF107))&gt;0,$AA107*12,$Z107-SUM($AC107:AF107))</f>
        <v>0</v>
      </c>
      <c r="AH107" s="815">
        <f>IF(($Z107-($AA107*12)-SUM($AC107:AG107))&gt;0,$AA107*12,$Z107-SUM($AC107:AG107))</f>
        <v>0</v>
      </c>
      <c r="AI107" s="815">
        <f>IF(($Z107-($AA107*12)-SUM($AC107:AH107))&gt;0,$AA107*12,$Z107-SUM($AC107:AH107))</f>
        <v>0</v>
      </c>
      <c r="AJ107" s="815" t="b">
        <f t="shared" si="9"/>
        <v>1</v>
      </c>
    </row>
    <row r="108" spans="1:36" x14ac:dyDescent="0.25">
      <c r="A108" s="817" t="s">
        <v>338</v>
      </c>
      <c r="B108" s="817" t="s">
        <v>1509</v>
      </c>
      <c r="C108" s="817" t="s">
        <v>1249</v>
      </c>
      <c r="D108" s="817" t="s">
        <v>1352</v>
      </c>
      <c r="E108" s="817" t="s">
        <v>1352</v>
      </c>
      <c r="F108" s="816" t="s">
        <v>1471</v>
      </c>
      <c r="G108" s="817" t="s">
        <v>304</v>
      </c>
      <c r="H108" s="817" t="s">
        <v>721</v>
      </c>
      <c r="I108" s="817" t="s">
        <v>346</v>
      </c>
      <c r="J108" s="818">
        <v>4032</v>
      </c>
      <c r="K108" s="818">
        <v>4032</v>
      </c>
      <c r="L108" s="818">
        <v>4032</v>
      </c>
      <c r="M108" s="818">
        <v>0</v>
      </c>
      <c r="N108" s="818">
        <v>0</v>
      </c>
      <c r="O108" s="818">
        <v>0</v>
      </c>
      <c r="P108" s="818">
        <v>0</v>
      </c>
      <c r="Q108" s="818">
        <v>0</v>
      </c>
      <c r="R108" s="818">
        <v>0</v>
      </c>
      <c r="S108" s="818">
        <v>0</v>
      </c>
      <c r="T108" s="816" t="s">
        <v>1508</v>
      </c>
      <c r="U108" s="818">
        <v>0</v>
      </c>
      <c r="V108" s="816" t="s">
        <v>1253</v>
      </c>
      <c r="W108" s="816" t="s">
        <v>1207</v>
      </c>
      <c r="Y108" s="859">
        <f t="shared" si="6"/>
        <v>4032</v>
      </c>
      <c r="Z108" s="858">
        <f t="shared" si="7"/>
        <v>0</v>
      </c>
      <c r="AA108" s="859">
        <f t="shared" si="8"/>
        <v>0</v>
      </c>
      <c r="AB108" s="820"/>
      <c r="AC108" s="815">
        <f t="shared" si="13"/>
        <v>0</v>
      </c>
      <c r="AD108" s="815">
        <f>IF(($Z108-($AA108*12)-SUM($AC108:AC108))&gt;0,$AA108*12,$Z108-SUM($AC108:AC108))</f>
        <v>0</v>
      </c>
      <c r="AE108" s="815">
        <f>IF(($Z108-($AA108*12)-SUM($AC108:AD108))&gt;0,$AA108*12,$Z108-SUM($AC108:AD108))</f>
        <v>0</v>
      </c>
      <c r="AF108" s="815">
        <f>IF(($Z108-($AA108*12)-SUM($AC108:AE108))&gt;0,$AA108*12,$Z108-SUM($AC108:AE108))</f>
        <v>0</v>
      </c>
      <c r="AG108" s="815">
        <f>IF(($Z108-($AA108*12)-SUM($AC108:AF108))&gt;0,$AA108*12,$Z108-SUM($AC108:AF108))</f>
        <v>0</v>
      </c>
      <c r="AH108" s="815">
        <f>IF(($Z108-($AA108*12)-SUM($AC108:AG108))&gt;0,$AA108*12,$Z108-SUM($AC108:AG108))</f>
        <v>0</v>
      </c>
      <c r="AI108" s="815">
        <f>IF(($Z108-($AA108*12)-SUM($AC108:AH108))&gt;0,$AA108*12,$Z108-SUM($AC108:AH108))</f>
        <v>0</v>
      </c>
      <c r="AJ108" s="815" t="b">
        <f t="shared" si="9"/>
        <v>1</v>
      </c>
    </row>
    <row r="109" spans="1:36" x14ac:dyDescent="0.25">
      <c r="A109" s="817" t="s">
        <v>320</v>
      </c>
      <c r="B109" s="817" t="s">
        <v>1514</v>
      </c>
      <c r="C109" s="817" t="s">
        <v>1249</v>
      </c>
      <c r="D109" s="817" t="s">
        <v>1356</v>
      </c>
      <c r="E109" s="817" t="s">
        <v>1356</v>
      </c>
      <c r="F109" s="816" t="s">
        <v>1489</v>
      </c>
      <c r="G109" s="817" t="s">
        <v>304</v>
      </c>
      <c r="H109" s="817" t="s">
        <v>721</v>
      </c>
      <c r="I109" s="817" t="s">
        <v>346</v>
      </c>
      <c r="J109" s="818">
        <v>4898.5600000000004</v>
      </c>
      <c r="K109" s="818">
        <v>4898.5600000000004</v>
      </c>
      <c r="L109" s="818">
        <v>4898.5600000000004</v>
      </c>
      <c r="M109" s="818">
        <v>0</v>
      </c>
      <c r="N109" s="818">
        <v>0</v>
      </c>
      <c r="O109" s="818">
        <v>0</v>
      </c>
      <c r="P109" s="818">
        <v>0</v>
      </c>
      <c r="Q109" s="818">
        <v>0</v>
      </c>
      <c r="R109" s="818">
        <v>0</v>
      </c>
      <c r="S109" s="818">
        <v>0</v>
      </c>
      <c r="T109" s="816" t="s">
        <v>1515</v>
      </c>
      <c r="U109" s="818">
        <v>0</v>
      </c>
      <c r="V109" s="816" t="s">
        <v>1253</v>
      </c>
      <c r="W109" s="816" t="s">
        <v>1207</v>
      </c>
      <c r="Y109" s="859">
        <f t="shared" si="6"/>
        <v>4898.5600000000004</v>
      </c>
      <c r="Z109" s="858">
        <f t="shared" si="7"/>
        <v>0</v>
      </c>
      <c r="AA109" s="859">
        <f t="shared" si="8"/>
        <v>0</v>
      </c>
      <c r="AB109" s="820" t="s">
        <v>802</v>
      </c>
      <c r="AC109" s="815">
        <f t="shared" si="13"/>
        <v>0</v>
      </c>
      <c r="AD109" s="815">
        <f>IF(($Z109-($AA109*12)-SUM($AC109:AC109))&gt;0,$AA109*12,$Z109-SUM($AC109:AC109))</f>
        <v>0</v>
      </c>
      <c r="AE109" s="815">
        <f>IF(($Z109-($AA109*12)-SUM($AC109:AD109))&gt;0,$AA109*12,$Z109-SUM($AC109:AD109))</f>
        <v>0</v>
      </c>
      <c r="AF109" s="815">
        <f>IF(($Z109-($AA109*12)-SUM($AC109:AE109))&gt;0,$AA109*12,$Z109-SUM($AC109:AE109))</f>
        <v>0</v>
      </c>
      <c r="AG109" s="815">
        <f>IF(($Z109-($AA109*12)-SUM($AC109:AF109))&gt;0,$AA109*12,$Z109-SUM($AC109:AF109))</f>
        <v>0</v>
      </c>
      <c r="AH109" s="815">
        <f>IF(($Z109-($AA109*12)-SUM($AC109:AG109))&gt;0,$AA109*12,$Z109-SUM($AC109:AG109))</f>
        <v>0</v>
      </c>
      <c r="AI109" s="815">
        <f>IF(($Z109-($AA109*12)-SUM($AC109:AH109))&gt;0,$AA109*12,$Z109-SUM($AC109:AH109))</f>
        <v>0</v>
      </c>
      <c r="AJ109" s="815" t="b">
        <f t="shared" si="9"/>
        <v>1</v>
      </c>
    </row>
    <row r="110" spans="1:36" x14ac:dyDescent="0.25">
      <c r="A110" s="817" t="s">
        <v>1504</v>
      </c>
      <c r="B110" s="817" t="s">
        <v>243</v>
      </c>
      <c r="C110" s="817" t="s">
        <v>1249</v>
      </c>
      <c r="D110" s="817" t="s">
        <v>1521</v>
      </c>
      <c r="E110" s="817" t="s">
        <v>1521</v>
      </c>
      <c r="F110" s="816" t="s">
        <v>1522</v>
      </c>
      <c r="G110" s="817" t="s">
        <v>304</v>
      </c>
      <c r="H110" s="817" t="s">
        <v>721</v>
      </c>
      <c r="I110" s="817" t="s">
        <v>346</v>
      </c>
      <c r="J110" s="818">
        <v>30904.3</v>
      </c>
      <c r="K110" s="818">
        <v>30904.3</v>
      </c>
      <c r="L110" s="818">
        <v>30904.3</v>
      </c>
      <c r="M110" s="818">
        <v>0</v>
      </c>
      <c r="N110" s="818">
        <v>0</v>
      </c>
      <c r="O110" s="818">
        <v>0</v>
      </c>
      <c r="P110" s="818">
        <v>0</v>
      </c>
      <c r="Q110" s="818">
        <v>0</v>
      </c>
      <c r="R110" s="818">
        <v>0</v>
      </c>
      <c r="S110" s="818">
        <v>0</v>
      </c>
      <c r="T110" s="816" t="s">
        <v>1523</v>
      </c>
      <c r="U110" s="818">
        <v>0</v>
      </c>
      <c r="V110" s="816" t="s">
        <v>1253</v>
      </c>
      <c r="W110" s="816" t="s">
        <v>1207</v>
      </c>
      <c r="Y110" s="859">
        <f t="shared" si="6"/>
        <v>30904.3</v>
      </c>
      <c r="Z110" s="858">
        <f t="shared" si="7"/>
        <v>0</v>
      </c>
      <c r="AA110" s="859">
        <f t="shared" si="8"/>
        <v>0</v>
      </c>
      <c r="AB110" s="820" t="s">
        <v>802</v>
      </c>
      <c r="AC110" s="815">
        <f t="shared" si="13"/>
        <v>0</v>
      </c>
      <c r="AD110" s="815">
        <f>IF(($Z110-($AA110*12)-SUM($AC110:AC110))&gt;0,$AA110*12,$Z110-SUM($AC110:AC110))</f>
        <v>0</v>
      </c>
      <c r="AE110" s="815">
        <f>IF(($Z110-($AA110*12)-SUM($AC110:AD110))&gt;0,$AA110*12,$Z110-SUM($AC110:AD110))</f>
        <v>0</v>
      </c>
      <c r="AF110" s="815">
        <f>IF(($Z110-($AA110*12)-SUM($AC110:AE110))&gt;0,$AA110*12,$Z110-SUM($AC110:AE110))</f>
        <v>0</v>
      </c>
      <c r="AG110" s="815">
        <f>IF(($Z110-($AA110*12)-SUM($AC110:AF110))&gt;0,$AA110*12,$Z110-SUM($AC110:AF110))</f>
        <v>0</v>
      </c>
      <c r="AH110" s="815">
        <f>IF(($Z110-($AA110*12)-SUM($AC110:AG110))&gt;0,$AA110*12,$Z110-SUM($AC110:AG110))</f>
        <v>0</v>
      </c>
      <c r="AI110" s="815">
        <f>IF(($Z110-($AA110*12)-SUM($AC110:AH110))&gt;0,$AA110*12,$Z110-SUM($AC110:AH110))</f>
        <v>0</v>
      </c>
      <c r="AJ110" s="815" t="b">
        <f t="shared" si="9"/>
        <v>1</v>
      </c>
    </row>
    <row r="111" spans="1:36" x14ac:dyDescent="0.25">
      <c r="A111" s="817" t="s">
        <v>1340</v>
      </c>
      <c r="B111" s="817" t="s">
        <v>1524</v>
      </c>
      <c r="C111" s="817" t="s">
        <v>1249</v>
      </c>
      <c r="D111" s="817" t="s">
        <v>1525</v>
      </c>
      <c r="E111" s="817" t="s">
        <v>1525</v>
      </c>
      <c r="F111" s="816" t="s">
        <v>1479</v>
      </c>
      <c r="G111" s="817" t="s">
        <v>303</v>
      </c>
      <c r="H111" s="817" t="s">
        <v>1526</v>
      </c>
      <c r="I111" s="817">
        <v>1</v>
      </c>
      <c r="J111" s="818">
        <v>13052.93</v>
      </c>
      <c r="K111" s="818">
        <v>9120.9699999999993</v>
      </c>
      <c r="L111" s="818">
        <v>9120.9699999999993</v>
      </c>
      <c r="M111" s="818">
        <v>0</v>
      </c>
      <c r="N111" s="818">
        <v>135.59</v>
      </c>
      <c r="O111" s="818">
        <v>135.59</v>
      </c>
      <c r="P111" s="818">
        <v>0</v>
      </c>
      <c r="Q111" s="818">
        <v>1627</v>
      </c>
      <c r="R111" s="818">
        <v>1627</v>
      </c>
      <c r="S111" s="818">
        <v>0</v>
      </c>
      <c r="T111" s="816" t="s">
        <v>1527</v>
      </c>
      <c r="U111" s="818">
        <v>3931.96</v>
      </c>
      <c r="V111" s="816" t="s">
        <v>1253</v>
      </c>
      <c r="W111" s="816" t="s">
        <v>1207</v>
      </c>
      <c r="Y111" s="859">
        <f t="shared" si="6"/>
        <v>13052.93</v>
      </c>
      <c r="Z111" s="858">
        <f t="shared" si="7"/>
        <v>3931.9600000000009</v>
      </c>
      <c r="AA111" s="859">
        <f t="shared" si="8"/>
        <v>135.59</v>
      </c>
      <c r="AB111" s="820" t="s">
        <v>802</v>
      </c>
      <c r="AC111" s="815">
        <f t="shared" si="13"/>
        <v>1627.08</v>
      </c>
      <c r="AD111" s="815">
        <f>IF(($Z111-($AA111*12)-SUM($AC111:AC111))&gt;0,$AA111*12,$Z111-SUM($AC111:AC111))</f>
        <v>1627.08</v>
      </c>
      <c r="AE111" s="815">
        <f>IF(($Z111-($AA111*12)-SUM($AC111:AD111))&gt;0,$AA111*12,$Z111-SUM($AC111:AD111))</f>
        <v>677.80000000000109</v>
      </c>
      <c r="AF111" s="815">
        <f>IF(($Z111-($AA111*12)-SUM($AC111:AE111))&gt;0,$AA111*12,$Z111-SUM($AC111:AE111))</f>
        <v>0</v>
      </c>
      <c r="AG111" s="815">
        <f>IF(($Z111-($AA111*12)-SUM($AC111:AF111))&gt;0,$AA111*12,$Z111-SUM($AC111:AF111))</f>
        <v>0</v>
      </c>
      <c r="AH111" s="815">
        <f>IF(($Z111-($AA111*12)-SUM($AC111:AG111))&gt;0,$AA111*12,$Z111-SUM($AC111:AG111))</f>
        <v>0</v>
      </c>
      <c r="AI111" s="815">
        <f>IF(($Z111-($AA111*12)-SUM($AC111:AH111))&gt;0,$AA111*12,$Z111-SUM($AC111:AH111))</f>
        <v>0</v>
      </c>
      <c r="AJ111" s="815" t="b">
        <f t="shared" si="9"/>
        <v>1</v>
      </c>
    </row>
    <row r="112" spans="1:36" x14ac:dyDescent="0.25">
      <c r="G112" s="817" t="s">
        <v>162</v>
      </c>
      <c r="I112" s="815">
        <v>106</v>
      </c>
      <c r="J112" s="859">
        <f>SUM(J7:J111)</f>
        <v>1965370.7700000003</v>
      </c>
      <c r="K112" s="859">
        <f>SUM(K7:K111)</f>
        <v>1601044.6199999987</v>
      </c>
      <c r="L112" s="859">
        <f>SUM(L7:L111)</f>
        <v>1601044.6199999987</v>
      </c>
      <c r="N112" s="859">
        <f>SUM(N7:N111)</f>
        <v>14400.849999999999</v>
      </c>
      <c r="O112" s="859">
        <f>SUM(O7:O111)</f>
        <v>14400.849999999999</v>
      </c>
      <c r="Q112" s="859">
        <f>SUM(Q7:Q111)</f>
        <v>208541.6099999999</v>
      </c>
      <c r="R112" s="859">
        <f>SUM(R7:R111)</f>
        <v>208541.6099999999</v>
      </c>
      <c r="U112" s="859">
        <f>SUM(U18:U111)</f>
        <v>364326.14999999997</v>
      </c>
      <c r="Y112" s="859">
        <f t="shared" si="6"/>
        <v>1965370.7700000003</v>
      </c>
      <c r="Z112" s="858">
        <f t="shared" si="7"/>
        <v>364326.15000000154</v>
      </c>
      <c r="AA112" s="859">
        <f t="shared" si="8"/>
        <v>14400.849999999999</v>
      </c>
      <c r="AJ112" s="815" t="b">
        <f t="shared" si="9"/>
        <v>0</v>
      </c>
    </row>
    <row r="113" spans="20:35" x14ac:dyDescent="0.25">
      <c r="Y113" s="859">
        <f>SUM(Y7:Y112)</f>
        <v>3930741.5400000005</v>
      </c>
      <c r="Z113" s="815">
        <f>[6]Foaia1!$Z$120</f>
        <v>470282.7900000001</v>
      </c>
    </row>
    <row r="114" spans="20:35" x14ac:dyDescent="0.25">
      <c r="X114" s="820" t="s">
        <v>791</v>
      </c>
      <c r="Y114" s="640">
        <f>SUMIF($AB$7:$AB$112,X114,$Y$7:$Y$112)</f>
        <v>914243.8</v>
      </c>
      <c r="Z114" s="819">
        <f>'HRC1218'!K29+'HRC1218'!K31</f>
        <v>1757193.0599999998</v>
      </c>
      <c r="AB114" s="815" t="s">
        <v>162</v>
      </c>
      <c r="AC114" s="640">
        <f>SUM(AC7:AC111)</f>
        <v>162105.78000000006</v>
      </c>
      <c r="AD114" s="640">
        <f t="shared" ref="AD114:AI114" si="14">SUM(AD7:AD111)</f>
        <v>65994.44</v>
      </c>
      <c r="AE114" s="640">
        <f t="shared" si="14"/>
        <v>11583.460000000003</v>
      </c>
      <c r="AF114" s="640">
        <f t="shared" si="14"/>
        <v>2397.59</v>
      </c>
      <c r="AG114" s="640">
        <f t="shared" si="14"/>
        <v>574.09999999999854</v>
      </c>
      <c r="AH114" s="640">
        <f t="shared" si="14"/>
        <v>0</v>
      </c>
      <c r="AI114" s="640">
        <f t="shared" si="14"/>
        <v>0</v>
      </c>
    </row>
    <row r="115" spans="20:35" x14ac:dyDescent="0.25">
      <c r="U115" s="858">
        <f>U112-SUM(U85:U87)</f>
        <v>242571.30999999997</v>
      </c>
      <c r="X115" s="820" t="s">
        <v>802</v>
      </c>
      <c r="Y115" s="640">
        <f>SUMIF($AB$7:$AB$112,X115,$Y$7:$Y$112)</f>
        <v>208522.05</v>
      </c>
      <c r="Z115" s="819">
        <f>'HRC1218'!K34</f>
        <v>208177.71</v>
      </c>
      <c r="AA115" s="819"/>
      <c r="AB115" s="815" t="s">
        <v>1588</v>
      </c>
      <c r="AC115" s="640">
        <f>SUMIF($AB$7:$AB$111,$AB$111,AC7:AC111)</f>
        <v>9284.4599999999991</v>
      </c>
      <c r="AD115" s="640">
        <f t="shared" ref="AD115:AI115" si="15">SUMIF($AB$7:$AB$111,$AB$111,AD7:AD111)</f>
        <v>6035.43</v>
      </c>
      <c r="AE115" s="640">
        <f t="shared" si="15"/>
        <v>955.98000000000104</v>
      </c>
      <c r="AF115" s="640">
        <f t="shared" si="15"/>
        <v>0</v>
      </c>
      <c r="AG115" s="640">
        <f t="shared" si="15"/>
        <v>0</v>
      </c>
      <c r="AH115" s="640">
        <f t="shared" si="15"/>
        <v>0</v>
      </c>
      <c r="AI115" s="640">
        <f t="shared" si="15"/>
        <v>0</v>
      </c>
    </row>
    <row r="116" spans="20:35" x14ac:dyDescent="0.25">
      <c r="Y116" s="640"/>
      <c r="AB116" s="815" t="s">
        <v>1589</v>
      </c>
      <c r="AC116" s="640">
        <f>AC114-AC115</f>
        <v>152821.32000000007</v>
      </c>
      <c r="AD116" s="640">
        <f t="shared" ref="AD116:AI116" si="16">AD114-AD115</f>
        <v>59959.01</v>
      </c>
      <c r="AE116" s="640">
        <f t="shared" si="16"/>
        <v>10627.480000000001</v>
      </c>
      <c r="AF116" s="640">
        <f t="shared" si="16"/>
        <v>2397.59</v>
      </c>
      <c r="AG116" s="640">
        <f t="shared" si="16"/>
        <v>574.09999999999854</v>
      </c>
      <c r="AH116" s="640">
        <f t="shared" si="16"/>
        <v>0</v>
      </c>
      <c r="AI116" s="640">
        <f t="shared" si="16"/>
        <v>0</v>
      </c>
    </row>
    <row r="117" spans="20:35" x14ac:dyDescent="0.25">
      <c r="X117" s="820" t="s">
        <v>791</v>
      </c>
      <c r="Y117" s="640">
        <f>SUMIF($AB$7:$AB$112,X117,$Z$7:$Z$112)</f>
        <v>348134.33999999997</v>
      </c>
    </row>
    <row r="118" spans="20:35" x14ac:dyDescent="0.25">
      <c r="T118" s="895" t="s">
        <v>1590</v>
      </c>
      <c r="X118" s="820" t="s">
        <v>802</v>
      </c>
      <c r="Y118" s="640">
        <f>SUMIF($AB$7:$AB$112,X118,$Z$7:$Z$112)</f>
        <v>16191.810000000001</v>
      </c>
    </row>
    <row r="119" spans="20:35" x14ac:dyDescent="0.25">
      <c r="T119" s="815" t="s">
        <v>1591</v>
      </c>
      <c r="U119" s="815" t="s">
        <v>1592</v>
      </c>
      <c r="V119" s="815" t="s">
        <v>1593</v>
      </c>
      <c r="W119" s="815" t="s">
        <v>1594</v>
      </c>
      <c r="AC119" s="815">
        <v>2019</v>
      </c>
      <c r="AE119" s="815">
        <v>2020</v>
      </c>
    </row>
    <row r="120" spans="20:35" x14ac:dyDescent="0.25">
      <c r="T120" s="815" t="str">
        <f>T63</f>
        <v xml:space="preserve">AUTOT.DACIA LOGAN MCV -B.113.HRC        </v>
      </c>
      <c r="U120" s="815" t="str">
        <f>D63</f>
        <v>07/2015</v>
      </c>
      <c r="V120" s="815">
        <f>5+12+12+12</f>
        <v>41</v>
      </c>
      <c r="W120" s="815">
        <f>48-V120</f>
        <v>7</v>
      </c>
      <c r="AC120" s="815" t="s">
        <v>1595</v>
      </c>
      <c r="AD120" s="815" t="s">
        <v>1596</v>
      </c>
      <c r="AE120" s="815" t="s">
        <v>1595</v>
      </c>
      <c r="AF120" s="815" t="s">
        <v>1596</v>
      </c>
    </row>
    <row r="121" spans="20:35" x14ac:dyDescent="0.25">
      <c r="T121" s="815" t="str">
        <f>T64</f>
        <v xml:space="preserve">Autot.DACIA LOGAN MCV- B.114.HRC        </v>
      </c>
      <c r="U121" s="815" t="str">
        <f>D64</f>
        <v>07/2015</v>
      </c>
      <c r="V121" s="815">
        <f>5+12+12+12</f>
        <v>41</v>
      </c>
      <c r="W121" s="815">
        <f>48-V121</f>
        <v>7</v>
      </c>
      <c r="AC121" s="896">
        <f>166.72+167.32+167.91+168.51+169.11+169.72+170.39</f>
        <v>1179.6799999999998</v>
      </c>
      <c r="AD121" s="896">
        <f>4.21+3.61+3.02+2.42+1.82+1.21+0.58</f>
        <v>16.869999999999997</v>
      </c>
      <c r="AE121" s="896">
        <v>0</v>
      </c>
      <c r="AF121" s="896">
        <v>0</v>
      </c>
    </row>
    <row r="122" spans="20:35" x14ac:dyDescent="0.25">
      <c r="T122" s="815" t="str">
        <f>T74</f>
        <v xml:space="preserve">Auto VW Golf  1.6-B.116.HRC             </v>
      </c>
      <c r="U122" s="815" t="str">
        <f>D74</f>
        <v>04/2016</v>
      </c>
      <c r="V122" s="815">
        <f>8+12+12</f>
        <v>32</v>
      </c>
      <c r="W122" s="815">
        <f>48-V122</f>
        <v>16</v>
      </c>
      <c r="AC122" s="896">
        <f>166.72+167.32+167.91+168.51+169.11+169.72+170.39</f>
        <v>1179.6799999999998</v>
      </c>
      <c r="AD122" s="896">
        <f>4.21+3.61+3.02+2.42+1.82+1.21+0.58</f>
        <v>16.869999999999997</v>
      </c>
      <c r="AE122" s="896">
        <v>0</v>
      </c>
      <c r="AF122" s="896">
        <v>0</v>
      </c>
    </row>
    <row r="123" spans="20:35" x14ac:dyDescent="0.25">
      <c r="T123" s="815" t="str">
        <f>T87</f>
        <v xml:space="preserve">Autoturism Volkswagen GOLF B.118.HRC    </v>
      </c>
      <c r="U123" s="815" t="str">
        <f>D87</f>
        <v>12/2018</v>
      </c>
      <c r="V123" s="815">
        <v>0</v>
      </c>
      <c r="W123" s="815">
        <f>24-V123</f>
        <v>24</v>
      </c>
      <c r="AC123" s="896">
        <f>251.75+252.6+253.46+254.32+255.18+256.05+256.91+257.78+258.66+259.53+260.41+261.3</f>
        <v>3077.95</v>
      </c>
      <c r="AD123" s="896">
        <f>14+13.15+12.29+11.43+10.57+9.7+8.84+7.97+7.09+6.22+5.34+4.45</f>
        <v>111.05000000000001</v>
      </c>
      <c r="AE123" s="896">
        <f>262.18+263.07+263.96+264.72</f>
        <v>1053.93</v>
      </c>
      <c r="AF123" s="896">
        <f>3.57+2.68+1.79+1.06</f>
        <v>9.1</v>
      </c>
    </row>
    <row r="124" spans="20:35" x14ac:dyDescent="0.25">
      <c r="AC124" s="896">
        <f>394.12+395.35+396.58+397.82+399.07+400.31+401.56+402.82+404.08+405.34+406.61+407.88</f>
        <v>4811.54</v>
      </c>
      <c r="AD124" s="815">
        <f>37.21+35.98+34.75+33.51+32.26+31.02+29.77+28.51+27.25+25.99+24.72+23.45</f>
        <v>364.42</v>
      </c>
      <c r="AE124" s="896">
        <f>409.15+410.43+411.71+413+414.29+415.59+416.89+418.19+419.49+420.81+422.12+423.44</f>
        <v>4995.1099999999997</v>
      </c>
      <c r="AF124" s="896">
        <f>22.18+20.9+19.62+18.33+17.04+15.74+14.44+13.14+11.84+10.52+9.21+7.89</f>
        <v>180.85</v>
      </c>
    </row>
    <row r="125" spans="20:35" x14ac:dyDescent="0.25">
      <c r="AC125" s="897">
        <f>SUM(AC121:AC124)</f>
        <v>10248.849999999999</v>
      </c>
      <c r="AD125" s="897">
        <f>SUM(AD121:AD124)</f>
        <v>509.21000000000004</v>
      </c>
      <c r="AE125" s="897">
        <f>SUM(AE121:AE124)</f>
        <v>6049.04</v>
      </c>
      <c r="AF125" s="897">
        <f>SUM(AF121:AF124)</f>
        <v>189.95</v>
      </c>
    </row>
    <row r="129" spans="29:32" x14ac:dyDescent="0.25">
      <c r="AC129" s="896"/>
      <c r="AD129" s="896"/>
      <c r="AE129" s="896"/>
      <c r="AF129" s="896"/>
    </row>
    <row r="130" spans="29:32" x14ac:dyDescent="0.25">
      <c r="AC130" s="896"/>
      <c r="AD130" s="896"/>
      <c r="AE130" s="896"/>
      <c r="AF130" s="896"/>
    </row>
    <row r="131" spans="29:32" x14ac:dyDescent="0.25">
      <c r="AC131" s="896"/>
      <c r="AD131" s="896"/>
      <c r="AE131" s="896"/>
      <c r="AF131" s="896"/>
    </row>
    <row r="132" spans="29:32" x14ac:dyDescent="0.25">
      <c r="AC132" s="896"/>
      <c r="AE132" s="896"/>
      <c r="AF132" s="896"/>
    </row>
    <row r="133" spans="29:32" x14ac:dyDescent="0.25">
      <c r="AC133" s="897"/>
      <c r="AD133" s="897"/>
      <c r="AE133" s="897"/>
      <c r="AF133" s="897"/>
    </row>
  </sheetData>
  <mergeCells count="9">
    <mergeCell ref="K5:M5"/>
    <mergeCell ref="N5:P5"/>
    <mergeCell ref="Q5:S5"/>
    <mergeCell ref="A1:T1"/>
    <mergeCell ref="U1:W1"/>
    <mergeCell ref="A2:W3"/>
    <mergeCell ref="K4:M4"/>
    <mergeCell ref="N4:P4"/>
    <mergeCell ref="Q4:S4"/>
  </mergeCells>
  <conditionalFormatting sqref="AJ7:AJ112">
    <cfRule type="cellIs" dxfId="14" priority="1" operator="equal">
      <formula>FALSE</formula>
    </cfRule>
    <cfRule type="iconSet" priority="2">
      <iconSet iconSet="3Symbols2">
        <cfvo type="percent" val="0"/>
        <cfvo type="percent" val="33"/>
        <cfvo type="percent" val="67"/>
      </iconSet>
    </cfRule>
  </conditionalFormatting>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AI125"/>
  <sheetViews>
    <sheetView topLeftCell="U1" workbookViewId="0">
      <selection activeCell="Z20" sqref="Z20"/>
    </sheetView>
  </sheetViews>
  <sheetFormatPr defaultRowHeight="13.2" x14ac:dyDescent="0.25"/>
  <cols>
    <col min="1" max="1" width="3.6640625" style="815" customWidth="1"/>
    <col min="2" max="2" width="5.6640625" style="815" customWidth="1"/>
    <col min="3" max="3" width="3.6640625" style="815" customWidth="1"/>
    <col min="4" max="5" width="7.6640625" style="815" customWidth="1"/>
    <col min="6" max="6" width="9.6640625" style="815" customWidth="1"/>
    <col min="7" max="8" width="6.6640625" style="815" customWidth="1"/>
    <col min="9" max="9" width="3.6640625" style="815" customWidth="1"/>
    <col min="10" max="12" width="10.6640625" style="815" customWidth="1"/>
    <col min="13" max="13" width="5.6640625" style="815" customWidth="1"/>
    <col min="14" max="15" width="8.6640625" style="815" customWidth="1"/>
    <col min="16" max="16" width="5.6640625" style="815" customWidth="1"/>
    <col min="17" max="18" width="9.6640625" style="815" customWidth="1"/>
    <col min="19" max="19" width="5.6640625" style="815" customWidth="1"/>
    <col min="20" max="20" width="40.6640625" style="815" customWidth="1"/>
    <col min="21" max="22" width="9.6640625" style="815" customWidth="1"/>
    <col min="23" max="23" width="22.6640625" style="815" customWidth="1"/>
    <col min="24" max="24" width="8.88671875" style="815"/>
    <col min="25" max="25" width="13.44140625" style="815" customWidth="1"/>
    <col min="26" max="26" width="20" style="815" customWidth="1"/>
    <col min="27" max="27" width="13.33203125" style="815" customWidth="1"/>
    <col min="28" max="257" width="8.88671875" style="815"/>
    <col min="258" max="258" width="3.6640625" style="815" customWidth="1"/>
    <col min="259" max="259" width="5.6640625" style="815" customWidth="1"/>
    <col min="260" max="260" width="3.6640625" style="815" customWidth="1"/>
    <col min="261" max="262" width="7.6640625" style="815" customWidth="1"/>
    <col min="263" max="263" width="9.6640625" style="815" customWidth="1"/>
    <col min="264" max="265" width="6.6640625" style="815" customWidth="1"/>
    <col min="266" max="266" width="3.6640625" style="815" customWidth="1"/>
    <col min="267" max="269" width="10.6640625" style="815" customWidth="1"/>
    <col min="270" max="270" width="5.6640625" style="815" customWidth="1"/>
    <col min="271" max="272" width="8.6640625" style="815" customWidth="1"/>
    <col min="273" max="273" width="5.6640625" style="815" customWidth="1"/>
    <col min="274" max="275" width="9.6640625" style="815" customWidth="1"/>
    <col min="276" max="276" width="5.6640625" style="815" customWidth="1"/>
    <col min="277" max="277" width="40.6640625" style="815" customWidth="1"/>
    <col min="278" max="279" width="9.6640625" style="815" customWidth="1"/>
    <col min="280" max="280" width="22.6640625" style="815" customWidth="1"/>
    <col min="281" max="513" width="8.88671875" style="815"/>
    <col min="514" max="514" width="3.6640625" style="815" customWidth="1"/>
    <col min="515" max="515" width="5.6640625" style="815" customWidth="1"/>
    <col min="516" max="516" width="3.6640625" style="815" customWidth="1"/>
    <col min="517" max="518" width="7.6640625" style="815" customWidth="1"/>
    <col min="519" max="519" width="9.6640625" style="815" customWidth="1"/>
    <col min="520" max="521" width="6.6640625" style="815" customWidth="1"/>
    <col min="522" max="522" width="3.6640625" style="815" customWidth="1"/>
    <col min="523" max="525" width="10.6640625" style="815" customWidth="1"/>
    <col min="526" max="526" width="5.6640625" style="815" customWidth="1"/>
    <col min="527" max="528" width="8.6640625" style="815" customWidth="1"/>
    <col min="529" max="529" width="5.6640625" style="815" customWidth="1"/>
    <col min="530" max="531" width="9.6640625" style="815" customWidth="1"/>
    <col min="532" max="532" width="5.6640625" style="815" customWidth="1"/>
    <col min="533" max="533" width="40.6640625" style="815" customWidth="1"/>
    <col min="534" max="535" width="9.6640625" style="815" customWidth="1"/>
    <col min="536" max="536" width="22.6640625" style="815" customWidth="1"/>
    <col min="537" max="769" width="8.88671875" style="815"/>
    <col min="770" max="770" width="3.6640625" style="815" customWidth="1"/>
    <col min="771" max="771" width="5.6640625" style="815" customWidth="1"/>
    <col min="772" max="772" width="3.6640625" style="815" customWidth="1"/>
    <col min="773" max="774" width="7.6640625" style="815" customWidth="1"/>
    <col min="775" max="775" width="9.6640625" style="815" customWidth="1"/>
    <col min="776" max="777" width="6.6640625" style="815" customWidth="1"/>
    <col min="778" max="778" width="3.6640625" style="815" customWidth="1"/>
    <col min="779" max="781" width="10.6640625" style="815" customWidth="1"/>
    <col min="782" max="782" width="5.6640625" style="815" customWidth="1"/>
    <col min="783" max="784" width="8.6640625" style="815" customWidth="1"/>
    <col min="785" max="785" width="5.6640625" style="815" customWidth="1"/>
    <col min="786" max="787" width="9.6640625" style="815" customWidth="1"/>
    <col min="788" max="788" width="5.6640625" style="815" customWidth="1"/>
    <col min="789" max="789" width="40.6640625" style="815" customWidth="1"/>
    <col min="790" max="791" width="9.6640625" style="815" customWidth="1"/>
    <col min="792" max="792" width="22.6640625" style="815" customWidth="1"/>
    <col min="793" max="1025" width="8.88671875" style="815"/>
    <col min="1026" max="1026" width="3.6640625" style="815" customWidth="1"/>
    <col min="1027" max="1027" width="5.6640625" style="815" customWidth="1"/>
    <col min="1028" max="1028" width="3.6640625" style="815" customWidth="1"/>
    <col min="1029" max="1030" width="7.6640625" style="815" customWidth="1"/>
    <col min="1031" max="1031" width="9.6640625" style="815" customWidth="1"/>
    <col min="1032" max="1033" width="6.6640625" style="815" customWidth="1"/>
    <col min="1034" max="1034" width="3.6640625" style="815" customWidth="1"/>
    <col min="1035" max="1037" width="10.6640625" style="815" customWidth="1"/>
    <col min="1038" max="1038" width="5.6640625" style="815" customWidth="1"/>
    <col min="1039" max="1040" width="8.6640625" style="815" customWidth="1"/>
    <col min="1041" max="1041" width="5.6640625" style="815" customWidth="1"/>
    <col min="1042" max="1043" width="9.6640625" style="815" customWidth="1"/>
    <col min="1044" max="1044" width="5.6640625" style="815" customWidth="1"/>
    <col min="1045" max="1045" width="40.6640625" style="815" customWidth="1"/>
    <col min="1046" max="1047" width="9.6640625" style="815" customWidth="1"/>
    <col min="1048" max="1048" width="22.6640625" style="815" customWidth="1"/>
    <col min="1049" max="1281" width="8.88671875" style="815"/>
    <col min="1282" max="1282" width="3.6640625" style="815" customWidth="1"/>
    <col min="1283" max="1283" width="5.6640625" style="815" customWidth="1"/>
    <col min="1284" max="1284" width="3.6640625" style="815" customWidth="1"/>
    <col min="1285" max="1286" width="7.6640625" style="815" customWidth="1"/>
    <col min="1287" max="1287" width="9.6640625" style="815" customWidth="1"/>
    <col min="1288" max="1289" width="6.6640625" style="815" customWidth="1"/>
    <col min="1290" max="1290" width="3.6640625" style="815" customWidth="1"/>
    <col min="1291" max="1293" width="10.6640625" style="815" customWidth="1"/>
    <col min="1294" max="1294" width="5.6640625" style="815" customWidth="1"/>
    <col min="1295" max="1296" width="8.6640625" style="815" customWidth="1"/>
    <col min="1297" max="1297" width="5.6640625" style="815" customWidth="1"/>
    <col min="1298" max="1299" width="9.6640625" style="815" customWidth="1"/>
    <col min="1300" max="1300" width="5.6640625" style="815" customWidth="1"/>
    <col min="1301" max="1301" width="40.6640625" style="815" customWidth="1"/>
    <col min="1302" max="1303" width="9.6640625" style="815" customWidth="1"/>
    <col min="1304" max="1304" width="22.6640625" style="815" customWidth="1"/>
    <col min="1305" max="1537" width="8.88671875" style="815"/>
    <col min="1538" max="1538" width="3.6640625" style="815" customWidth="1"/>
    <col min="1539" max="1539" width="5.6640625" style="815" customWidth="1"/>
    <col min="1540" max="1540" width="3.6640625" style="815" customWidth="1"/>
    <col min="1541" max="1542" width="7.6640625" style="815" customWidth="1"/>
    <col min="1543" max="1543" width="9.6640625" style="815" customWidth="1"/>
    <col min="1544" max="1545" width="6.6640625" style="815" customWidth="1"/>
    <col min="1546" max="1546" width="3.6640625" style="815" customWidth="1"/>
    <col min="1547" max="1549" width="10.6640625" style="815" customWidth="1"/>
    <col min="1550" max="1550" width="5.6640625" style="815" customWidth="1"/>
    <col min="1551" max="1552" width="8.6640625" style="815" customWidth="1"/>
    <col min="1553" max="1553" width="5.6640625" style="815" customWidth="1"/>
    <col min="1554" max="1555" width="9.6640625" style="815" customWidth="1"/>
    <col min="1556" max="1556" width="5.6640625" style="815" customWidth="1"/>
    <col min="1557" max="1557" width="40.6640625" style="815" customWidth="1"/>
    <col min="1558" max="1559" width="9.6640625" style="815" customWidth="1"/>
    <col min="1560" max="1560" width="22.6640625" style="815" customWidth="1"/>
    <col min="1561" max="1793" width="8.88671875" style="815"/>
    <col min="1794" max="1794" width="3.6640625" style="815" customWidth="1"/>
    <col min="1795" max="1795" width="5.6640625" style="815" customWidth="1"/>
    <col min="1796" max="1796" width="3.6640625" style="815" customWidth="1"/>
    <col min="1797" max="1798" width="7.6640625" style="815" customWidth="1"/>
    <col min="1799" max="1799" width="9.6640625" style="815" customWidth="1"/>
    <col min="1800" max="1801" width="6.6640625" style="815" customWidth="1"/>
    <col min="1802" max="1802" width="3.6640625" style="815" customWidth="1"/>
    <col min="1803" max="1805" width="10.6640625" style="815" customWidth="1"/>
    <col min="1806" max="1806" width="5.6640625" style="815" customWidth="1"/>
    <col min="1807" max="1808" width="8.6640625" style="815" customWidth="1"/>
    <col min="1809" max="1809" width="5.6640625" style="815" customWidth="1"/>
    <col min="1810" max="1811" width="9.6640625" style="815" customWidth="1"/>
    <col min="1812" max="1812" width="5.6640625" style="815" customWidth="1"/>
    <col min="1813" max="1813" width="40.6640625" style="815" customWidth="1"/>
    <col min="1814" max="1815" width="9.6640625" style="815" customWidth="1"/>
    <col min="1816" max="1816" width="22.6640625" style="815" customWidth="1"/>
    <col min="1817" max="2049" width="8.88671875" style="815"/>
    <col min="2050" max="2050" width="3.6640625" style="815" customWidth="1"/>
    <col min="2051" max="2051" width="5.6640625" style="815" customWidth="1"/>
    <col min="2052" max="2052" width="3.6640625" style="815" customWidth="1"/>
    <col min="2053" max="2054" width="7.6640625" style="815" customWidth="1"/>
    <col min="2055" max="2055" width="9.6640625" style="815" customWidth="1"/>
    <col min="2056" max="2057" width="6.6640625" style="815" customWidth="1"/>
    <col min="2058" max="2058" width="3.6640625" style="815" customWidth="1"/>
    <col min="2059" max="2061" width="10.6640625" style="815" customWidth="1"/>
    <col min="2062" max="2062" width="5.6640625" style="815" customWidth="1"/>
    <col min="2063" max="2064" width="8.6640625" style="815" customWidth="1"/>
    <col min="2065" max="2065" width="5.6640625" style="815" customWidth="1"/>
    <col min="2066" max="2067" width="9.6640625" style="815" customWidth="1"/>
    <col min="2068" max="2068" width="5.6640625" style="815" customWidth="1"/>
    <col min="2069" max="2069" width="40.6640625" style="815" customWidth="1"/>
    <col min="2070" max="2071" width="9.6640625" style="815" customWidth="1"/>
    <col min="2072" max="2072" width="22.6640625" style="815" customWidth="1"/>
    <col min="2073" max="2305" width="8.88671875" style="815"/>
    <col min="2306" max="2306" width="3.6640625" style="815" customWidth="1"/>
    <col min="2307" max="2307" width="5.6640625" style="815" customWidth="1"/>
    <col min="2308" max="2308" width="3.6640625" style="815" customWidth="1"/>
    <col min="2309" max="2310" width="7.6640625" style="815" customWidth="1"/>
    <col min="2311" max="2311" width="9.6640625" style="815" customWidth="1"/>
    <col min="2312" max="2313" width="6.6640625" style="815" customWidth="1"/>
    <col min="2314" max="2314" width="3.6640625" style="815" customWidth="1"/>
    <col min="2315" max="2317" width="10.6640625" style="815" customWidth="1"/>
    <col min="2318" max="2318" width="5.6640625" style="815" customWidth="1"/>
    <col min="2319" max="2320" width="8.6640625" style="815" customWidth="1"/>
    <col min="2321" max="2321" width="5.6640625" style="815" customWidth="1"/>
    <col min="2322" max="2323" width="9.6640625" style="815" customWidth="1"/>
    <col min="2324" max="2324" width="5.6640625" style="815" customWidth="1"/>
    <col min="2325" max="2325" width="40.6640625" style="815" customWidth="1"/>
    <col min="2326" max="2327" width="9.6640625" style="815" customWidth="1"/>
    <col min="2328" max="2328" width="22.6640625" style="815" customWidth="1"/>
    <col min="2329" max="2561" width="8.88671875" style="815"/>
    <col min="2562" max="2562" width="3.6640625" style="815" customWidth="1"/>
    <col min="2563" max="2563" width="5.6640625" style="815" customWidth="1"/>
    <col min="2564" max="2564" width="3.6640625" style="815" customWidth="1"/>
    <col min="2565" max="2566" width="7.6640625" style="815" customWidth="1"/>
    <col min="2567" max="2567" width="9.6640625" style="815" customWidth="1"/>
    <col min="2568" max="2569" width="6.6640625" style="815" customWidth="1"/>
    <col min="2570" max="2570" width="3.6640625" style="815" customWidth="1"/>
    <col min="2571" max="2573" width="10.6640625" style="815" customWidth="1"/>
    <col min="2574" max="2574" width="5.6640625" style="815" customWidth="1"/>
    <col min="2575" max="2576" width="8.6640625" style="815" customWidth="1"/>
    <col min="2577" max="2577" width="5.6640625" style="815" customWidth="1"/>
    <col min="2578" max="2579" width="9.6640625" style="815" customWidth="1"/>
    <col min="2580" max="2580" width="5.6640625" style="815" customWidth="1"/>
    <col min="2581" max="2581" width="40.6640625" style="815" customWidth="1"/>
    <col min="2582" max="2583" width="9.6640625" style="815" customWidth="1"/>
    <col min="2584" max="2584" width="22.6640625" style="815" customWidth="1"/>
    <col min="2585" max="2817" width="8.88671875" style="815"/>
    <col min="2818" max="2818" width="3.6640625" style="815" customWidth="1"/>
    <col min="2819" max="2819" width="5.6640625" style="815" customWidth="1"/>
    <col min="2820" max="2820" width="3.6640625" style="815" customWidth="1"/>
    <col min="2821" max="2822" width="7.6640625" style="815" customWidth="1"/>
    <col min="2823" max="2823" width="9.6640625" style="815" customWidth="1"/>
    <col min="2824" max="2825" width="6.6640625" style="815" customWidth="1"/>
    <col min="2826" max="2826" width="3.6640625" style="815" customWidth="1"/>
    <col min="2827" max="2829" width="10.6640625" style="815" customWidth="1"/>
    <col min="2830" max="2830" width="5.6640625" style="815" customWidth="1"/>
    <col min="2831" max="2832" width="8.6640625" style="815" customWidth="1"/>
    <col min="2833" max="2833" width="5.6640625" style="815" customWidth="1"/>
    <col min="2834" max="2835" width="9.6640625" style="815" customWidth="1"/>
    <col min="2836" max="2836" width="5.6640625" style="815" customWidth="1"/>
    <col min="2837" max="2837" width="40.6640625" style="815" customWidth="1"/>
    <col min="2838" max="2839" width="9.6640625" style="815" customWidth="1"/>
    <col min="2840" max="2840" width="22.6640625" style="815" customWidth="1"/>
    <col min="2841" max="3073" width="8.88671875" style="815"/>
    <col min="3074" max="3074" width="3.6640625" style="815" customWidth="1"/>
    <col min="3075" max="3075" width="5.6640625" style="815" customWidth="1"/>
    <col min="3076" max="3076" width="3.6640625" style="815" customWidth="1"/>
    <col min="3077" max="3078" width="7.6640625" style="815" customWidth="1"/>
    <col min="3079" max="3079" width="9.6640625" style="815" customWidth="1"/>
    <col min="3080" max="3081" width="6.6640625" style="815" customWidth="1"/>
    <col min="3082" max="3082" width="3.6640625" style="815" customWidth="1"/>
    <col min="3083" max="3085" width="10.6640625" style="815" customWidth="1"/>
    <col min="3086" max="3086" width="5.6640625" style="815" customWidth="1"/>
    <col min="3087" max="3088" width="8.6640625" style="815" customWidth="1"/>
    <col min="3089" max="3089" width="5.6640625" style="815" customWidth="1"/>
    <col min="3090" max="3091" width="9.6640625" style="815" customWidth="1"/>
    <col min="3092" max="3092" width="5.6640625" style="815" customWidth="1"/>
    <col min="3093" max="3093" width="40.6640625" style="815" customWidth="1"/>
    <col min="3094" max="3095" width="9.6640625" style="815" customWidth="1"/>
    <col min="3096" max="3096" width="22.6640625" style="815" customWidth="1"/>
    <col min="3097" max="3329" width="8.88671875" style="815"/>
    <col min="3330" max="3330" width="3.6640625" style="815" customWidth="1"/>
    <col min="3331" max="3331" width="5.6640625" style="815" customWidth="1"/>
    <col min="3332" max="3332" width="3.6640625" style="815" customWidth="1"/>
    <col min="3333" max="3334" width="7.6640625" style="815" customWidth="1"/>
    <col min="3335" max="3335" width="9.6640625" style="815" customWidth="1"/>
    <col min="3336" max="3337" width="6.6640625" style="815" customWidth="1"/>
    <col min="3338" max="3338" width="3.6640625" style="815" customWidth="1"/>
    <col min="3339" max="3341" width="10.6640625" style="815" customWidth="1"/>
    <col min="3342" max="3342" width="5.6640625" style="815" customWidth="1"/>
    <col min="3343" max="3344" width="8.6640625" style="815" customWidth="1"/>
    <col min="3345" max="3345" width="5.6640625" style="815" customWidth="1"/>
    <col min="3346" max="3347" width="9.6640625" style="815" customWidth="1"/>
    <col min="3348" max="3348" width="5.6640625" style="815" customWidth="1"/>
    <col min="3349" max="3349" width="40.6640625" style="815" customWidth="1"/>
    <col min="3350" max="3351" width="9.6640625" style="815" customWidth="1"/>
    <col min="3352" max="3352" width="22.6640625" style="815" customWidth="1"/>
    <col min="3353" max="3585" width="8.88671875" style="815"/>
    <col min="3586" max="3586" width="3.6640625" style="815" customWidth="1"/>
    <col min="3587" max="3587" width="5.6640625" style="815" customWidth="1"/>
    <col min="3588" max="3588" width="3.6640625" style="815" customWidth="1"/>
    <col min="3589" max="3590" width="7.6640625" style="815" customWidth="1"/>
    <col min="3591" max="3591" width="9.6640625" style="815" customWidth="1"/>
    <col min="3592" max="3593" width="6.6640625" style="815" customWidth="1"/>
    <col min="3594" max="3594" width="3.6640625" style="815" customWidth="1"/>
    <col min="3595" max="3597" width="10.6640625" style="815" customWidth="1"/>
    <col min="3598" max="3598" width="5.6640625" style="815" customWidth="1"/>
    <col min="3599" max="3600" width="8.6640625" style="815" customWidth="1"/>
    <col min="3601" max="3601" width="5.6640625" style="815" customWidth="1"/>
    <col min="3602" max="3603" width="9.6640625" style="815" customWidth="1"/>
    <col min="3604" max="3604" width="5.6640625" style="815" customWidth="1"/>
    <col min="3605" max="3605" width="40.6640625" style="815" customWidth="1"/>
    <col min="3606" max="3607" width="9.6640625" style="815" customWidth="1"/>
    <col min="3608" max="3608" width="22.6640625" style="815" customWidth="1"/>
    <col min="3609" max="3841" width="8.88671875" style="815"/>
    <col min="3842" max="3842" width="3.6640625" style="815" customWidth="1"/>
    <col min="3843" max="3843" width="5.6640625" style="815" customWidth="1"/>
    <col min="3844" max="3844" width="3.6640625" style="815" customWidth="1"/>
    <col min="3845" max="3846" width="7.6640625" style="815" customWidth="1"/>
    <col min="3847" max="3847" width="9.6640625" style="815" customWidth="1"/>
    <col min="3848" max="3849" width="6.6640625" style="815" customWidth="1"/>
    <col min="3850" max="3850" width="3.6640625" style="815" customWidth="1"/>
    <col min="3851" max="3853" width="10.6640625" style="815" customWidth="1"/>
    <col min="3854" max="3854" width="5.6640625" style="815" customWidth="1"/>
    <col min="3855" max="3856" width="8.6640625" style="815" customWidth="1"/>
    <col min="3857" max="3857" width="5.6640625" style="815" customWidth="1"/>
    <col min="3858" max="3859" width="9.6640625" style="815" customWidth="1"/>
    <col min="3860" max="3860" width="5.6640625" style="815" customWidth="1"/>
    <col min="3861" max="3861" width="40.6640625" style="815" customWidth="1"/>
    <col min="3862" max="3863" width="9.6640625" style="815" customWidth="1"/>
    <col min="3864" max="3864" width="22.6640625" style="815" customWidth="1"/>
    <col min="3865" max="4097" width="8.88671875" style="815"/>
    <col min="4098" max="4098" width="3.6640625" style="815" customWidth="1"/>
    <col min="4099" max="4099" width="5.6640625" style="815" customWidth="1"/>
    <col min="4100" max="4100" width="3.6640625" style="815" customWidth="1"/>
    <col min="4101" max="4102" width="7.6640625" style="815" customWidth="1"/>
    <col min="4103" max="4103" width="9.6640625" style="815" customWidth="1"/>
    <col min="4104" max="4105" width="6.6640625" style="815" customWidth="1"/>
    <col min="4106" max="4106" width="3.6640625" style="815" customWidth="1"/>
    <col min="4107" max="4109" width="10.6640625" style="815" customWidth="1"/>
    <col min="4110" max="4110" width="5.6640625" style="815" customWidth="1"/>
    <col min="4111" max="4112" width="8.6640625" style="815" customWidth="1"/>
    <col min="4113" max="4113" width="5.6640625" style="815" customWidth="1"/>
    <col min="4114" max="4115" width="9.6640625" style="815" customWidth="1"/>
    <col min="4116" max="4116" width="5.6640625" style="815" customWidth="1"/>
    <col min="4117" max="4117" width="40.6640625" style="815" customWidth="1"/>
    <col min="4118" max="4119" width="9.6640625" style="815" customWidth="1"/>
    <col min="4120" max="4120" width="22.6640625" style="815" customWidth="1"/>
    <col min="4121" max="4353" width="8.88671875" style="815"/>
    <col min="4354" max="4354" width="3.6640625" style="815" customWidth="1"/>
    <col min="4355" max="4355" width="5.6640625" style="815" customWidth="1"/>
    <col min="4356" max="4356" width="3.6640625" style="815" customWidth="1"/>
    <col min="4357" max="4358" width="7.6640625" style="815" customWidth="1"/>
    <col min="4359" max="4359" width="9.6640625" style="815" customWidth="1"/>
    <col min="4360" max="4361" width="6.6640625" style="815" customWidth="1"/>
    <col min="4362" max="4362" width="3.6640625" style="815" customWidth="1"/>
    <col min="4363" max="4365" width="10.6640625" style="815" customWidth="1"/>
    <col min="4366" max="4366" width="5.6640625" style="815" customWidth="1"/>
    <col min="4367" max="4368" width="8.6640625" style="815" customWidth="1"/>
    <col min="4369" max="4369" width="5.6640625" style="815" customWidth="1"/>
    <col min="4370" max="4371" width="9.6640625" style="815" customWidth="1"/>
    <col min="4372" max="4372" width="5.6640625" style="815" customWidth="1"/>
    <col min="4373" max="4373" width="40.6640625" style="815" customWidth="1"/>
    <col min="4374" max="4375" width="9.6640625" style="815" customWidth="1"/>
    <col min="4376" max="4376" width="22.6640625" style="815" customWidth="1"/>
    <col min="4377" max="4609" width="8.88671875" style="815"/>
    <col min="4610" max="4610" width="3.6640625" style="815" customWidth="1"/>
    <col min="4611" max="4611" width="5.6640625" style="815" customWidth="1"/>
    <col min="4612" max="4612" width="3.6640625" style="815" customWidth="1"/>
    <col min="4613" max="4614" width="7.6640625" style="815" customWidth="1"/>
    <col min="4615" max="4615" width="9.6640625" style="815" customWidth="1"/>
    <col min="4616" max="4617" width="6.6640625" style="815" customWidth="1"/>
    <col min="4618" max="4618" width="3.6640625" style="815" customWidth="1"/>
    <col min="4619" max="4621" width="10.6640625" style="815" customWidth="1"/>
    <col min="4622" max="4622" width="5.6640625" style="815" customWidth="1"/>
    <col min="4623" max="4624" width="8.6640625" style="815" customWidth="1"/>
    <col min="4625" max="4625" width="5.6640625" style="815" customWidth="1"/>
    <col min="4626" max="4627" width="9.6640625" style="815" customWidth="1"/>
    <col min="4628" max="4628" width="5.6640625" style="815" customWidth="1"/>
    <col min="4629" max="4629" width="40.6640625" style="815" customWidth="1"/>
    <col min="4630" max="4631" width="9.6640625" style="815" customWidth="1"/>
    <col min="4632" max="4632" width="22.6640625" style="815" customWidth="1"/>
    <col min="4633" max="4865" width="8.88671875" style="815"/>
    <col min="4866" max="4866" width="3.6640625" style="815" customWidth="1"/>
    <col min="4867" max="4867" width="5.6640625" style="815" customWidth="1"/>
    <col min="4868" max="4868" width="3.6640625" style="815" customWidth="1"/>
    <col min="4869" max="4870" width="7.6640625" style="815" customWidth="1"/>
    <col min="4871" max="4871" width="9.6640625" style="815" customWidth="1"/>
    <col min="4872" max="4873" width="6.6640625" style="815" customWidth="1"/>
    <col min="4874" max="4874" width="3.6640625" style="815" customWidth="1"/>
    <col min="4875" max="4877" width="10.6640625" style="815" customWidth="1"/>
    <col min="4878" max="4878" width="5.6640625" style="815" customWidth="1"/>
    <col min="4879" max="4880" width="8.6640625" style="815" customWidth="1"/>
    <col min="4881" max="4881" width="5.6640625" style="815" customWidth="1"/>
    <col min="4882" max="4883" width="9.6640625" style="815" customWidth="1"/>
    <col min="4884" max="4884" width="5.6640625" style="815" customWidth="1"/>
    <col min="4885" max="4885" width="40.6640625" style="815" customWidth="1"/>
    <col min="4886" max="4887" width="9.6640625" style="815" customWidth="1"/>
    <col min="4888" max="4888" width="22.6640625" style="815" customWidth="1"/>
    <col min="4889" max="5121" width="8.88671875" style="815"/>
    <col min="5122" max="5122" width="3.6640625" style="815" customWidth="1"/>
    <col min="5123" max="5123" width="5.6640625" style="815" customWidth="1"/>
    <col min="5124" max="5124" width="3.6640625" style="815" customWidth="1"/>
    <col min="5125" max="5126" width="7.6640625" style="815" customWidth="1"/>
    <col min="5127" max="5127" width="9.6640625" style="815" customWidth="1"/>
    <col min="5128" max="5129" width="6.6640625" style="815" customWidth="1"/>
    <col min="5130" max="5130" width="3.6640625" style="815" customWidth="1"/>
    <col min="5131" max="5133" width="10.6640625" style="815" customWidth="1"/>
    <col min="5134" max="5134" width="5.6640625" style="815" customWidth="1"/>
    <col min="5135" max="5136" width="8.6640625" style="815" customWidth="1"/>
    <col min="5137" max="5137" width="5.6640625" style="815" customWidth="1"/>
    <col min="5138" max="5139" width="9.6640625" style="815" customWidth="1"/>
    <col min="5140" max="5140" width="5.6640625" style="815" customWidth="1"/>
    <col min="5141" max="5141" width="40.6640625" style="815" customWidth="1"/>
    <col min="5142" max="5143" width="9.6640625" style="815" customWidth="1"/>
    <col min="5144" max="5144" width="22.6640625" style="815" customWidth="1"/>
    <col min="5145" max="5377" width="8.88671875" style="815"/>
    <col min="5378" max="5378" width="3.6640625" style="815" customWidth="1"/>
    <col min="5379" max="5379" width="5.6640625" style="815" customWidth="1"/>
    <col min="5380" max="5380" width="3.6640625" style="815" customWidth="1"/>
    <col min="5381" max="5382" width="7.6640625" style="815" customWidth="1"/>
    <col min="5383" max="5383" width="9.6640625" style="815" customWidth="1"/>
    <col min="5384" max="5385" width="6.6640625" style="815" customWidth="1"/>
    <col min="5386" max="5386" width="3.6640625" style="815" customWidth="1"/>
    <col min="5387" max="5389" width="10.6640625" style="815" customWidth="1"/>
    <col min="5390" max="5390" width="5.6640625" style="815" customWidth="1"/>
    <col min="5391" max="5392" width="8.6640625" style="815" customWidth="1"/>
    <col min="5393" max="5393" width="5.6640625" style="815" customWidth="1"/>
    <col min="5394" max="5395" width="9.6640625" style="815" customWidth="1"/>
    <col min="5396" max="5396" width="5.6640625" style="815" customWidth="1"/>
    <col min="5397" max="5397" width="40.6640625" style="815" customWidth="1"/>
    <col min="5398" max="5399" width="9.6640625" style="815" customWidth="1"/>
    <col min="5400" max="5400" width="22.6640625" style="815" customWidth="1"/>
    <col min="5401" max="5633" width="8.88671875" style="815"/>
    <col min="5634" max="5634" width="3.6640625" style="815" customWidth="1"/>
    <col min="5635" max="5635" width="5.6640625" style="815" customWidth="1"/>
    <col min="5636" max="5636" width="3.6640625" style="815" customWidth="1"/>
    <col min="5637" max="5638" width="7.6640625" style="815" customWidth="1"/>
    <col min="5639" max="5639" width="9.6640625" style="815" customWidth="1"/>
    <col min="5640" max="5641" width="6.6640625" style="815" customWidth="1"/>
    <col min="5642" max="5642" width="3.6640625" style="815" customWidth="1"/>
    <col min="5643" max="5645" width="10.6640625" style="815" customWidth="1"/>
    <col min="5646" max="5646" width="5.6640625" style="815" customWidth="1"/>
    <col min="5647" max="5648" width="8.6640625" style="815" customWidth="1"/>
    <col min="5649" max="5649" width="5.6640625" style="815" customWidth="1"/>
    <col min="5650" max="5651" width="9.6640625" style="815" customWidth="1"/>
    <col min="5652" max="5652" width="5.6640625" style="815" customWidth="1"/>
    <col min="5653" max="5653" width="40.6640625" style="815" customWidth="1"/>
    <col min="5654" max="5655" width="9.6640625" style="815" customWidth="1"/>
    <col min="5656" max="5656" width="22.6640625" style="815" customWidth="1"/>
    <col min="5657" max="5889" width="8.88671875" style="815"/>
    <col min="5890" max="5890" width="3.6640625" style="815" customWidth="1"/>
    <col min="5891" max="5891" width="5.6640625" style="815" customWidth="1"/>
    <col min="5892" max="5892" width="3.6640625" style="815" customWidth="1"/>
    <col min="5893" max="5894" width="7.6640625" style="815" customWidth="1"/>
    <col min="5895" max="5895" width="9.6640625" style="815" customWidth="1"/>
    <col min="5896" max="5897" width="6.6640625" style="815" customWidth="1"/>
    <col min="5898" max="5898" width="3.6640625" style="815" customWidth="1"/>
    <col min="5899" max="5901" width="10.6640625" style="815" customWidth="1"/>
    <col min="5902" max="5902" width="5.6640625" style="815" customWidth="1"/>
    <col min="5903" max="5904" width="8.6640625" style="815" customWidth="1"/>
    <col min="5905" max="5905" width="5.6640625" style="815" customWidth="1"/>
    <col min="5906" max="5907" width="9.6640625" style="815" customWidth="1"/>
    <col min="5908" max="5908" width="5.6640625" style="815" customWidth="1"/>
    <col min="5909" max="5909" width="40.6640625" style="815" customWidth="1"/>
    <col min="5910" max="5911" width="9.6640625" style="815" customWidth="1"/>
    <col min="5912" max="5912" width="22.6640625" style="815" customWidth="1"/>
    <col min="5913" max="6145" width="8.88671875" style="815"/>
    <col min="6146" max="6146" width="3.6640625" style="815" customWidth="1"/>
    <col min="6147" max="6147" width="5.6640625" style="815" customWidth="1"/>
    <col min="6148" max="6148" width="3.6640625" style="815" customWidth="1"/>
    <col min="6149" max="6150" width="7.6640625" style="815" customWidth="1"/>
    <col min="6151" max="6151" width="9.6640625" style="815" customWidth="1"/>
    <col min="6152" max="6153" width="6.6640625" style="815" customWidth="1"/>
    <col min="6154" max="6154" width="3.6640625" style="815" customWidth="1"/>
    <col min="6155" max="6157" width="10.6640625" style="815" customWidth="1"/>
    <col min="6158" max="6158" width="5.6640625" style="815" customWidth="1"/>
    <col min="6159" max="6160" width="8.6640625" style="815" customWidth="1"/>
    <col min="6161" max="6161" width="5.6640625" style="815" customWidth="1"/>
    <col min="6162" max="6163" width="9.6640625" style="815" customWidth="1"/>
    <col min="6164" max="6164" width="5.6640625" style="815" customWidth="1"/>
    <col min="6165" max="6165" width="40.6640625" style="815" customWidth="1"/>
    <col min="6166" max="6167" width="9.6640625" style="815" customWidth="1"/>
    <col min="6168" max="6168" width="22.6640625" style="815" customWidth="1"/>
    <col min="6169" max="6401" width="8.88671875" style="815"/>
    <col min="6402" max="6402" width="3.6640625" style="815" customWidth="1"/>
    <col min="6403" max="6403" width="5.6640625" style="815" customWidth="1"/>
    <col min="6404" max="6404" width="3.6640625" style="815" customWidth="1"/>
    <col min="6405" max="6406" width="7.6640625" style="815" customWidth="1"/>
    <col min="6407" max="6407" width="9.6640625" style="815" customWidth="1"/>
    <col min="6408" max="6409" width="6.6640625" style="815" customWidth="1"/>
    <col min="6410" max="6410" width="3.6640625" style="815" customWidth="1"/>
    <col min="6411" max="6413" width="10.6640625" style="815" customWidth="1"/>
    <col min="6414" max="6414" width="5.6640625" style="815" customWidth="1"/>
    <col min="6415" max="6416" width="8.6640625" style="815" customWidth="1"/>
    <col min="6417" max="6417" width="5.6640625" style="815" customWidth="1"/>
    <col min="6418" max="6419" width="9.6640625" style="815" customWidth="1"/>
    <col min="6420" max="6420" width="5.6640625" style="815" customWidth="1"/>
    <col min="6421" max="6421" width="40.6640625" style="815" customWidth="1"/>
    <col min="6422" max="6423" width="9.6640625" style="815" customWidth="1"/>
    <col min="6424" max="6424" width="22.6640625" style="815" customWidth="1"/>
    <col min="6425" max="6657" width="8.88671875" style="815"/>
    <col min="6658" max="6658" width="3.6640625" style="815" customWidth="1"/>
    <col min="6659" max="6659" width="5.6640625" style="815" customWidth="1"/>
    <col min="6660" max="6660" width="3.6640625" style="815" customWidth="1"/>
    <col min="6661" max="6662" width="7.6640625" style="815" customWidth="1"/>
    <col min="6663" max="6663" width="9.6640625" style="815" customWidth="1"/>
    <col min="6664" max="6665" width="6.6640625" style="815" customWidth="1"/>
    <col min="6666" max="6666" width="3.6640625" style="815" customWidth="1"/>
    <col min="6667" max="6669" width="10.6640625" style="815" customWidth="1"/>
    <col min="6670" max="6670" width="5.6640625" style="815" customWidth="1"/>
    <col min="6671" max="6672" width="8.6640625" style="815" customWidth="1"/>
    <col min="6673" max="6673" width="5.6640625" style="815" customWidth="1"/>
    <col min="6674" max="6675" width="9.6640625" style="815" customWidth="1"/>
    <col min="6676" max="6676" width="5.6640625" style="815" customWidth="1"/>
    <col min="6677" max="6677" width="40.6640625" style="815" customWidth="1"/>
    <col min="6678" max="6679" width="9.6640625" style="815" customWidth="1"/>
    <col min="6680" max="6680" width="22.6640625" style="815" customWidth="1"/>
    <col min="6681" max="6913" width="8.88671875" style="815"/>
    <col min="6914" max="6914" width="3.6640625" style="815" customWidth="1"/>
    <col min="6915" max="6915" width="5.6640625" style="815" customWidth="1"/>
    <col min="6916" max="6916" width="3.6640625" style="815" customWidth="1"/>
    <col min="6917" max="6918" width="7.6640625" style="815" customWidth="1"/>
    <col min="6919" max="6919" width="9.6640625" style="815" customWidth="1"/>
    <col min="6920" max="6921" width="6.6640625" style="815" customWidth="1"/>
    <col min="6922" max="6922" width="3.6640625" style="815" customWidth="1"/>
    <col min="6923" max="6925" width="10.6640625" style="815" customWidth="1"/>
    <col min="6926" max="6926" width="5.6640625" style="815" customWidth="1"/>
    <col min="6927" max="6928" width="8.6640625" style="815" customWidth="1"/>
    <col min="6929" max="6929" width="5.6640625" style="815" customWidth="1"/>
    <col min="6930" max="6931" width="9.6640625" style="815" customWidth="1"/>
    <col min="6932" max="6932" width="5.6640625" style="815" customWidth="1"/>
    <col min="6933" max="6933" width="40.6640625" style="815" customWidth="1"/>
    <col min="6934" max="6935" width="9.6640625" style="815" customWidth="1"/>
    <col min="6936" max="6936" width="22.6640625" style="815" customWidth="1"/>
    <col min="6937" max="7169" width="8.88671875" style="815"/>
    <col min="7170" max="7170" width="3.6640625" style="815" customWidth="1"/>
    <col min="7171" max="7171" width="5.6640625" style="815" customWidth="1"/>
    <col min="7172" max="7172" width="3.6640625" style="815" customWidth="1"/>
    <col min="7173" max="7174" width="7.6640625" style="815" customWidth="1"/>
    <col min="7175" max="7175" width="9.6640625" style="815" customWidth="1"/>
    <col min="7176" max="7177" width="6.6640625" style="815" customWidth="1"/>
    <col min="7178" max="7178" width="3.6640625" style="815" customWidth="1"/>
    <col min="7179" max="7181" width="10.6640625" style="815" customWidth="1"/>
    <col min="7182" max="7182" width="5.6640625" style="815" customWidth="1"/>
    <col min="7183" max="7184" width="8.6640625" style="815" customWidth="1"/>
    <col min="7185" max="7185" width="5.6640625" style="815" customWidth="1"/>
    <col min="7186" max="7187" width="9.6640625" style="815" customWidth="1"/>
    <col min="7188" max="7188" width="5.6640625" style="815" customWidth="1"/>
    <col min="7189" max="7189" width="40.6640625" style="815" customWidth="1"/>
    <col min="7190" max="7191" width="9.6640625" style="815" customWidth="1"/>
    <col min="7192" max="7192" width="22.6640625" style="815" customWidth="1"/>
    <col min="7193" max="7425" width="8.88671875" style="815"/>
    <col min="7426" max="7426" width="3.6640625" style="815" customWidth="1"/>
    <col min="7427" max="7427" width="5.6640625" style="815" customWidth="1"/>
    <col min="7428" max="7428" width="3.6640625" style="815" customWidth="1"/>
    <col min="7429" max="7430" width="7.6640625" style="815" customWidth="1"/>
    <col min="7431" max="7431" width="9.6640625" style="815" customWidth="1"/>
    <col min="7432" max="7433" width="6.6640625" style="815" customWidth="1"/>
    <col min="7434" max="7434" width="3.6640625" style="815" customWidth="1"/>
    <col min="7435" max="7437" width="10.6640625" style="815" customWidth="1"/>
    <col min="7438" max="7438" width="5.6640625" style="815" customWidth="1"/>
    <col min="7439" max="7440" width="8.6640625" style="815" customWidth="1"/>
    <col min="7441" max="7441" width="5.6640625" style="815" customWidth="1"/>
    <col min="7442" max="7443" width="9.6640625" style="815" customWidth="1"/>
    <col min="7444" max="7444" width="5.6640625" style="815" customWidth="1"/>
    <col min="7445" max="7445" width="40.6640625" style="815" customWidth="1"/>
    <col min="7446" max="7447" width="9.6640625" style="815" customWidth="1"/>
    <col min="7448" max="7448" width="22.6640625" style="815" customWidth="1"/>
    <col min="7449" max="7681" width="8.88671875" style="815"/>
    <col min="7682" max="7682" width="3.6640625" style="815" customWidth="1"/>
    <col min="7683" max="7683" width="5.6640625" style="815" customWidth="1"/>
    <col min="7684" max="7684" width="3.6640625" style="815" customWidth="1"/>
    <col min="7685" max="7686" width="7.6640625" style="815" customWidth="1"/>
    <col min="7687" max="7687" width="9.6640625" style="815" customWidth="1"/>
    <col min="7688" max="7689" width="6.6640625" style="815" customWidth="1"/>
    <col min="7690" max="7690" width="3.6640625" style="815" customWidth="1"/>
    <col min="7691" max="7693" width="10.6640625" style="815" customWidth="1"/>
    <col min="7694" max="7694" width="5.6640625" style="815" customWidth="1"/>
    <col min="7695" max="7696" width="8.6640625" style="815" customWidth="1"/>
    <col min="7697" max="7697" width="5.6640625" style="815" customWidth="1"/>
    <col min="7698" max="7699" width="9.6640625" style="815" customWidth="1"/>
    <col min="7700" max="7700" width="5.6640625" style="815" customWidth="1"/>
    <col min="7701" max="7701" width="40.6640625" style="815" customWidth="1"/>
    <col min="7702" max="7703" width="9.6640625" style="815" customWidth="1"/>
    <col min="7704" max="7704" width="22.6640625" style="815" customWidth="1"/>
    <col min="7705" max="7937" width="8.88671875" style="815"/>
    <col min="7938" max="7938" width="3.6640625" style="815" customWidth="1"/>
    <col min="7939" max="7939" width="5.6640625" style="815" customWidth="1"/>
    <col min="7940" max="7940" width="3.6640625" style="815" customWidth="1"/>
    <col min="7941" max="7942" width="7.6640625" style="815" customWidth="1"/>
    <col min="7943" max="7943" width="9.6640625" style="815" customWidth="1"/>
    <col min="7944" max="7945" width="6.6640625" style="815" customWidth="1"/>
    <col min="7946" max="7946" width="3.6640625" style="815" customWidth="1"/>
    <col min="7947" max="7949" width="10.6640625" style="815" customWidth="1"/>
    <col min="7950" max="7950" width="5.6640625" style="815" customWidth="1"/>
    <col min="7951" max="7952" width="8.6640625" style="815" customWidth="1"/>
    <col min="7953" max="7953" width="5.6640625" style="815" customWidth="1"/>
    <col min="7954" max="7955" width="9.6640625" style="815" customWidth="1"/>
    <col min="7956" max="7956" width="5.6640625" style="815" customWidth="1"/>
    <col min="7957" max="7957" width="40.6640625" style="815" customWidth="1"/>
    <col min="7958" max="7959" width="9.6640625" style="815" customWidth="1"/>
    <col min="7960" max="7960" width="22.6640625" style="815" customWidth="1"/>
    <col min="7961" max="8193" width="8.88671875" style="815"/>
    <col min="8194" max="8194" width="3.6640625" style="815" customWidth="1"/>
    <col min="8195" max="8195" width="5.6640625" style="815" customWidth="1"/>
    <col min="8196" max="8196" width="3.6640625" style="815" customWidth="1"/>
    <col min="8197" max="8198" width="7.6640625" style="815" customWidth="1"/>
    <col min="8199" max="8199" width="9.6640625" style="815" customWidth="1"/>
    <col min="8200" max="8201" width="6.6640625" style="815" customWidth="1"/>
    <col min="8202" max="8202" width="3.6640625" style="815" customWidth="1"/>
    <col min="8203" max="8205" width="10.6640625" style="815" customWidth="1"/>
    <col min="8206" max="8206" width="5.6640625" style="815" customWidth="1"/>
    <col min="8207" max="8208" width="8.6640625" style="815" customWidth="1"/>
    <col min="8209" max="8209" width="5.6640625" style="815" customWidth="1"/>
    <col min="8210" max="8211" width="9.6640625" style="815" customWidth="1"/>
    <col min="8212" max="8212" width="5.6640625" style="815" customWidth="1"/>
    <col min="8213" max="8213" width="40.6640625" style="815" customWidth="1"/>
    <col min="8214" max="8215" width="9.6640625" style="815" customWidth="1"/>
    <col min="8216" max="8216" width="22.6640625" style="815" customWidth="1"/>
    <col min="8217" max="8449" width="8.88671875" style="815"/>
    <col min="8450" max="8450" width="3.6640625" style="815" customWidth="1"/>
    <col min="8451" max="8451" width="5.6640625" style="815" customWidth="1"/>
    <col min="8452" max="8452" width="3.6640625" style="815" customWidth="1"/>
    <col min="8453" max="8454" width="7.6640625" style="815" customWidth="1"/>
    <col min="8455" max="8455" width="9.6640625" style="815" customWidth="1"/>
    <col min="8456" max="8457" width="6.6640625" style="815" customWidth="1"/>
    <col min="8458" max="8458" width="3.6640625" style="815" customWidth="1"/>
    <col min="8459" max="8461" width="10.6640625" style="815" customWidth="1"/>
    <col min="8462" max="8462" width="5.6640625" style="815" customWidth="1"/>
    <col min="8463" max="8464" width="8.6640625" style="815" customWidth="1"/>
    <col min="8465" max="8465" width="5.6640625" style="815" customWidth="1"/>
    <col min="8466" max="8467" width="9.6640625" style="815" customWidth="1"/>
    <col min="8468" max="8468" width="5.6640625" style="815" customWidth="1"/>
    <col min="8469" max="8469" width="40.6640625" style="815" customWidth="1"/>
    <col min="8470" max="8471" width="9.6640625" style="815" customWidth="1"/>
    <col min="8472" max="8472" width="22.6640625" style="815" customWidth="1"/>
    <col min="8473" max="8705" width="8.88671875" style="815"/>
    <col min="8706" max="8706" width="3.6640625" style="815" customWidth="1"/>
    <col min="8707" max="8707" width="5.6640625" style="815" customWidth="1"/>
    <col min="8708" max="8708" width="3.6640625" style="815" customWidth="1"/>
    <col min="8709" max="8710" width="7.6640625" style="815" customWidth="1"/>
    <col min="8711" max="8711" width="9.6640625" style="815" customWidth="1"/>
    <col min="8712" max="8713" width="6.6640625" style="815" customWidth="1"/>
    <col min="8714" max="8714" width="3.6640625" style="815" customWidth="1"/>
    <col min="8715" max="8717" width="10.6640625" style="815" customWidth="1"/>
    <col min="8718" max="8718" width="5.6640625" style="815" customWidth="1"/>
    <col min="8719" max="8720" width="8.6640625" style="815" customWidth="1"/>
    <col min="8721" max="8721" width="5.6640625" style="815" customWidth="1"/>
    <col min="8722" max="8723" width="9.6640625" style="815" customWidth="1"/>
    <col min="8724" max="8724" width="5.6640625" style="815" customWidth="1"/>
    <col min="8725" max="8725" width="40.6640625" style="815" customWidth="1"/>
    <col min="8726" max="8727" width="9.6640625" style="815" customWidth="1"/>
    <col min="8728" max="8728" width="22.6640625" style="815" customWidth="1"/>
    <col min="8729" max="8961" width="8.88671875" style="815"/>
    <col min="8962" max="8962" width="3.6640625" style="815" customWidth="1"/>
    <col min="8963" max="8963" width="5.6640625" style="815" customWidth="1"/>
    <col min="8964" max="8964" width="3.6640625" style="815" customWidth="1"/>
    <col min="8965" max="8966" width="7.6640625" style="815" customWidth="1"/>
    <col min="8967" max="8967" width="9.6640625" style="815" customWidth="1"/>
    <col min="8968" max="8969" width="6.6640625" style="815" customWidth="1"/>
    <col min="8970" max="8970" width="3.6640625" style="815" customWidth="1"/>
    <col min="8971" max="8973" width="10.6640625" style="815" customWidth="1"/>
    <col min="8974" max="8974" width="5.6640625" style="815" customWidth="1"/>
    <col min="8975" max="8976" width="8.6640625" style="815" customWidth="1"/>
    <col min="8977" max="8977" width="5.6640625" style="815" customWidth="1"/>
    <col min="8978" max="8979" width="9.6640625" style="815" customWidth="1"/>
    <col min="8980" max="8980" width="5.6640625" style="815" customWidth="1"/>
    <col min="8981" max="8981" width="40.6640625" style="815" customWidth="1"/>
    <col min="8982" max="8983" width="9.6640625" style="815" customWidth="1"/>
    <col min="8984" max="8984" width="22.6640625" style="815" customWidth="1"/>
    <col min="8985" max="9217" width="8.88671875" style="815"/>
    <col min="9218" max="9218" width="3.6640625" style="815" customWidth="1"/>
    <col min="9219" max="9219" width="5.6640625" style="815" customWidth="1"/>
    <col min="9220" max="9220" width="3.6640625" style="815" customWidth="1"/>
    <col min="9221" max="9222" width="7.6640625" style="815" customWidth="1"/>
    <col min="9223" max="9223" width="9.6640625" style="815" customWidth="1"/>
    <col min="9224" max="9225" width="6.6640625" style="815" customWidth="1"/>
    <col min="9226" max="9226" width="3.6640625" style="815" customWidth="1"/>
    <col min="9227" max="9229" width="10.6640625" style="815" customWidth="1"/>
    <col min="9230" max="9230" width="5.6640625" style="815" customWidth="1"/>
    <col min="9231" max="9232" width="8.6640625" style="815" customWidth="1"/>
    <col min="9233" max="9233" width="5.6640625" style="815" customWidth="1"/>
    <col min="9234" max="9235" width="9.6640625" style="815" customWidth="1"/>
    <col min="9236" max="9236" width="5.6640625" style="815" customWidth="1"/>
    <col min="9237" max="9237" width="40.6640625" style="815" customWidth="1"/>
    <col min="9238" max="9239" width="9.6640625" style="815" customWidth="1"/>
    <col min="9240" max="9240" width="22.6640625" style="815" customWidth="1"/>
    <col min="9241" max="9473" width="8.88671875" style="815"/>
    <col min="9474" max="9474" width="3.6640625" style="815" customWidth="1"/>
    <col min="9475" max="9475" width="5.6640625" style="815" customWidth="1"/>
    <col min="9476" max="9476" width="3.6640625" style="815" customWidth="1"/>
    <col min="9477" max="9478" width="7.6640625" style="815" customWidth="1"/>
    <col min="9479" max="9479" width="9.6640625" style="815" customWidth="1"/>
    <col min="9480" max="9481" width="6.6640625" style="815" customWidth="1"/>
    <col min="9482" max="9482" width="3.6640625" style="815" customWidth="1"/>
    <col min="9483" max="9485" width="10.6640625" style="815" customWidth="1"/>
    <col min="9486" max="9486" width="5.6640625" style="815" customWidth="1"/>
    <col min="9487" max="9488" width="8.6640625" style="815" customWidth="1"/>
    <col min="9489" max="9489" width="5.6640625" style="815" customWidth="1"/>
    <col min="9490" max="9491" width="9.6640625" style="815" customWidth="1"/>
    <col min="9492" max="9492" width="5.6640625" style="815" customWidth="1"/>
    <col min="9493" max="9493" width="40.6640625" style="815" customWidth="1"/>
    <col min="9494" max="9495" width="9.6640625" style="815" customWidth="1"/>
    <col min="9496" max="9496" width="22.6640625" style="815" customWidth="1"/>
    <col min="9497" max="9729" width="8.88671875" style="815"/>
    <col min="9730" max="9730" width="3.6640625" style="815" customWidth="1"/>
    <col min="9731" max="9731" width="5.6640625" style="815" customWidth="1"/>
    <col min="9732" max="9732" width="3.6640625" style="815" customWidth="1"/>
    <col min="9733" max="9734" width="7.6640625" style="815" customWidth="1"/>
    <col min="9735" max="9735" width="9.6640625" style="815" customWidth="1"/>
    <col min="9736" max="9737" width="6.6640625" style="815" customWidth="1"/>
    <col min="9738" max="9738" width="3.6640625" style="815" customWidth="1"/>
    <col min="9739" max="9741" width="10.6640625" style="815" customWidth="1"/>
    <col min="9742" max="9742" width="5.6640625" style="815" customWidth="1"/>
    <col min="9743" max="9744" width="8.6640625" style="815" customWidth="1"/>
    <col min="9745" max="9745" width="5.6640625" style="815" customWidth="1"/>
    <col min="9746" max="9747" width="9.6640625" style="815" customWidth="1"/>
    <col min="9748" max="9748" width="5.6640625" style="815" customWidth="1"/>
    <col min="9749" max="9749" width="40.6640625" style="815" customWidth="1"/>
    <col min="9750" max="9751" width="9.6640625" style="815" customWidth="1"/>
    <col min="9752" max="9752" width="22.6640625" style="815" customWidth="1"/>
    <col min="9753" max="9985" width="8.88671875" style="815"/>
    <col min="9986" max="9986" width="3.6640625" style="815" customWidth="1"/>
    <col min="9987" max="9987" width="5.6640625" style="815" customWidth="1"/>
    <col min="9988" max="9988" width="3.6640625" style="815" customWidth="1"/>
    <col min="9989" max="9990" width="7.6640625" style="815" customWidth="1"/>
    <col min="9991" max="9991" width="9.6640625" style="815" customWidth="1"/>
    <col min="9992" max="9993" width="6.6640625" style="815" customWidth="1"/>
    <col min="9994" max="9994" width="3.6640625" style="815" customWidth="1"/>
    <col min="9995" max="9997" width="10.6640625" style="815" customWidth="1"/>
    <col min="9998" max="9998" width="5.6640625" style="815" customWidth="1"/>
    <col min="9999" max="10000" width="8.6640625" style="815" customWidth="1"/>
    <col min="10001" max="10001" width="5.6640625" style="815" customWidth="1"/>
    <col min="10002" max="10003" width="9.6640625" style="815" customWidth="1"/>
    <col min="10004" max="10004" width="5.6640625" style="815" customWidth="1"/>
    <col min="10005" max="10005" width="40.6640625" style="815" customWidth="1"/>
    <col min="10006" max="10007" width="9.6640625" style="815" customWidth="1"/>
    <col min="10008" max="10008" width="22.6640625" style="815" customWidth="1"/>
    <col min="10009" max="10241" width="8.88671875" style="815"/>
    <col min="10242" max="10242" width="3.6640625" style="815" customWidth="1"/>
    <col min="10243" max="10243" width="5.6640625" style="815" customWidth="1"/>
    <col min="10244" max="10244" width="3.6640625" style="815" customWidth="1"/>
    <col min="10245" max="10246" width="7.6640625" style="815" customWidth="1"/>
    <col min="10247" max="10247" width="9.6640625" style="815" customWidth="1"/>
    <col min="10248" max="10249" width="6.6640625" style="815" customWidth="1"/>
    <col min="10250" max="10250" width="3.6640625" style="815" customWidth="1"/>
    <col min="10251" max="10253" width="10.6640625" style="815" customWidth="1"/>
    <col min="10254" max="10254" width="5.6640625" style="815" customWidth="1"/>
    <col min="10255" max="10256" width="8.6640625" style="815" customWidth="1"/>
    <col min="10257" max="10257" width="5.6640625" style="815" customWidth="1"/>
    <col min="10258" max="10259" width="9.6640625" style="815" customWidth="1"/>
    <col min="10260" max="10260" width="5.6640625" style="815" customWidth="1"/>
    <col min="10261" max="10261" width="40.6640625" style="815" customWidth="1"/>
    <col min="10262" max="10263" width="9.6640625" style="815" customWidth="1"/>
    <col min="10264" max="10264" width="22.6640625" style="815" customWidth="1"/>
    <col min="10265" max="10497" width="8.88671875" style="815"/>
    <col min="10498" max="10498" width="3.6640625" style="815" customWidth="1"/>
    <col min="10499" max="10499" width="5.6640625" style="815" customWidth="1"/>
    <col min="10500" max="10500" width="3.6640625" style="815" customWidth="1"/>
    <col min="10501" max="10502" width="7.6640625" style="815" customWidth="1"/>
    <col min="10503" max="10503" width="9.6640625" style="815" customWidth="1"/>
    <col min="10504" max="10505" width="6.6640625" style="815" customWidth="1"/>
    <col min="10506" max="10506" width="3.6640625" style="815" customWidth="1"/>
    <col min="10507" max="10509" width="10.6640625" style="815" customWidth="1"/>
    <col min="10510" max="10510" width="5.6640625" style="815" customWidth="1"/>
    <col min="10511" max="10512" width="8.6640625" style="815" customWidth="1"/>
    <col min="10513" max="10513" width="5.6640625" style="815" customWidth="1"/>
    <col min="10514" max="10515" width="9.6640625" style="815" customWidth="1"/>
    <col min="10516" max="10516" width="5.6640625" style="815" customWidth="1"/>
    <col min="10517" max="10517" width="40.6640625" style="815" customWidth="1"/>
    <col min="10518" max="10519" width="9.6640625" style="815" customWidth="1"/>
    <col min="10520" max="10520" width="22.6640625" style="815" customWidth="1"/>
    <col min="10521" max="10753" width="8.88671875" style="815"/>
    <col min="10754" max="10754" width="3.6640625" style="815" customWidth="1"/>
    <col min="10755" max="10755" width="5.6640625" style="815" customWidth="1"/>
    <col min="10756" max="10756" width="3.6640625" style="815" customWidth="1"/>
    <col min="10757" max="10758" width="7.6640625" style="815" customWidth="1"/>
    <col min="10759" max="10759" width="9.6640625" style="815" customWidth="1"/>
    <col min="10760" max="10761" width="6.6640625" style="815" customWidth="1"/>
    <col min="10762" max="10762" width="3.6640625" style="815" customWidth="1"/>
    <col min="10763" max="10765" width="10.6640625" style="815" customWidth="1"/>
    <col min="10766" max="10766" width="5.6640625" style="815" customWidth="1"/>
    <col min="10767" max="10768" width="8.6640625" style="815" customWidth="1"/>
    <col min="10769" max="10769" width="5.6640625" style="815" customWidth="1"/>
    <col min="10770" max="10771" width="9.6640625" style="815" customWidth="1"/>
    <col min="10772" max="10772" width="5.6640625" style="815" customWidth="1"/>
    <col min="10773" max="10773" width="40.6640625" style="815" customWidth="1"/>
    <col min="10774" max="10775" width="9.6640625" style="815" customWidth="1"/>
    <col min="10776" max="10776" width="22.6640625" style="815" customWidth="1"/>
    <col min="10777" max="11009" width="8.88671875" style="815"/>
    <col min="11010" max="11010" width="3.6640625" style="815" customWidth="1"/>
    <col min="11011" max="11011" width="5.6640625" style="815" customWidth="1"/>
    <col min="11012" max="11012" width="3.6640625" style="815" customWidth="1"/>
    <col min="11013" max="11014" width="7.6640625" style="815" customWidth="1"/>
    <col min="11015" max="11015" width="9.6640625" style="815" customWidth="1"/>
    <col min="11016" max="11017" width="6.6640625" style="815" customWidth="1"/>
    <col min="11018" max="11018" width="3.6640625" style="815" customWidth="1"/>
    <col min="11019" max="11021" width="10.6640625" style="815" customWidth="1"/>
    <col min="11022" max="11022" width="5.6640625" style="815" customWidth="1"/>
    <col min="11023" max="11024" width="8.6640625" style="815" customWidth="1"/>
    <col min="11025" max="11025" width="5.6640625" style="815" customWidth="1"/>
    <col min="11026" max="11027" width="9.6640625" style="815" customWidth="1"/>
    <col min="11028" max="11028" width="5.6640625" style="815" customWidth="1"/>
    <col min="11029" max="11029" width="40.6640625" style="815" customWidth="1"/>
    <col min="11030" max="11031" width="9.6640625" style="815" customWidth="1"/>
    <col min="11032" max="11032" width="22.6640625" style="815" customWidth="1"/>
    <col min="11033" max="11265" width="8.88671875" style="815"/>
    <col min="11266" max="11266" width="3.6640625" style="815" customWidth="1"/>
    <col min="11267" max="11267" width="5.6640625" style="815" customWidth="1"/>
    <col min="11268" max="11268" width="3.6640625" style="815" customWidth="1"/>
    <col min="11269" max="11270" width="7.6640625" style="815" customWidth="1"/>
    <col min="11271" max="11271" width="9.6640625" style="815" customWidth="1"/>
    <col min="11272" max="11273" width="6.6640625" style="815" customWidth="1"/>
    <col min="11274" max="11274" width="3.6640625" style="815" customWidth="1"/>
    <col min="11275" max="11277" width="10.6640625" style="815" customWidth="1"/>
    <col min="11278" max="11278" width="5.6640625" style="815" customWidth="1"/>
    <col min="11279" max="11280" width="8.6640625" style="815" customWidth="1"/>
    <col min="11281" max="11281" width="5.6640625" style="815" customWidth="1"/>
    <col min="11282" max="11283" width="9.6640625" style="815" customWidth="1"/>
    <col min="11284" max="11284" width="5.6640625" style="815" customWidth="1"/>
    <col min="11285" max="11285" width="40.6640625" style="815" customWidth="1"/>
    <col min="11286" max="11287" width="9.6640625" style="815" customWidth="1"/>
    <col min="11288" max="11288" width="22.6640625" style="815" customWidth="1"/>
    <col min="11289" max="11521" width="8.88671875" style="815"/>
    <col min="11522" max="11522" width="3.6640625" style="815" customWidth="1"/>
    <col min="11523" max="11523" width="5.6640625" style="815" customWidth="1"/>
    <col min="11524" max="11524" width="3.6640625" style="815" customWidth="1"/>
    <col min="11525" max="11526" width="7.6640625" style="815" customWidth="1"/>
    <col min="11527" max="11527" width="9.6640625" style="815" customWidth="1"/>
    <col min="11528" max="11529" width="6.6640625" style="815" customWidth="1"/>
    <col min="11530" max="11530" width="3.6640625" style="815" customWidth="1"/>
    <col min="11531" max="11533" width="10.6640625" style="815" customWidth="1"/>
    <col min="11534" max="11534" width="5.6640625" style="815" customWidth="1"/>
    <col min="11535" max="11536" width="8.6640625" style="815" customWidth="1"/>
    <col min="11537" max="11537" width="5.6640625" style="815" customWidth="1"/>
    <col min="11538" max="11539" width="9.6640625" style="815" customWidth="1"/>
    <col min="11540" max="11540" width="5.6640625" style="815" customWidth="1"/>
    <col min="11541" max="11541" width="40.6640625" style="815" customWidth="1"/>
    <col min="11542" max="11543" width="9.6640625" style="815" customWidth="1"/>
    <col min="11544" max="11544" width="22.6640625" style="815" customWidth="1"/>
    <col min="11545" max="11777" width="8.88671875" style="815"/>
    <col min="11778" max="11778" width="3.6640625" style="815" customWidth="1"/>
    <col min="11779" max="11779" width="5.6640625" style="815" customWidth="1"/>
    <col min="11780" max="11780" width="3.6640625" style="815" customWidth="1"/>
    <col min="11781" max="11782" width="7.6640625" style="815" customWidth="1"/>
    <col min="11783" max="11783" width="9.6640625" style="815" customWidth="1"/>
    <col min="11784" max="11785" width="6.6640625" style="815" customWidth="1"/>
    <col min="11786" max="11786" width="3.6640625" style="815" customWidth="1"/>
    <col min="11787" max="11789" width="10.6640625" style="815" customWidth="1"/>
    <col min="11790" max="11790" width="5.6640625" style="815" customWidth="1"/>
    <col min="11791" max="11792" width="8.6640625" style="815" customWidth="1"/>
    <col min="11793" max="11793" width="5.6640625" style="815" customWidth="1"/>
    <col min="11794" max="11795" width="9.6640625" style="815" customWidth="1"/>
    <col min="11796" max="11796" width="5.6640625" style="815" customWidth="1"/>
    <col min="11797" max="11797" width="40.6640625" style="815" customWidth="1"/>
    <col min="11798" max="11799" width="9.6640625" style="815" customWidth="1"/>
    <col min="11800" max="11800" width="22.6640625" style="815" customWidth="1"/>
    <col min="11801" max="12033" width="8.88671875" style="815"/>
    <col min="12034" max="12034" width="3.6640625" style="815" customWidth="1"/>
    <col min="12035" max="12035" width="5.6640625" style="815" customWidth="1"/>
    <col min="12036" max="12036" width="3.6640625" style="815" customWidth="1"/>
    <col min="12037" max="12038" width="7.6640625" style="815" customWidth="1"/>
    <col min="12039" max="12039" width="9.6640625" style="815" customWidth="1"/>
    <col min="12040" max="12041" width="6.6640625" style="815" customWidth="1"/>
    <col min="12042" max="12042" width="3.6640625" style="815" customWidth="1"/>
    <col min="12043" max="12045" width="10.6640625" style="815" customWidth="1"/>
    <col min="12046" max="12046" width="5.6640625" style="815" customWidth="1"/>
    <col min="12047" max="12048" width="8.6640625" style="815" customWidth="1"/>
    <col min="12049" max="12049" width="5.6640625" style="815" customWidth="1"/>
    <col min="12050" max="12051" width="9.6640625" style="815" customWidth="1"/>
    <col min="12052" max="12052" width="5.6640625" style="815" customWidth="1"/>
    <col min="12053" max="12053" width="40.6640625" style="815" customWidth="1"/>
    <col min="12054" max="12055" width="9.6640625" style="815" customWidth="1"/>
    <col min="12056" max="12056" width="22.6640625" style="815" customWidth="1"/>
    <col min="12057" max="12289" width="8.88671875" style="815"/>
    <col min="12290" max="12290" width="3.6640625" style="815" customWidth="1"/>
    <col min="12291" max="12291" width="5.6640625" style="815" customWidth="1"/>
    <col min="12292" max="12292" width="3.6640625" style="815" customWidth="1"/>
    <col min="12293" max="12294" width="7.6640625" style="815" customWidth="1"/>
    <col min="12295" max="12295" width="9.6640625" style="815" customWidth="1"/>
    <col min="12296" max="12297" width="6.6640625" style="815" customWidth="1"/>
    <col min="12298" max="12298" width="3.6640625" style="815" customWidth="1"/>
    <col min="12299" max="12301" width="10.6640625" style="815" customWidth="1"/>
    <col min="12302" max="12302" width="5.6640625" style="815" customWidth="1"/>
    <col min="12303" max="12304" width="8.6640625" style="815" customWidth="1"/>
    <col min="12305" max="12305" width="5.6640625" style="815" customWidth="1"/>
    <col min="12306" max="12307" width="9.6640625" style="815" customWidth="1"/>
    <col min="12308" max="12308" width="5.6640625" style="815" customWidth="1"/>
    <col min="12309" max="12309" width="40.6640625" style="815" customWidth="1"/>
    <col min="12310" max="12311" width="9.6640625" style="815" customWidth="1"/>
    <col min="12312" max="12312" width="22.6640625" style="815" customWidth="1"/>
    <col min="12313" max="12545" width="8.88671875" style="815"/>
    <col min="12546" max="12546" width="3.6640625" style="815" customWidth="1"/>
    <col min="12547" max="12547" width="5.6640625" style="815" customWidth="1"/>
    <col min="12548" max="12548" width="3.6640625" style="815" customWidth="1"/>
    <col min="12549" max="12550" width="7.6640625" style="815" customWidth="1"/>
    <col min="12551" max="12551" width="9.6640625" style="815" customWidth="1"/>
    <col min="12552" max="12553" width="6.6640625" style="815" customWidth="1"/>
    <col min="12554" max="12554" width="3.6640625" style="815" customWidth="1"/>
    <col min="12555" max="12557" width="10.6640625" style="815" customWidth="1"/>
    <col min="12558" max="12558" width="5.6640625" style="815" customWidth="1"/>
    <col min="12559" max="12560" width="8.6640625" style="815" customWidth="1"/>
    <col min="12561" max="12561" width="5.6640625" style="815" customWidth="1"/>
    <col min="12562" max="12563" width="9.6640625" style="815" customWidth="1"/>
    <col min="12564" max="12564" width="5.6640625" style="815" customWidth="1"/>
    <col min="12565" max="12565" width="40.6640625" style="815" customWidth="1"/>
    <col min="12566" max="12567" width="9.6640625" style="815" customWidth="1"/>
    <col min="12568" max="12568" width="22.6640625" style="815" customWidth="1"/>
    <col min="12569" max="12801" width="8.88671875" style="815"/>
    <col min="12802" max="12802" width="3.6640625" style="815" customWidth="1"/>
    <col min="12803" max="12803" width="5.6640625" style="815" customWidth="1"/>
    <col min="12804" max="12804" width="3.6640625" style="815" customWidth="1"/>
    <col min="12805" max="12806" width="7.6640625" style="815" customWidth="1"/>
    <col min="12807" max="12807" width="9.6640625" style="815" customWidth="1"/>
    <col min="12808" max="12809" width="6.6640625" style="815" customWidth="1"/>
    <col min="12810" max="12810" width="3.6640625" style="815" customWidth="1"/>
    <col min="12811" max="12813" width="10.6640625" style="815" customWidth="1"/>
    <col min="12814" max="12814" width="5.6640625" style="815" customWidth="1"/>
    <col min="12815" max="12816" width="8.6640625" style="815" customWidth="1"/>
    <col min="12817" max="12817" width="5.6640625" style="815" customWidth="1"/>
    <col min="12818" max="12819" width="9.6640625" style="815" customWidth="1"/>
    <col min="12820" max="12820" width="5.6640625" style="815" customWidth="1"/>
    <col min="12821" max="12821" width="40.6640625" style="815" customWidth="1"/>
    <col min="12822" max="12823" width="9.6640625" style="815" customWidth="1"/>
    <col min="12824" max="12824" width="22.6640625" style="815" customWidth="1"/>
    <col min="12825" max="13057" width="8.88671875" style="815"/>
    <col min="13058" max="13058" width="3.6640625" style="815" customWidth="1"/>
    <col min="13059" max="13059" width="5.6640625" style="815" customWidth="1"/>
    <col min="13060" max="13060" width="3.6640625" style="815" customWidth="1"/>
    <col min="13061" max="13062" width="7.6640625" style="815" customWidth="1"/>
    <col min="13063" max="13063" width="9.6640625" style="815" customWidth="1"/>
    <col min="13064" max="13065" width="6.6640625" style="815" customWidth="1"/>
    <col min="13066" max="13066" width="3.6640625" style="815" customWidth="1"/>
    <col min="13067" max="13069" width="10.6640625" style="815" customWidth="1"/>
    <col min="13070" max="13070" width="5.6640625" style="815" customWidth="1"/>
    <col min="13071" max="13072" width="8.6640625" style="815" customWidth="1"/>
    <col min="13073" max="13073" width="5.6640625" style="815" customWidth="1"/>
    <col min="13074" max="13075" width="9.6640625" style="815" customWidth="1"/>
    <col min="13076" max="13076" width="5.6640625" style="815" customWidth="1"/>
    <col min="13077" max="13077" width="40.6640625" style="815" customWidth="1"/>
    <col min="13078" max="13079" width="9.6640625" style="815" customWidth="1"/>
    <col min="13080" max="13080" width="22.6640625" style="815" customWidth="1"/>
    <col min="13081" max="13313" width="8.88671875" style="815"/>
    <col min="13314" max="13314" width="3.6640625" style="815" customWidth="1"/>
    <col min="13315" max="13315" width="5.6640625" style="815" customWidth="1"/>
    <col min="13316" max="13316" width="3.6640625" style="815" customWidth="1"/>
    <col min="13317" max="13318" width="7.6640625" style="815" customWidth="1"/>
    <col min="13319" max="13319" width="9.6640625" style="815" customWidth="1"/>
    <col min="13320" max="13321" width="6.6640625" style="815" customWidth="1"/>
    <col min="13322" max="13322" width="3.6640625" style="815" customWidth="1"/>
    <col min="13323" max="13325" width="10.6640625" style="815" customWidth="1"/>
    <col min="13326" max="13326" width="5.6640625" style="815" customWidth="1"/>
    <col min="13327" max="13328" width="8.6640625" style="815" customWidth="1"/>
    <col min="13329" max="13329" width="5.6640625" style="815" customWidth="1"/>
    <col min="13330" max="13331" width="9.6640625" style="815" customWidth="1"/>
    <col min="13332" max="13332" width="5.6640625" style="815" customWidth="1"/>
    <col min="13333" max="13333" width="40.6640625" style="815" customWidth="1"/>
    <col min="13334" max="13335" width="9.6640625" style="815" customWidth="1"/>
    <col min="13336" max="13336" width="22.6640625" style="815" customWidth="1"/>
    <col min="13337" max="13569" width="8.88671875" style="815"/>
    <col min="13570" max="13570" width="3.6640625" style="815" customWidth="1"/>
    <col min="13571" max="13571" width="5.6640625" style="815" customWidth="1"/>
    <col min="13572" max="13572" width="3.6640625" style="815" customWidth="1"/>
    <col min="13573" max="13574" width="7.6640625" style="815" customWidth="1"/>
    <col min="13575" max="13575" width="9.6640625" style="815" customWidth="1"/>
    <col min="13576" max="13577" width="6.6640625" style="815" customWidth="1"/>
    <col min="13578" max="13578" width="3.6640625" style="815" customWidth="1"/>
    <col min="13579" max="13581" width="10.6640625" style="815" customWidth="1"/>
    <col min="13582" max="13582" width="5.6640625" style="815" customWidth="1"/>
    <col min="13583" max="13584" width="8.6640625" style="815" customWidth="1"/>
    <col min="13585" max="13585" width="5.6640625" style="815" customWidth="1"/>
    <col min="13586" max="13587" width="9.6640625" style="815" customWidth="1"/>
    <col min="13588" max="13588" width="5.6640625" style="815" customWidth="1"/>
    <col min="13589" max="13589" width="40.6640625" style="815" customWidth="1"/>
    <col min="13590" max="13591" width="9.6640625" style="815" customWidth="1"/>
    <col min="13592" max="13592" width="22.6640625" style="815" customWidth="1"/>
    <col min="13593" max="13825" width="8.88671875" style="815"/>
    <col min="13826" max="13826" width="3.6640625" style="815" customWidth="1"/>
    <col min="13827" max="13827" width="5.6640625" style="815" customWidth="1"/>
    <col min="13828" max="13828" width="3.6640625" style="815" customWidth="1"/>
    <col min="13829" max="13830" width="7.6640625" style="815" customWidth="1"/>
    <col min="13831" max="13831" width="9.6640625" style="815" customWidth="1"/>
    <col min="13832" max="13833" width="6.6640625" style="815" customWidth="1"/>
    <col min="13834" max="13834" width="3.6640625" style="815" customWidth="1"/>
    <col min="13835" max="13837" width="10.6640625" style="815" customWidth="1"/>
    <col min="13838" max="13838" width="5.6640625" style="815" customWidth="1"/>
    <col min="13839" max="13840" width="8.6640625" style="815" customWidth="1"/>
    <col min="13841" max="13841" width="5.6640625" style="815" customWidth="1"/>
    <col min="13842" max="13843" width="9.6640625" style="815" customWidth="1"/>
    <col min="13844" max="13844" width="5.6640625" style="815" customWidth="1"/>
    <col min="13845" max="13845" width="40.6640625" style="815" customWidth="1"/>
    <col min="13846" max="13847" width="9.6640625" style="815" customWidth="1"/>
    <col min="13848" max="13848" width="22.6640625" style="815" customWidth="1"/>
    <col min="13849" max="14081" width="8.88671875" style="815"/>
    <col min="14082" max="14082" width="3.6640625" style="815" customWidth="1"/>
    <col min="14083" max="14083" width="5.6640625" style="815" customWidth="1"/>
    <col min="14084" max="14084" width="3.6640625" style="815" customWidth="1"/>
    <col min="14085" max="14086" width="7.6640625" style="815" customWidth="1"/>
    <col min="14087" max="14087" width="9.6640625" style="815" customWidth="1"/>
    <col min="14088" max="14089" width="6.6640625" style="815" customWidth="1"/>
    <col min="14090" max="14090" width="3.6640625" style="815" customWidth="1"/>
    <col min="14091" max="14093" width="10.6640625" style="815" customWidth="1"/>
    <col min="14094" max="14094" width="5.6640625" style="815" customWidth="1"/>
    <col min="14095" max="14096" width="8.6640625" style="815" customWidth="1"/>
    <col min="14097" max="14097" width="5.6640625" style="815" customWidth="1"/>
    <col min="14098" max="14099" width="9.6640625" style="815" customWidth="1"/>
    <col min="14100" max="14100" width="5.6640625" style="815" customWidth="1"/>
    <col min="14101" max="14101" width="40.6640625" style="815" customWidth="1"/>
    <col min="14102" max="14103" width="9.6640625" style="815" customWidth="1"/>
    <col min="14104" max="14104" width="22.6640625" style="815" customWidth="1"/>
    <col min="14105" max="14337" width="8.88671875" style="815"/>
    <col min="14338" max="14338" width="3.6640625" style="815" customWidth="1"/>
    <col min="14339" max="14339" width="5.6640625" style="815" customWidth="1"/>
    <col min="14340" max="14340" width="3.6640625" style="815" customWidth="1"/>
    <col min="14341" max="14342" width="7.6640625" style="815" customWidth="1"/>
    <col min="14343" max="14343" width="9.6640625" style="815" customWidth="1"/>
    <col min="14344" max="14345" width="6.6640625" style="815" customWidth="1"/>
    <col min="14346" max="14346" width="3.6640625" style="815" customWidth="1"/>
    <col min="14347" max="14349" width="10.6640625" style="815" customWidth="1"/>
    <col min="14350" max="14350" width="5.6640625" style="815" customWidth="1"/>
    <col min="14351" max="14352" width="8.6640625" style="815" customWidth="1"/>
    <col min="14353" max="14353" width="5.6640625" style="815" customWidth="1"/>
    <col min="14354" max="14355" width="9.6640625" style="815" customWidth="1"/>
    <col min="14356" max="14356" width="5.6640625" style="815" customWidth="1"/>
    <col min="14357" max="14357" width="40.6640625" style="815" customWidth="1"/>
    <col min="14358" max="14359" width="9.6640625" style="815" customWidth="1"/>
    <col min="14360" max="14360" width="22.6640625" style="815" customWidth="1"/>
    <col min="14361" max="14593" width="8.88671875" style="815"/>
    <col min="14594" max="14594" width="3.6640625" style="815" customWidth="1"/>
    <col min="14595" max="14595" width="5.6640625" style="815" customWidth="1"/>
    <col min="14596" max="14596" width="3.6640625" style="815" customWidth="1"/>
    <col min="14597" max="14598" width="7.6640625" style="815" customWidth="1"/>
    <col min="14599" max="14599" width="9.6640625" style="815" customWidth="1"/>
    <col min="14600" max="14601" width="6.6640625" style="815" customWidth="1"/>
    <col min="14602" max="14602" width="3.6640625" style="815" customWidth="1"/>
    <col min="14603" max="14605" width="10.6640625" style="815" customWidth="1"/>
    <col min="14606" max="14606" width="5.6640625" style="815" customWidth="1"/>
    <col min="14607" max="14608" width="8.6640625" style="815" customWidth="1"/>
    <col min="14609" max="14609" width="5.6640625" style="815" customWidth="1"/>
    <col min="14610" max="14611" width="9.6640625" style="815" customWidth="1"/>
    <col min="14612" max="14612" width="5.6640625" style="815" customWidth="1"/>
    <col min="14613" max="14613" width="40.6640625" style="815" customWidth="1"/>
    <col min="14614" max="14615" width="9.6640625" style="815" customWidth="1"/>
    <col min="14616" max="14616" width="22.6640625" style="815" customWidth="1"/>
    <col min="14617" max="14849" width="8.88671875" style="815"/>
    <col min="14850" max="14850" width="3.6640625" style="815" customWidth="1"/>
    <col min="14851" max="14851" width="5.6640625" style="815" customWidth="1"/>
    <col min="14852" max="14852" width="3.6640625" style="815" customWidth="1"/>
    <col min="14853" max="14854" width="7.6640625" style="815" customWidth="1"/>
    <col min="14855" max="14855" width="9.6640625" style="815" customWidth="1"/>
    <col min="14856" max="14857" width="6.6640625" style="815" customWidth="1"/>
    <col min="14858" max="14858" width="3.6640625" style="815" customWidth="1"/>
    <col min="14859" max="14861" width="10.6640625" style="815" customWidth="1"/>
    <col min="14862" max="14862" width="5.6640625" style="815" customWidth="1"/>
    <col min="14863" max="14864" width="8.6640625" style="815" customWidth="1"/>
    <col min="14865" max="14865" width="5.6640625" style="815" customWidth="1"/>
    <col min="14866" max="14867" width="9.6640625" style="815" customWidth="1"/>
    <col min="14868" max="14868" width="5.6640625" style="815" customWidth="1"/>
    <col min="14869" max="14869" width="40.6640625" style="815" customWidth="1"/>
    <col min="14870" max="14871" width="9.6640625" style="815" customWidth="1"/>
    <col min="14872" max="14872" width="22.6640625" style="815" customWidth="1"/>
    <col min="14873" max="15105" width="8.88671875" style="815"/>
    <col min="15106" max="15106" width="3.6640625" style="815" customWidth="1"/>
    <col min="15107" max="15107" width="5.6640625" style="815" customWidth="1"/>
    <col min="15108" max="15108" width="3.6640625" style="815" customWidth="1"/>
    <col min="15109" max="15110" width="7.6640625" style="815" customWidth="1"/>
    <col min="15111" max="15111" width="9.6640625" style="815" customWidth="1"/>
    <col min="15112" max="15113" width="6.6640625" style="815" customWidth="1"/>
    <col min="15114" max="15114" width="3.6640625" style="815" customWidth="1"/>
    <col min="15115" max="15117" width="10.6640625" style="815" customWidth="1"/>
    <col min="15118" max="15118" width="5.6640625" style="815" customWidth="1"/>
    <col min="15119" max="15120" width="8.6640625" style="815" customWidth="1"/>
    <col min="15121" max="15121" width="5.6640625" style="815" customWidth="1"/>
    <col min="15122" max="15123" width="9.6640625" style="815" customWidth="1"/>
    <col min="15124" max="15124" width="5.6640625" style="815" customWidth="1"/>
    <col min="15125" max="15125" width="40.6640625" style="815" customWidth="1"/>
    <col min="15126" max="15127" width="9.6640625" style="815" customWidth="1"/>
    <col min="15128" max="15128" width="22.6640625" style="815" customWidth="1"/>
    <col min="15129" max="15361" width="8.88671875" style="815"/>
    <col min="15362" max="15362" width="3.6640625" style="815" customWidth="1"/>
    <col min="15363" max="15363" width="5.6640625" style="815" customWidth="1"/>
    <col min="15364" max="15364" width="3.6640625" style="815" customWidth="1"/>
    <col min="15365" max="15366" width="7.6640625" style="815" customWidth="1"/>
    <col min="15367" max="15367" width="9.6640625" style="815" customWidth="1"/>
    <col min="15368" max="15369" width="6.6640625" style="815" customWidth="1"/>
    <col min="15370" max="15370" width="3.6640625" style="815" customWidth="1"/>
    <col min="15371" max="15373" width="10.6640625" style="815" customWidth="1"/>
    <col min="15374" max="15374" width="5.6640625" style="815" customWidth="1"/>
    <col min="15375" max="15376" width="8.6640625" style="815" customWidth="1"/>
    <col min="15377" max="15377" width="5.6640625" style="815" customWidth="1"/>
    <col min="15378" max="15379" width="9.6640625" style="815" customWidth="1"/>
    <col min="15380" max="15380" width="5.6640625" style="815" customWidth="1"/>
    <col min="15381" max="15381" width="40.6640625" style="815" customWidth="1"/>
    <col min="15382" max="15383" width="9.6640625" style="815" customWidth="1"/>
    <col min="15384" max="15384" width="22.6640625" style="815" customWidth="1"/>
    <col min="15385" max="15617" width="8.88671875" style="815"/>
    <col min="15618" max="15618" width="3.6640625" style="815" customWidth="1"/>
    <col min="15619" max="15619" width="5.6640625" style="815" customWidth="1"/>
    <col min="15620" max="15620" width="3.6640625" style="815" customWidth="1"/>
    <col min="15621" max="15622" width="7.6640625" style="815" customWidth="1"/>
    <col min="15623" max="15623" width="9.6640625" style="815" customWidth="1"/>
    <col min="15624" max="15625" width="6.6640625" style="815" customWidth="1"/>
    <col min="15626" max="15626" width="3.6640625" style="815" customWidth="1"/>
    <col min="15627" max="15629" width="10.6640625" style="815" customWidth="1"/>
    <col min="15630" max="15630" width="5.6640625" style="815" customWidth="1"/>
    <col min="15631" max="15632" width="8.6640625" style="815" customWidth="1"/>
    <col min="15633" max="15633" width="5.6640625" style="815" customWidth="1"/>
    <col min="15634" max="15635" width="9.6640625" style="815" customWidth="1"/>
    <col min="15636" max="15636" width="5.6640625" style="815" customWidth="1"/>
    <col min="15637" max="15637" width="40.6640625" style="815" customWidth="1"/>
    <col min="15638" max="15639" width="9.6640625" style="815" customWidth="1"/>
    <col min="15640" max="15640" width="22.6640625" style="815" customWidth="1"/>
    <col min="15641" max="15873" width="8.88671875" style="815"/>
    <col min="15874" max="15874" width="3.6640625" style="815" customWidth="1"/>
    <col min="15875" max="15875" width="5.6640625" style="815" customWidth="1"/>
    <col min="15876" max="15876" width="3.6640625" style="815" customWidth="1"/>
    <col min="15877" max="15878" width="7.6640625" style="815" customWidth="1"/>
    <col min="15879" max="15879" width="9.6640625" style="815" customWidth="1"/>
    <col min="15880" max="15881" width="6.6640625" style="815" customWidth="1"/>
    <col min="15882" max="15882" width="3.6640625" style="815" customWidth="1"/>
    <col min="15883" max="15885" width="10.6640625" style="815" customWidth="1"/>
    <col min="15886" max="15886" width="5.6640625" style="815" customWidth="1"/>
    <col min="15887" max="15888" width="8.6640625" style="815" customWidth="1"/>
    <col min="15889" max="15889" width="5.6640625" style="815" customWidth="1"/>
    <col min="15890" max="15891" width="9.6640625" style="815" customWidth="1"/>
    <col min="15892" max="15892" width="5.6640625" style="815" customWidth="1"/>
    <col min="15893" max="15893" width="40.6640625" style="815" customWidth="1"/>
    <col min="15894" max="15895" width="9.6640625" style="815" customWidth="1"/>
    <col min="15896" max="15896" width="22.6640625" style="815" customWidth="1"/>
    <col min="15897" max="16129" width="8.88671875" style="815"/>
    <col min="16130" max="16130" width="3.6640625" style="815" customWidth="1"/>
    <col min="16131" max="16131" width="5.6640625" style="815" customWidth="1"/>
    <col min="16132" max="16132" width="3.6640625" style="815" customWidth="1"/>
    <col min="16133" max="16134" width="7.6640625" style="815" customWidth="1"/>
    <col min="16135" max="16135" width="9.6640625" style="815" customWidth="1"/>
    <col min="16136" max="16137" width="6.6640625" style="815" customWidth="1"/>
    <col min="16138" max="16138" width="3.6640625" style="815" customWidth="1"/>
    <col min="16139" max="16141" width="10.6640625" style="815" customWidth="1"/>
    <col min="16142" max="16142" width="5.6640625" style="815" customWidth="1"/>
    <col min="16143" max="16144" width="8.6640625" style="815" customWidth="1"/>
    <col min="16145" max="16145" width="5.6640625" style="815" customWidth="1"/>
    <col min="16146" max="16147" width="9.6640625" style="815" customWidth="1"/>
    <col min="16148" max="16148" width="5.6640625" style="815" customWidth="1"/>
    <col min="16149" max="16149" width="40.6640625" style="815" customWidth="1"/>
    <col min="16150" max="16151" width="9.6640625" style="815" customWidth="1"/>
    <col min="16152" max="16152" width="22.6640625" style="815" customWidth="1"/>
    <col min="16153" max="16384" width="8.88671875" style="815"/>
  </cols>
  <sheetData>
    <row r="1" spans="1:34" x14ac:dyDescent="0.25">
      <c r="A1" s="926" t="s">
        <v>1207</v>
      </c>
      <c r="B1" s="927"/>
      <c r="C1" s="927"/>
      <c r="D1" s="927"/>
      <c r="E1" s="927"/>
      <c r="F1" s="927"/>
      <c r="G1" s="927"/>
      <c r="H1" s="927"/>
      <c r="I1" s="927"/>
      <c r="J1" s="927"/>
      <c r="K1" s="927"/>
      <c r="L1" s="927"/>
      <c r="M1" s="927"/>
      <c r="N1" s="927"/>
      <c r="O1" s="927"/>
      <c r="P1" s="927"/>
      <c r="Q1" s="927"/>
      <c r="R1" s="927"/>
      <c r="S1" s="927"/>
      <c r="T1" s="927"/>
      <c r="U1" s="929" t="s">
        <v>1208</v>
      </c>
      <c r="V1" s="927"/>
      <c r="W1" s="927"/>
    </row>
    <row r="2" spans="1:34" x14ac:dyDescent="0.25">
      <c r="A2" s="930" t="s">
        <v>1209</v>
      </c>
      <c r="B2" s="927"/>
      <c r="C2" s="927"/>
      <c r="D2" s="927"/>
      <c r="E2" s="927"/>
      <c r="F2" s="927"/>
      <c r="G2" s="927"/>
      <c r="H2" s="927"/>
      <c r="I2" s="927"/>
      <c r="J2" s="927"/>
      <c r="K2" s="927"/>
      <c r="L2" s="927"/>
      <c r="M2" s="927"/>
      <c r="N2" s="927"/>
      <c r="O2" s="927"/>
      <c r="P2" s="927"/>
      <c r="Q2" s="927"/>
      <c r="R2" s="927"/>
      <c r="S2" s="927"/>
      <c r="T2" s="927"/>
      <c r="U2" s="927"/>
      <c r="V2" s="927"/>
      <c r="W2" s="927"/>
    </row>
    <row r="3" spans="1:34" x14ac:dyDescent="0.25">
      <c r="A3" s="927"/>
      <c r="B3" s="927"/>
      <c r="C3" s="927"/>
      <c r="D3" s="927"/>
      <c r="E3" s="927"/>
      <c r="F3" s="927"/>
      <c r="G3" s="927"/>
      <c r="H3" s="927"/>
      <c r="I3" s="927"/>
      <c r="J3" s="927"/>
      <c r="K3" s="927"/>
      <c r="L3" s="927"/>
      <c r="M3" s="927"/>
      <c r="N3" s="927"/>
      <c r="O3" s="927"/>
      <c r="P3" s="927"/>
      <c r="Q3" s="927"/>
      <c r="R3" s="927"/>
      <c r="S3" s="927"/>
      <c r="T3" s="927"/>
      <c r="U3" s="927"/>
      <c r="V3" s="927"/>
      <c r="W3" s="927"/>
    </row>
    <row r="4" spans="1:34" x14ac:dyDescent="0.25">
      <c r="A4" s="817" t="s">
        <v>1210</v>
      </c>
      <c r="B4" s="817" t="s">
        <v>1211</v>
      </c>
      <c r="C4" s="817" t="s">
        <v>269</v>
      </c>
      <c r="D4" s="817" t="s">
        <v>1212</v>
      </c>
      <c r="E4" s="817" t="s">
        <v>1212</v>
      </c>
      <c r="F4" s="816" t="s">
        <v>1213</v>
      </c>
      <c r="G4" s="817" t="s">
        <v>1214</v>
      </c>
      <c r="H4" s="817" t="s">
        <v>1214</v>
      </c>
      <c r="I4" s="817" t="s">
        <v>1210</v>
      </c>
      <c r="J4" s="817" t="s">
        <v>1215</v>
      </c>
      <c r="K4" s="928" t="s">
        <v>1216</v>
      </c>
      <c r="L4" s="927"/>
      <c r="M4" s="927"/>
      <c r="N4" s="928" t="s">
        <v>1217</v>
      </c>
      <c r="O4" s="927"/>
      <c r="P4" s="927"/>
      <c r="Q4" s="928" t="s">
        <v>1217</v>
      </c>
      <c r="R4" s="927"/>
      <c r="S4" s="927"/>
      <c r="T4" s="816" t="s">
        <v>429</v>
      </c>
      <c r="U4" s="817" t="s">
        <v>297</v>
      </c>
      <c r="V4" s="816" t="s">
        <v>175</v>
      </c>
      <c r="W4" s="816" t="s">
        <v>429</v>
      </c>
      <c r="Y4" s="815" t="s">
        <v>1530</v>
      </c>
      <c r="Z4" s="815" t="s">
        <v>246</v>
      </c>
      <c r="AA4" s="815" t="s">
        <v>1528</v>
      </c>
      <c r="AB4" s="815" t="s">
        <v>1529</v>
      </c>
      <c r="AC4" s="815">
        <v>2019</v>
      </c>
      <c r="AD4" s="815">
        <v>2020</v>
      </c>
      <c r="AE4" s="815">
        <v>2021</v>
      </c>
      <c r="AF4" s="815">
        <v>2022</v>
      </c>
      <c r="AG4" s="815">
        <v>2023</v>
      </c>
      <c r="AH4" s="815">
        <v>2024</v>
      </c>
    </row>
    <row r="5" spans="1:34" x14ac:dyDescent="0.25">
      <c r="A5" s="817" t="s">
        <v>1218</v>
      </c>
      <c r="B5" s="817" t="s">
        <v>1219</v>
      </c>
      <c r="C5" s="817" t="s">
        <v>1220</v>
      </c>
      <c r="D5" s="817" t="s">
        <v>1221</v>
      </c>
      <c r="E5" s="817" t="s">
        <v>1222</v>
      </c>
      <c r="F5" s="816" t="s">
        <v>1223</v>
      </c>
      <c r="G5" s="817" t="s">
        <v>1224</v>
      </c>
      <c r="H5" s="817" t="s">
        <v>1225</v>
      </c>
      <c r="I5" s="817" t="s">
        <v>1218</v>
      </c>
      <c r="J5" s="817" t="s">
        <v>1226</v>
      </c>
      <c r="K5" s="928" t="s">
        <v>1227</v>
      </c>
      <c r="L5" s="927"/>
      <c r="M5" s="927"/>
      <c r="N5" s="928" t="s">
        <v>1228</v>
      </c>
      <c r="O5" s="927"/>
      <c r="P5" s="927"/>
      <c r="Q5" s="928" t="s">
        <v>1229</v>
      </c>
      <c r="R5" s="927"/>
      <c r="S5" s="927"/>
      <c r="T5" s="816" t="s">
        <v>1230</v>
      </c>
      <c r="U5" s="817" t="s">
        <v>721</v>
      </c>
      <c r="V5" s="816" t="s">
        <v>1220</v>
      </c>
      <c r="W5" s="816" t="s">
        <v>1220</v>
      </c>
    </row>
    <row r="6" spans="1:34" x14ac:dyDescent="0.25">
      <c r="A6" s="817" t="s">
        <v>1231</v>
      </c>
      <c r="B6" s="817" t="s">
        <v>1232</v>
      </c>
      <c r="C6" s="817" t="s">
        <v>1233</v>
      </c>
      <c r="D6" s="817" t="s">
        <v>1234</v>
      </c>
      <c r="E6" s="817" t="s">
        <v>1234</v>
      </c>
      <c r="F6" s="816" t="s">
        <v>1235</v>
      </c>
      <c r="G6" s="817" t="s">
        <v>1236</v>
      </c>
      <c r="H6" s="817" t="s">
        <v>1237</v>
      </c>
      <c r="I6" s="817" t="s">
        <v>1238</v>
      </c>
      <c r="J6" s="817" t="s">
        <v>1215</v>
      </c>
      <c r="K6" s="817" t="s">
        <v>1239</v>
      </c>
      <c r="L6" s="817" t="s">
        <v>1240</v>
      </c>
      <c r="M6" s="817" t="s">
        <v>1241</v>
      </c>
      <c r="N6" s="817" t="s">
        <v>1242</v>
      </c>
      <c r="O6" s="817" t="s">
        <v>1243</v>
      </c>
      <c r="P6" s="817" t="s">
        <v>1244</v>
      </c>
      <c r="Q6" s="817" t="s">
        <v>1245</v>
      </c>
      <c r="R6" s="817" t="s">
        <v>1246</v>
      </c>
      <c r="S6" s="817" t="s">
        <v>1244</v>
      </c>
      <c r="T6" s="816" t="s">
        <v>1247</v>
      </c>
      <c r="U6" s="817" t="s">
        <v>1225</v>
      </c>
      <c r="V6" s="816" t="s">
        <v>1248</v>
      </c>
      <c r="W6" s="816" t="s">
        <v>1248</v>
      </c>
    </row>
    <row r="7" spans="1:34" x14ac:dyDescent="0.25">
      <c r="A7" s="817" t="s">
        <v>346</v>
      </c>
      <c r="B7" s="817" t="s">
        <v>211</v>
      </c>
      <c r="C7" s="817" t="s">
        <v>1249</v>
      </c>
      <c r="D7" s="817" t="s">
        <v>1250</v>
      </c>
      <c r="E7" s="817" t="s">
        <v>1250</v>
      </c>
      <c r="F7" s="816" t="s">
        <v>1251</v>
      </c>
      <c r="G7" s="817" t="s">
        <v>204</v>
      </c>
      <c r="H7" s="817" t="s">
        <v>721</v>
      </c>
      <c r="I7" s="817" t="s">
        <v>346</v>
      </c>
      <c r="J7" s="818">
        <v>891.30000000000007</v>
      </c>
      <c r="K7" s="818">
        <v>891.30000000000007</v>
      </c>
      <c r="L7" s="818">
        <v>891.30000000000007</v>
      </c>
      <c r="M7" s="818">
        <v>0</v>
      </c>
      <c r="N7" s="818">
        <v>0</v>
      </c>
      <c r="O7" s="818">
        <v>0</v>
      </c>
      <c r="P7" s="818">
        <v>0</v>
      </c>
      <c r="Q7" s="818">
        <v>0</v>
      </c>
      <c r="R7" s="818">
        <v>0</v>
      </c>
      <c r="S7" s="818">
        <v>0</v>
      </c>
      <c r="T7" s="816" t="s">
        <v>1252</v>
      </c>
      <c r="U7" s="818">
        <v>0</v>
      </c>
      <c r="V7" s="816" t="s">
        <v>1253</v>
      </c>
      <c r="W7" s="816" t="s">
        <v>1207</v>
      </c>
      <c r="Y7" s="859">
        <f>J7</f>
        <v>891.30000000000007</v>
      </c>
      <c r="Z7" s="858">
        <f>J7-K7</f>
        <v>0</v>
      </c>
      <c r="AA7" s="859">
        <f>N7</f>
        <v>0</v>
      </c>
    </row>
    <row r="8" spans="1:34" x14ac:dyDescent="0.25">
      <c r="A8" s="817" t="s">
        <v>1254</v>
      </c>
      <c r="B8" s="817" t="s">
        <v>309</v>
      </c>
      <c r="C8" s="817" t="s">
        <v>1249</v>
      </c>
      <c r="D8" s="817" t="s">
        <v>1255</v>
      </c>
      <c r="E8" s="817" t="s">
        <v>1255</v>
      </c>
      <c r="F8" s="816" t="s">
        <v>1251</v>
      </c>
      <c r="G8" s="817" t="s">
        <v>204</v>
      </c>
      <c r="H8" s="817" t="s">
        <v>721</v>
      </c>
      <c r="I8" s="817" t="s">
        <v>346</v>
      </c>
      <c r="J8" s="818">
        <v>923.09</v>
      </c>
      <c r="K8" s="818">
        <v>923.09</v>
      </c>
      <c r="L8" s="818">
        <v>923.09</v>
      </c>
      <c r="M8" s="818">
        <v>0</v>
      </c>
      <c r="N8" s="818">
        <v>0</v>
      </c>
      <c r="O8" s="818">
        <v>0</v>
      </c>
      <c r="P8" s="818">
        <v>0</v>
      </c>
      <c r="Q8" s="818">
        <v>0</v>
      </c>
      <c r="R8" s="818">
        <v>0</v>
      </c>
      <c r="S8" s="818">
        <v>0</v>
      </c>
      <c r="T8" s="816" t="s">
        <v>1252</v>
      </c>
      <c r="U8" s="818">
        <v>0</v>
      </c>
      <c r="V8" s="816" t="s">
        <v>1253</v>
      </c>
      <c r="W8" s="816" t="s">
        <v>1207</v>
      </c>
      <c r="Y8" s="859">
        <f t="shared" ref="Y8:Y71" si="0">J8</f>
        <v>923.09</v>
      </c>
      <c r="Z8" s="858">
        <f t="shared" ref="Z8:Z71" si="1">J8-K8</f>
        <v>0</v>
      </c>
      <c r="AA8" s="859">
        <f t="shared" ref="AA8:AA71" si="2">N8</f>
        <v>0</v>
      </c>
    </row>
    <row r="9" spans="1:34" x14ac:dyDescent="0.25">
      <c r="A9" s="817" t="s">
        <v>1256</v>
      </c>
      <c r="B9" s="817" t="s">
        <v>1257</v>
      </c>
      <c r="C9" s="817" t="s">
        <v>1249</v>
      </c>
      <c r="D9" s="817" t="s">
        <v>1258</v>
      </c>
      <c r="E9" s="817" t="s">
        <v>1258</v>
      </c>
      <c r="F9" s="816" t="s">
        <v>1251</v>
      </c>
      <c r="G9" s="817" t="s">
        <v>204</v>
      </c>
      <c r="H9" s="817" t="s">
        <v>721</v>
      </c>
      <c r="I9" s="817" t="s">
        <v>346</v>
      </c>
      <c r="J9" s="818">
        <v>937.14</v>
      </c>
      <c r="K9" s="818">
        <v>937.14</v>
      </c>
      <c r="L9" s="818">
        <v>937.14</v>
      </c>
      <c r="M9" s="818">
        <v>0</v>
      </c>
      <c r="N9" s="818">
        <v>0</v>
      </c>
      <c r="O9" s="818">
        <v>0</v>
      </c>
      <c r="P9" s="818">
        <v>0</v>
      </c>
      <c r="Q9" s="818">
        <v>0</v>
      </c>
      <c r="R9" s="818">
        <v>0</v>
      </c>
      <c r="S9" s="818">
        <v>0</v>
      </c>
      <c r="T9" s="816" t="s">
        <v>1259</v>
      </c>
      <c r="U9" s="818">
        <v>0</v>
      </c>
      <c r="V9" s="816" t="s">
        <v>1253</v>
      </c>
      <c r="W9" s="816" t="s">
        <v>1207</v>
      </c>
      <c r="Y9" s="859">
        <f t="shared" si="0"/>
        <v>937.14</v>
      </c>
      <c r="Z9" s="858">
        <f t="shared" si="1"/>
        <v>0</v>
      </c>
      <c r="AA9" s="859">
        <f t="shared" si="2"/>
        <v>0</v>
      </c>
    </row>
    <row r="10" spans="1:34" x14ac:dyDescent="0.25">
      <c r="A10" s="817" t="s">
        <v>1249</v>
      </c>
      <c r="B10" s="817" t="s">
        <v>186</v>
      </c>
      <c r="C10" s="817" t="s">
        <v>1249</v>
      </c>
      <c r="D10" s="817" t="s">
        <v>1258</v>
      </c>
      <c r="E10" s="817" t="s">
        <v>1258</v>
      </c>
      <c r="F10" s="816" t="s">
        <v>1251</v>
      </c>
      <c r="G10" s="817" t="s">
        <v>204</v>
      </c>
      <c r="H10" s="817" t="s">
        <v>721</v>
      </c>
      <c r="I10" s="817" t="s">
        <v>346</v>
      </c>
      <c r="J10" s="818">
        <v>22878.600000000002</v>
      </c>
      <c r="K10" s="818">
        <v>22878.600000000002</v>
      </c>
      <c r="L10" s="818">
        <v>22878.600000000002</v>
      </c>
      <c r="M10" s="818">
        <v>0</v>
      </c>
      <c r="N10" s="818">
        <v>0</v>
      </c>
      <c r="O10" s="818">
        <v>0</v>
      </c>
      <c r="P10" s="818">
        <v>0</v>
      </c>
      <c r="Q10" s="818">
        <v>0</v>
      </c>
      <c r="R10" s="818">
        <v>0</v>
      </c>
      <c r="S10" s="818">
        <v>0</v>
      </c>
      <c r="T10" s="816" t="s">
        <v>1260</v>
      </c>
      <c r="U10" s="818">
        <v>0</v>
      </c>
      <c r="V10" s="816" t="s">
        <v>1253</v>
      </c>
      <c r="W10" s="816" t="s">
        <v>1207</v>
      </c>
      <c r="Y10" s="859">
        <f t="shared" si="0"/>
        <v>22878.600000000002</v>
      </c>
      <c r="Z10" s="858">
        <f t="shared" si="1"/>
        <v>0</v>
      </c>
      <c r="AA10" s="859">
        <f t="shared" si="2"/>
        <v>0</v>
      </c>
    </row>
    <row r="11" spans="1:34" s="886" customFormat="1" x14ac:dyDescent="0.25">
      <c r="A11" s="883" t="s">
        <v>1261</v>
      </c>
      <c r="B11" s="883" t="s">
        <v>244</v>
      </c>
      <c r="C11" s="883" t="s">
        <v>1262</v>
      </c>
      <c r="D11" s="883" t="s">
        <v>1263</v>
      </c>
      <c r="E11" s="883" t="s">
        <v>1263</v>
      </c>
      <c r="F11" s="884" t="s">
        <v>1264</v>
      </c>
      <c r="G11" s="883" t="s">
        <v>197</v>
      </c>
      <c r="H11" s="883" t="s">
        <v>721</v>
      </c>
      <c r="I11" s="883" t="s">
        <v>346</v>
      </c>
      <c r="J11" s="885">
        <v>30401.62</v>
      </c>
      <c r="K11" s="885">
        <v>30401.62</v>
      </c>
      <c r="L11" s="885">
        <v>30401.62</v>
      </c>
      <c r="M11" s="885">
        <v>0</v>
      </c>
      <c r="N11" s="885">
        <v>0</v>
      </c>
      <c r="O11" s="885">
        <v>0</v>
      </c>
      <c r="P11" s="885">
        <v>0</v>
      </c>
      <c r="Q11" s="885">
        <v>0</v>
      </c>
      <c r="R11" s="885">
        <v>0</v>
      </c>
      <c r="S11" s="885">
        <v>0</v>
      </c>
      <c r="T11" s="884" t="s">
        <v>1265</v>
      </c>
      <c r="U11" s="885">
        <v>0</v>
      </c>
      <c r="V11" s="884" t="s">
        <v>1253</v>
      </c>
      <c r="W11" s="884" t="s">
        <v>1266</v>
      </c>
      <c r="Y11" s="887">
        <f t="shared" si="0"/>
        <v>30401.62</v>
      </c>
      <c r="Z11" s="888">
        <f t="shared" si="1"/>
        <v>0</v>
      </c>
      <c r="AA11" s="887">
        <f t="shared" si="2"/>
        <v>0</v>
      </c>
    </row>
    <row r="12" spans="1:34" x14ac:dyDescent="0.25">
      <c r="A12" s="817" t="s">
        <v>1262</v>
      </c>
      <c r="B12" s="817" t="s">
        <v>188</v>
      </c>
      <c r="C12" s="817" t="s">
        <v>1249</v>
      </c>
      <c r="D12" s="817" t="s">
        <v>1267</v>
      </c>
      <c r="E12" s="817" t="s">
        <v>1267</v>
      </c>
      <c r="F12" s="816" t="s">
        <v>1268</v>
      </c>
      <c r="G12" s="817" t="s">
        <v>303</v>
      </c>
      <c r="H12" s="817" t="s">
        <v>721</v>
      </c>
      <c r="I12" s="817" t="s">
        <v>346</v>
      </c>
      <c r="J12" s="818">
        <v>1802.67</v>
      </c>
      <c r="K12" s="818">
        <v>1802.67</v>
      </c>
      <c r="L12" s="818">
        <v>1802.67</v>
      </c>
      <c r="M12" s="818">
        <v>0</v>
      </c>
      <c r="N12" s="818">
        <v>0</v>
      </c>
      <c r="O12" s="818">
        <v>0</v>
      </c>
      <c r="P12" s="818">
        <v>0</v>
      </c>
      <c r="Q12" s="818">
        <v>0</v>
      </c>
      <c r="R12" s="818">
        <v>0</v>
      </c>
      <c r="S12" s="818">
        <v>0</v>
      </c>
      <c r="T12" s="816" t="s">
        <v>1269</v>
      </c>
      <c r="U12" s="818">
        <v>0</v>
      </c>
      <c r="V12" s="816" t="s">
        <v>1253</v>
      </c>
      <c r="W12" s="816" t="s">
        <v>1207</v>
      </c>
      <c r="Y12" s="859">
        <f t="shared" si="0"/>
        <v>1802.67</v>
      </c>
      <c r="Z12" s="858">
        <f t="shared" si="1"/>
        <v>0</v>
      </c>
      <c r="AA12" s="859">
        <f t="shared" si="2"/>
        <v>0</v>
      </c>
    </row>
    <row r="13" spans="1:34" x14ac:dyDescent="0.25">
      <c r="A13" s="817" t="s">
        <v>1270</v>
      </c>
      <c r="B13" s="817" t="s">
        <v>190</v>
      </c>
      <c r="C13" s="817" t="s">
        <v>1249</v>
      </c>
      <c r="D13" s="817" t="s">
        <v>1271</v>
      </c>
      <c r="E13" s="817" t="s">
        <v>1271</v>
      </c>
      <c r="F13" s="816" t="s">
        <v>1268</v>
      </c>
      <c r="G13" s="817" t="s">
        <v>303</v>
      </c>
      <c r="H13" s="817" t="s">
        <v>721</v>
      </c>
      <c r="I13" s="817" t="s">
        <v>346</v>
      </c>
      <c r="J13" s="818">
        <v>1883.49</v>
      </c>
      <c r="K13" s="818">
        <v>1883.49</v>
      </c>
      <c r="L13" s="818">
        <v>1883.49</v>
      </c>
      <c r="M13" s="818">
        <v>0</v>
      </c>
      <c r="N13" s="818">
        <v>0</v>
      </c>
      <c r="O13" s="818">
        <v>0</v>
      </c>
      <c r="P13" s="818">
        <v>0</v>
      </c>
      <c r="Q13" s="818">
        <v>0</v>
      </c>
      <c r="R13" s="818">
        <v>0</v>
      </c>
      <c r="S13" s="818">
        <v>0</v>
      </c>
      <c r="T13" s="816" t="s">
        <v>1269</v>
      </c>
      <c r="U13" s="818">
        <v>0</v>
      </c>
      <c r="V13" s="816" t="s">
        <v>1253</v>
      </c>
      <c r="W13" s="816" t="s">
        <v>1207</v>
      </c>
      <c r="Y13" s="859">
        <f t="shared" si="0"/>
        <v>1883.49</v>
      </c>
      <c r="Z13" s="858">
        <f t="shared" si="1"/>
        <v>0</v>
      </c>
      <c r="AA13" s="859">
        <f t="shared" si="2"/>
        <v>0</v>
      </c>
    </row>
    <row r="14" spans="1:34" s="886" customFormat="1" x14ac:dyDescent="0.25">
      <c r="A14" s="883" t="s">
        <v>329</v>
      </c>
      <c r="B14" s="883" t="s">
        <v>330</v>
      </c>
      <c r="C14" s="883" t="s">
        <v>1249</v>
      </c>
      <c r="D14" s="883" t="s">
        <v>1272</v>
      </c>
      <c r="E14" s="883" t="s">
        <v>1272</v>
      </c>
      <c r="F14" s="884" t="s">
        <v>1273</v>
      </c>
      <c r="G14" s="883" t="s">
        <v>197</v>
      </c>
      <c r="H14" s="883" t="s">
        <v>721</v>
      </c>
      <c r="I14" s="883" t="s">
        <v>346</v>
      </c>
      <c r="J14" s="885">
        <v>131043.66</v>
      </c>
      <c r="K14" s="885">
        <v>131043.66</v>
      </c>
      <c r="L14" s="885">
        <v>131043.66</v>
      </c>
      <c r="M14" s="885">
        <v>0</v>
      </c>
      <c r="N14" s="885">
        <v>0</v>
      </c>
      <c r="O14" s="885">
        <v>0</v>
      </c>
      <c r="P14" s="885">
        <v>0</v>
      </c>
      <c r="Q14" s="885">
        <v>0</v>
      </c>
      <c r="R14" s="885">
        <v>0</v>
      </c>
      <c r="S14" s="885">
        <v>0</v>
      </c>
      <c r="T14" s="884" t="s">
        <v>1274</v>
      </c>
      <c r="U14" s="885">
        <v>0</v>
      </c>
      <c r="V14" s="884" t="s">
        <v>1253</v>
      </c>
      <c r="W14" s="884" t="s">
        <v>1207</v>
      </c>
      <c r="Y14" s="887">
        <f t="shared" si="0"/>
        <v>131043.66</v>
      </c>
      <c r="Z14" s="888">
        <f t="shared" si="1"/>
        <v>0</v>
      </c>
      <c r="AA14" s="887">
        <f t="shared" si="2"/>
        <v>0</v>
      </c>
    </row>
    <row r="15" spans="1:34" x14ac:dyDescent="0.25">
      <c r="A15" s="817" t="s">
        <v>1275</v>
      </c>
      <c r="B15" s="817" t="s">
        <v>1276</v>
      </c>
      <c r="C15" s="817" t="s">
        <v>1249</v>
      </c>
      <c r="D15" s="817" t="s">
        <v>1272</v>
      </c>
      <c r="E15" s="817" t="s">
        <v>1272</v>
      </c>
      <c r="F15" s="816" t="s">
        <v>1273</v>
      </c>
      <c r="G15" s="817" t="s">
        <v>197</v>
      </c>
      <c r="H15" s="817" t="s">
        <v>721</v>
      </c>
      <c r="I15" s="817" t="s">
        <v>346</v>
      </c>
      <c r="J15" s="818">
        <v>131043.66</v>
      </c>
      <c r="K15" s="818">
        <v>131043.66</v>
      </c>
      <c r="L15" s="818">
        <v>131043.66</v>
      </c>
      <c r="M15" s="818">
        <v>0</v>
      </c>
      <c r="N15" s="818">
        <v>0</v>
      </c>
      <c r="O15" s="818">
        <v>0</v>
      </c>
      <c r="P15" s="818">
        <v>0</v>
      </c>
      <c r="Q15" s="818">
        <v>0</v>
      </c>
      <c r="R15" s="818">
        <v>0</v>
      </c>
      <c r="S15" s="818">
        <v>0</v>
      </c>
      <c r="T15" s="816" t="s">
        <v>1277</v>
      </c>
      <c r="U15" s="818">
        <v>0</v>
      </c>
      <c r="V15" s="816" t="s">
        <v>1253</v>
      </c>
      <c r="W15" s="816" t="s">
        <v>1207</v>
      </c>
      <c r="Y15" s="859">
        <f t="shared" si="0"/>
        <v>131043.66</v>
      </c>
      <c r="Z15" s="858">
        <f t="shared" si="1"/>
        <v>0</v>
      </c>
      <c r="AA15" s="859">
        <f t="shared" si="2"/>
        <v>0</v>
      </c>
    </row>
    <row r="16" spans="1:34" x14ac:dyDescent="0.25">
      <c r="A16" s="817" t="s">
        <v>1278</v>
      </c>
      <c r="B16" s="817" t="s">
        <v>196</v>
      </c>
      <c r="C16" s="817" t="s">
        <v>1249</v>
      </c>
      <c r="D16" s="817" t="s">
        <v>1279</v>
      </c>
      <c r="E16" s="817" t="s">
        <v>1279</v>
      </c>
      <c r="F16" s="816" t="s">
        <v>1273</v>
      </c>
      <c r="G16" s="817" t="s">
        <v>197</v>
      </c>
      <c r="H16" s="817" t="s">
        <v>721</v>
      </c>
      <c r="I16" s="817" t="s">
        <v>346</v>
      </c>
      <c r="J16" s="818">
        <v>73546.44</v>
      </c>
      <c r="K16" s="818">
        <v>73546.44</v>
      </c>
      <c r="L16" s="818">
        <v>73546.44</v>
      </c>
      <c r="M16" s="818">
        <v>0</v>
      </c>
      <c r="N16" s="818">
        <v>0</v>
      </c>
      <c r="O16" s="818">
        <v>0</v>
      </c>
      <c r="P16" s="818">
        <v>0</v>
      </c>
      <c r="Q16" s="818">
        <v>0</v>
      </c>
      <c r="R16" s="818">
        <v>0</v>
      </c>
      <c r="S16" s="818">
        <v>0</v>
      </c>
      <c r="T16" s="816" t="s">
        <v>1280</v>
      </c>
      <c r="U16" s="818">
        <v>0</v>
      </c>
      <c r="V16" s="816" t="s">
        <v>1253</v>
      </c>
      <c r="W16" s="816" t="s">
        <v>1207</v>
      </c>
      <c r="Y16" s="859">
        <f t="shared" si="0"/>
        <v>73546.44</v>
      </c>
      <c r="Z16" s="858">
        <f t="shared" si="1"/>
        <v>0</v>
      </c>
      <c r="AA16" s="859">
        <f t="shared" si="2"/>
        <v>0</v>
      </c>
    </row>
    <row r="17" spans="1:35" x14ac:dyDescent="0.25">
      <c r="A17" s="817" t="s">
        <v>180</v>
      </c>
      <c r="B17" s="817" t="s">
        <v>197</v>
      </c>
      <c r="C17" s="817" t="s">
        <v>1262</v>
      </c>
      <c r="D17" s="817" t="s">
        <v>1281</v>
      </c>
      <c r="E17" s="817" t="s">
        <v>1281</v>
      </c>
      <c r="F17" s="816" t="s">
        <v>1264</v>
      </c>
      <c r="G17" s="817" t="s">
        <v>197</v>
      </c>
      <c r="H17" s="817" t="s">
        <v>721</v>
      </c>
      <c r="I17" s="817" t="s">
        <v>346</v>
      </c>
      <c r="J17" s="818">
        <v>42357.19</v>
      </c>
      <c r="K17" s="818">
        <v>42357.19</v>
      </c>
      <c r="L17" s="818">
        <v>42357.19</v>
      </c>
      <c r="M17" s="818">
        <v>0</v>
      </c>
      <c r="N17" s="818">
        <v>0</v>
      </c>
      <c r="O17" s="818">
        <v>0</v>
      </c>
      <c r="P17" s="818">
        <v>0</v>
      </c>
      <c r="Q17" s="818">
        <v>0</v>
      </c>
      <c r="R17" s="818">
        <v>0</v>
      </c>
      <c r="S17" s="818">
        <v>0</v>
      </c>
      <c r="T17" s="816" t="s">
        <v>1282</v>
      </c>
      <c r="U17" s="818">
        <v>0</v>
      </c>
      <c r="V17" s="816" t="s">
        <v>1253</v>
      </c>
      <c r="W17" s="816" t="s">
        <v>1266</v>
      </c>
      <c r="Y17" s="859">
        <f t="shared" si="0"/>
        <v>42357.19</v>
      </c>
      <c r="Z17" s="858">
        <f t="shared" si="1"/>
        <v>0</v>
      </c>
      <c r="AA17" s="859">
        <f t="shared" si="2"/>
        <v>0</v>
      </c>
    </row>
    <row r="18" spans="1:35" x14ac:dyDescent="0.25">
      <c r="A18" s="817" t="s">
        <v>181</v>
      </c>
      <c r="B18" s="817" t="s">
        <v>1283</v>
      </c>
      <c r="C18" s="817" t="s">
        <v>1249</v>
      </c>
      <c r="D18" s="817" t="s">
        <v>1281</v>
      </c>
      <c r="E18" s="817" t="s">
        <v>1281</v>
      </c>
      <c r="F18" s="816" t="s">
        <v>1284</v>
      </c>
      <c r="G18" s="817" t="s">
        <v>247</v>
      </c>
      <c r="H18" s="817" t="s">
        <v>721</v>
      </c>
      <c r="I18" s="817" t="s">
        <v>346</v>
      </c>
      <c r="J18" s="818">
        <v>3877.9</v>
      </c>
      <c r="K18" s="818">
        <v>3877.9</v>
      </c>
      <c r="L18" s="818">
        <v>3877.9</v>
      </c>
      <c r="M18" s="818">
        <v>0</v>
      </c>
      <c r="N18" s="818">
        <v>0</v>
      </c>
      <c r="O18" s="818">
        <v>0</v>
      </c>
      <c r="P18" s="818">
        <v>0</v>
      </c>
      <c r="Q18" s="818">
        <v>0</v>
      </c>
      <c r="R18" s="818">
        <v>0</v>
      </c>
      <c r="S18" s="818">
        <v>0</v>
      </c>
      <c r="T18" s="816" t="s">
        <v>1285</v>
      </c>
      <c r="U18" s="818">
        <v>0</v>
      </c>
      <c r="V18" s="816" t="s">
        <v>1253</v>
      </c>
      <c r="W18" s="816" t="s">
        <v>1207</v>
      </c>
      <c r="Y18" s="859">
        <f t="shared" si="0"/>
        <v>3877.9</v>
      </c>
      <c r="Z18" s="858">
        <f t="shared" si="1"/>
        <v>0</v>
      </c>
      <c r="AA18" s="859">
        <f t="shared" si="2"/>
        <v>0</v>
      </c>
    </row>
    <row r="19" spans="1:35" x14ac:dyDescent="0.25">
      <c r="A19" s="817" t="s">
        <v>1286</v>
      </c>
      <c r="B19" s="817" t="s">
        <v>200</v>
      </c>
      <c r="C19" s="817" t="s">
        <v>1262</v>
      </c>
      <c r="D19" s="817" t="s">
        <v>1287</v>
      </c>
      <c r="E19" s="817" t="s">
        <v>1287</v>
      </c>
      <c r="F19" s="816" t="s">
        <v>1264</v>
      </c>
      <c r="G19" s="817" t="s">
        <v>197</v>
      </c>
      <c r="H19" s="817" t="s">
        <v>721</v>
      </c>
      <c r="I19" s="817" t="s">
        <v>346</v>
      </c>
      <c r="J19" s="818">
        <v>34815.22</v>
      </c>
      <c r="K19" s="818">
        <v>34815.22</v>
      </c>
      <c r="L19" s="818">
        <v>34815.22</v>
      </c>
      <c r="M19" s="818">
        <v>0</v>
      </c>
      <c r="N19" s="818">
        <v>0</v>
      </c>
      <c r="O19" s="818">
        <v>0</v>
      </c>
      <c r="P19" s="818">
        <v>0</v>
      </c>
      <c r="Q19" s="818">
        <v>0</v>
      </c>
      <c r="R19" s="818">
        <v>0</v>
      </c>
      <c r="S19" s="818">
        <v>0</v>
      </c>
      <c r="T19" s="816" t="s">
        <v>1288</v>
      </c>
      <c r="U19" s="818">
        <v>0</v>
      </c>
      <c r="V19" s="816" t="s">
        <v>1253</v>
      </c>
      <c r="W19" s="816" t="s">
        <v>1266</v>
      </c>
      <c r="Y19" s="859">
        <f t="shared" si="0"/>
        <v>34815.22</v>
      </c>
      <c r="Z19" s="858">
        <f t="shared" si="1"/>
        <v>0</v>
      </c>
      <c r="AA19" s="859">
        <f t="shared" si="2"/>
        <v>0</v>
      </c>
    </row>
    <row r="20" spans="1:35" x14ac:dyDescent="0.25">
      <c r="A20" s="817" t="s">
        <v>210</v>
      </c>
      <c r="B20" s="817" t="s">
        <v>1289</v>
      </c>
      <c r="C20" s="817" t="s">
        <v>1270</v>
      </c>
      <c r="D20" s="817" t="s">
        <v>1290</v>
      </c>
      <c r="E20" s="817" t="s">
        <v>1290</v>
      </c>
      <c r="F20" s="816" t="s">
        <v>1284</v>
      </c>
      <c r="G20" s="817" t="s">
        <v>298</v>
      </c>
      <c r="H20" s="817" t="s">
        <v>721</v>
      </c>
      <c r="I20" s="817" t="s">
        <v>346</v>
      </c>
      <c r="J20" s="818">
        <v>2520.17</v>
      </c>
      <c r="K20" s="818">
        <v>2520.17</v>
      </c>
      <c r="L20" s="818">
        <v>2520.17</v>
      </c>
      <c r="M20" s="818">
        <v>0</v>
      </c>
      <c r="N20" s="818">
        <v>0</v>
      </c>
      <c r="O20" s="818">
        <v>0</v>
      </c>
      <c r="P20" s="818">
        <v>0</v>
      </c>
      <c r="Q20" s="818">
        <v>0</v>
      </c>
      <c r="R20" s="818">
        <v>0</v>
      </c>
      <c r="S20" s="818">
        <v>0</v>
      </c>
      <c r="T20" s="816" t="s">
        <v>1291</v>
      </c>
      <c r="U20" s="818">
        <v>0</v>
      </c>
      <c r="V20" s="816" t="s">
        <v>1253</v>
      </c>
      <c r="W20" s="816" t="s">
        <v>1292</v>
      </c>
      <c r="Y20" s="859">
        <f t="shared" si="0"/>
        <v>2520.17</v>
      </c>
      <c r="Z20" s="858">
        <f t="shared" si="1"/>
        <v>0</v>
      </c>
      <c r="AA20" s="859">
        <f t="shared" si="2"/>
        <v>0</v>
      </c>
    </row>
    <row r="21" spans="1:35" x14ac:dyDescent="0.25">
      <c r="A21" s="817" t="s">
        <v>211</v>
      </c>
      <c r="B21" s="817" t="s">
        <v>202</v>
      </c>
      <c r="C21" s="817" t="s">
        <v>1249</v>
      </c>
      <c r="D21" s="817" t="s">
        <v>1293</v>
      </c>
      <c r="E21" s="817" t="s">
        <v>1293</v>
      </c>
      <c r="F21" s="816" t="s">
        <v>1251</v>
      </c>
      <c r="G21" s="817" t="s">
        <v>304</v>
      </c>
      <c r="H21" s="817" t="s">
        <v>721</v>
      </c>
      <c r="I21" s="817" t="s">
        <v>346</v>
      </c>
      <c r="J21" s="818">
        <v>54304.800000000003</v>
      </c>
      <c r="K21" s="818">
        <v>54304.800000000003</v>
      </c>
      <c r="L21" s="818">
        <v>54304.800000000003</v>
      </c>
      <c r="M21" s="818">
        <v>0</v>
      </c>
      <c r="N21" s="818">
        <v>0</v>
      </c>
      <c r="O21" s="818">
        <v>0</v>
      </c>
      <c r="P21" s="818">
        <v>0</v>
      </c>
      <c r="Q21" s="818">
        <v>0</v>
      </c>
      <c r="R21" s="818">
        <v>0</v>
      </c>
      <c r="S21" s="818">
        <v>0</v>
      </c>
      <c r="T21" s="816" t="s">
        <v>1294</v>
      </c>
      <c r="U21" s="818">
        <v>0</v>
      </c>
      <c r="V21" s="816" t="s">
        <v>1253</v>
      </c>
      <c r="W21" s="816" t="s">
        <v>1207</v>
      </c>
      <c r="Y21" s="859">
        <f t="shared" si="0"/>
        <v>54304.800000000003</v>
      </c>
      <c r="Z21" s="858">
        <f t="shared" si="1"/>
        <v>0</v>
      </c>
      <c r="AA21" s="859">
        <f t="shared" si="2"/>
        <v>0</v>
      </c>
    </row>
    <row r="22" spans="1:35" x14ac:dyDescent="0.25">
      <c r="A22" s="817" t="s">
        <v>1295</v>
      </c>
      <c r="B22" s="817" t="s">
        <v>1296</v>
      </c>
      <c r="C22" s="817" t="s">
        <v>1270</v>
      </c>
      <c r="D22" s="817" t="s">
        <v>1297</v>
      </c>
      <c r="E22" s="817" t="s">
        <v>1297</v>
      </c>
      <c r="F22" s="816" t="s">
        <v>1284</v>
      </c>
      <c r="G22" s="817" t="s">
        <v>247</v>
      </c>
      <c r="H22" s="817" t="s">
        <v>721</v>
      </c>
      <c r="I22" s="817" t="s">
        <v>346</v>
      </c>
      <c r="J22" s="818">
        <v>2226.0500000000002</v>
      </c>
      <c r="K22" s="818">
        <v>2226.0500000000002</v>
      </c>
      <c r="L22" s="818">
        <v>2226.0500000000002</v>
      </c>
      <c r="M22" s="818">
        <v>0</v>
      </c>
      <c r="N22" s="818">
        <v>0</v>
      </c>
      <c r="O22" s="818">
        <v>0</v>
      </c>
      <c r="P22" s="818">
        <v>0</v>
      </c>
      <c r="Q22" s="818">
        <v>0</v>
      </c>
      <c r="R22" s="818">
        <v>0</v>
      </c>
      <c r="S22" s="818">
        <v>0</v>
      </c>
      <c r="T22" s="816" t="s">
        <v>1298</v>
      </c>
      <c r="U22" s="818">
        <v>0</v>
      </c>
      <c r="V22" s="816" t="s">
        <v>1253</v>
      </c>
      <c r="W22" s="816" t="s">
        <v>1292</v>
      </c>
      <c r="Y22" s="859">
        <f t="shared" si="0"/>
        <v>2226.0500000000002</v>
      </c>
      <c r="Z22" s="858">
        <f t="shared" si="1"/>
        <v>0</v>
      </c>
      <c r="AA22" s="859">
        <f t="shared" si="2"/>
        <v>0</v>
      </c>
    </row>
    <row r="23" spans="1:35" x14ac:dyDescent="0.25">
      <c r="A23" s="817" t="s">
        <v>309</v>
      </c>
      <c r="B23" s="817" t="s">
        <v>1299</v>
      </c>
      <c r="C23" s="817" t="s">
        <v>1262</v>
      </c>
      <c r="D23" s="817" t="s">
        <v>1300</v>
      </c>
      <c r="E23" s="817" t="s">
        <v>1300</v>
      </c>
      <c r="F23" s="816" t="s">
        <v>1264</v>
      </c>
      <c r="G23" s="817" t="s">
        <v>197</v>
      </c>
      <c r="H23" s="817" t="s">
        <v>721</v>
      </c>
      <c r="I23" s="817" t="s">
        <v>346</v>
      </c>
      <c r="J23" s="818">
        <v>24015.72</v>
      </c>
      <c r="K23" s="818">
        <v>24015.72</v>
      </c>
      <c r="L23" s="818">
        <v>24015.72</v>
      </c>
      <c r="M23" s="818">
        <v>0</v>
      </c>
      <c r="N23" s="818">
        <v>0</v>
      </c>
      <c r="O23" s="818">
        <v>0</v>
      </c>
      <c r="P23" s="818">
        <v>0</v>
      </c>
      <c r="Q23" s="818">
        <v>0</v>
      </c>
      <c r="R23" s="818">
        <v>0</v>
      </c>
      <c r="S23" s="818">
        <v>0</v>
      </c>
      <c r="T23" s="816" t="s">
        <v>1301</v>
      </c>
      <c r="U23" s="818">
        <v>0</v>
      </c>
      <c r="V23" s="816" t="s">
        <v>1253</v>
      </c>
      <c r="W23" s="816" t="s">
        <v>1266</v>
      </c>
      <c r="Y23" s="859">
        <f t="shared" si="0"/>
        <v>24015.72</v>
      </c>
      <c r="Z23" s="858">
        <f t="shared" si="1"/>
        <v>0</v>
      </c>
      <c r="AA23" s="859">
        <f t="shared" si="2"/>
        <v>0</v>
      </c>
    </row>
    <row r="24" spans="1:35" s="886" customFormat="1" x14ac:dyDescent="0.25">
      <c r="A24" s="883" t="s">
        <v>328</v>
      </c>
      <c r="B24" s="883" t="s">
        <v>204</v>
      </c>
      <c r="C24" s="883" t="s">
        <v>1262</v>
      </c>
      <c r="D24" s="883" t="s">
        <v>1300</v>
      </c>
      <c r="E24" s="883" t="s">
        <v>1300</v>
      </c>
      <c r="F24" s="884" t="s">
        <v>1264</v>
      </c>
      <c r="G24" s="883" t="s">
        <v>197</v>
      </c>
      <c r="H24" s="883" t="s">
        <v>721</v>
      </c>
      <c r="I24" s="883" t="s">
        <v>346</v>
      </c>
      <c r="J24" s="885">
        <v>24568.58</v>
      </c>
      <c r="K24" s="885">
        <v>24568.58</v>
      </c>
      <c r="L24" s="885">
        <v>24568.58</v>
      </c>
      <c r="M24" s="885">
        <v>0</v>
      </c>
      <c r="N24" s="885">
        <v>0</v>
      </c>
      <c r="O24" s="885">
        <v>0</v>
      </c>
      <c r="P24" s="885">
        <v>0</v>
      </c>
      <c r="Q24" s="885">
        <v>0</v>
      </c>
      <c r="R24" s="885">
        <v>0</v>
      </c>
      <c r="S24" s="885">
        <v>0</v>
      </c>
      <c r="T24" s="884" t="s">
        <v>1302</v>
      </c>
      <c r="U24" s="885">
        <v>0</v>
      </c>
      <c r="V24" s="884" t="s">
        <v>1253</v>
      </c>
      <c r="W24" s="884" t="s">
        <v>1266</v>
      </c>
      <c r="Y24" s="887">
        <f t="shared" si="0"/>
        <v>24568.58</v>
      </c>
      <c r="Z24" s="888">
        <f t="shared" si="1"/>
        <v>0</v>
      </c>
      <c r="AA24" s="887">
        <f t="shared" si="2"/>
        <v>0</v>
      </c>
    </row>
    <row r="25" spans="1:35" x14ac:dyDescent="0.25">
      <c r="A25" s="817" t="s">
        <v>324</v>
      </c>
      <c r="B25" s="817" t="s">
        <v>205</v>
      </c>
      <c r="C25" s="817" t="s">
        <v>1249</v>
      </c>
      <c r="D25" s="817" t="s">
        <v>1303</v>
      </c>
      <c r="E25" s="817" t="s">
        <v>1303</v>
      </c>
      <c r="F25" s="816" t="s">
        <v>1304</v>
      </c>
      <c r="G25" s="817" t="s">
        <v>300</v>
      </c>
      <c r="H25" s="817" t="s">
        <v>1305</v>
      </c>
      <c r="I25" s="817" t="s">
        <v>346</v>
      </c>
      <c r="J25" s="818">
        <v>34500</v>
      </c>
      <c r="K25" s="818">
        <v>24737.74</v>
      </c>
      <c r="L25" s="818">
        <v>24737.74</v>
      </c>
      <c r="M25" s="818">
        <v>0</v>
      </c>
      <c r="N25" s="818">
        <v>191.42000000000002</v>
      </c>
      <c r="O25" s="818">
        <v>191.42000000000002</v>
      </c>
      <c r="P25" s="818">
        <v>0</v>
      </c>
      <c r="Q25" s="818">
        <v>2297.04</v>
      </c>
      <c r="R25" s="818">
        <v>2297.04</v>
      </c>
      <c r="S25" s="818">
        <v>0</v>
      </c>
      <c r="T25" s="816" t="s">
        <v>1306</v>
      </c>
      <c r="U25" s="818">
        <v>9762.26</v>
      </c>
      <c r="V25" s="816" t="s">
        <v>1253</v>
      </c>
      <c r="W25" s="816" t="s">
        <v>1207</v>
      </c>
      <c r="Y25" s="859">
        <f t="shared" si="0"/>
        <v>34500</v>
      </c>
      <c r="Z25" s="858">
        <f t="shared" si="1"/>
        <v>9762.2599999999984</v>
      </c>
      <c r="AA25" s="859">
        <f t="shared" si="2"/>
        <v>191.42000000000002</v>
      </c>
      <c r="AB25" s="820" t="s">
        <v>791</v>
      </c>
      <c r="AC25" s="815">
        <f>IF((Z25-(AA25*12))&gt;0,AA25*12,Z25)</f>
        <v>2297.04</v>
      </c>
      <c r="AD25" s="815">
        <f>IF(($Z25-($AA25*12)-SUM($AC25:AC25))&gt;0,$AA25*12,$Z25-SUM($AC25:AC25))</f>
        <v>2297.04</v>
      </c>
      <c r="AE25" s="815">
        <f>IF(($Z25-($AA25*12)-SUM($AC25:AD25))&gt;0,$AA25*12,$Z25-SUM($AC25:AD25))</f>
        <v>2297.04</v>
      </c>
      <c r="AF25" s="815">
        <f>IF(($Z25-($AA25*12)-SUM($AC25:AE25))&gt;0,$AA25*12,$Z25-SUM($AC25:AE25))</f>
        <v>2297.04</v>
      </c>
      <c r="AG25" s="815">
        <f>IF(($Z25-($AA25*12)-SUM($AC25:AF25))&gt;0,$AA25*12,$Z25-SUM($AC25:AF25))</f>
        <v>574.09999999999854</v>
      </c>
      <c r="AH25" s="815">
        <f>IF(($Z25-($AA25*12)-SUM($AC25:AG25))&gt;0,$AA25*12,$Z25-SUM($AC25:AG25))</f>
        <v>0</v>
      </c>
      <c r="AI25" s="815">
        <f>IF(($Z25-($AA25*12)-SUM($AC25:AH25))&gt;0,$AA25*12,$Z25-SUM($AC25:AH25))</f>
        <v>0</v>
      </c>
    </row>
    <row r="26" spans="1:35" x14ac:dyDescent="0.25">
      <c r="A26" s="817" t="s">
        <v>185</v>
      </c>
      <c r="B26" s="817" t="s">
        <v>340</v>
      </c>
      <c r="C26" s="817" t="s">
        <v>1249</v>
      </c>
      <c r="D26" s="817" t="s">
        <v>1307</v>
      </c>
      <c r="E26" s="817" t="s">
        <v>1307</v>
      </c>
      <c r="F26" s="816" t="s">
        <v>1284</v>
      </c>
      <c r="G26" s="817" t="s">
        <v>298</v>
      </c>
      <c r="H26" s="817" t="s">
        <v>721</v>
      </c>
      <c r="I26" s="817" t="s">
        <v>346</v>
      </c>
      <c r="J26" s="818">
        <v>3600</v>
      </c>
      <c r="K26" s="818">
        <v>3600</v>
      </c>
      <c r="L26" s="818">
        <v>3600</v>
      </c>
      <c r="M26" s="818">
        <v>0</v>
      </c>
      <c r="N26" s="818">
        <v>0</v>
      </c>
      <c r="O26" s="818"/>
      <c r="P26" s="818">
        <v>0</v>
      </c>
      <c r="Q26" s="818">
        <v>0</v>
      </c>
      <c r="R26" s="818">
        <v>0</v>
      </c>
      <c r="S26" s="818">
        <v>0</v>
      </c>
      <c r="T26" s="816" t="s">
        <v>1308</v>
      </c>
      <c r="U26" s="818">
        <v>0</v>
      </c>
      <c r="V26" s="816" t="s">
        <v>1253</v>
      </c>
      <c r="W26" s="816" t="s">
        <v>1207</v>
      </c>
      <c r="Y26" s="859">
        <f t="shared" si="0"/>
        <v>3600</v>
      </c>
      <c r="Z26" s="858">
        <f t="shared" si="1"/>
        <v>0</v>
      </c>
      <c r="AA26" s="859">
        <f t="shared" si="2"/>
        <v>0</v>
      </c>
    </row>
    <row r="27" spans="1:35" x14ac:dyDescent="0.25">
      <c r="A27" s="817" t="s">
        <v>1309</v>
      </c>
      <c r="B27" s="817" t="s">
        <v>1310</v>
      </c>
      <c r="C27" s="817" t="s">
        <v>1249</v>
      </c>
      <c r="D27" s="817" t="s">
        <v>1311</v>
      </c>
      <c r="E27" s="817" t="s">
        <v>1311</v>
      </c>
      <c r="F27" s="816" t="s">
        <v>1264</v>
      </c>
      <c r="G27" s="817" t="s">
        <v>304</v>
      </c>
      <c r="H27" s="817" t="s">
        <v>721</v>
      </c>
      <c r="I27" s="817" t="s">
        <v>346</v>
      </c>
      <c r="J27" s="818">
        <v>33729.22</v>
      </c>
      <c r="K27" s="818">
        <v>33729.22</v>
      </c>
      <c r="L27" s="818">
        <v>33729.22</v>
      </c>
      <c r="M27" s="818">
        <v>0</v>
      </c>
      <c r="N27" s="818">
        <v>0</v>
      </c>
      <c r="O27" s="818">
        <v>0</v>
      </c>
      <c r="P27" s="818">
        <v>0</v>
      </c>
      <c r="Q27" s="818">
        <v>0</v>
      </c>
      <c r="R27" s="818">
        <v>0</v>
      </c>
      <c r="S27" s="818">
        <v>0</v>
      </c>
      <c r="T27" s="816" t="s">
        <v>1312</v>
      </c>
      <c r="U27" s="818">
        <v>0</v>
      </c>
      <c r="V27" s="816" t="s">
        <v>1253</v>
      </c>
      <c r="W27" s="816" t="s">
        <v>1207</v>
      </c>
      <c r="Y27" s="859">
        <f t="shared" si="0"/>
        <v>33729.22</v>
      </c>
      <c r="Z27" s="858">
        <f t="shared" si="1"/>
        <v>0</v>
      </c>
      <c r="AA27" s="859">
        <f t="shared" si="2"/>
        <v>0</v>
      </c>
    </row>
    <row r="28" spans="1:35" x14ac:dyDescent="0.25">
      <c r="A28" s="817" t="s">
        <v>1257</v>
      </c>
      <c r="B28" s="817" t="s">
        <v>1313</v>
      </c>
      <c r="C28" s="817" t="s">
        <v>1249</v>
      </c>
      <c r="D28" s="817" t="s">
        <v>1311</v>
      </c>
      <c r="E28" s="817" t="s">
        <v>1311</v>
      </c>
      <c r="F28" s="816" t="s">
        <v>1284</v>
      </c>
      <c r="G28" s="817" t="s">
        <v>298</v>
      </c>
      <c r="H28" s="817" t="s">
        <v>721</v>
      </c>
      <c r="I28" s="817" t="s">
        <v>346</v>
      </c>
      <c r="J28" s="818">
        <v>3303.05</v>
      </c>
      <c r="K28" s="818">
        <v>3303.05</v>
      </c>
      <c r="L28" s="818">
        <v>3303.05</v>
      </c>
      <c r="M28" s="818">
        <v>0</v>
      </c>
      <c r="N28" s="818">
        <v>0</v>
      </c>
      <c r="O28" s="818">
        <v>0</v>
      </c>
      <c r="P28" s="818">
        <v>0</v>
      </c>
      <c r="Q28" s="818">
        <v>0</v>
      </c>
      <c r="R28" s="818">
        <v>0</v>
      </c>
      <c r="S28" s="818">
        <v>0</v>
      </c>
      <c r="T28" s="816" t="s">
        <v>1314</v>
      </c>
      <c r="U28" s="818">
        <v>0</v>
      </c>
      <c r="V28" s="816" t="s">
        <v>1253</v>
      </c>
      <c r="W28" s="816" t="s">
        <v>1207</v>
      </c>
      <c r="Y28" s="859">
        <f t="shared" si="0"/>
        <v>3303.05</v>
      </c>
      <c r="Z28" s="858">
        <f t="shared" si="1"/>
        <v>0</v>
      </c>
      <c r="AA28" s="859">
        <f t="shared" si="2"/>
        <v>0</v>
      </c>
    </row>
    <row r="29" spans="1:35" x14ac:dyDescent="0.25">
      <c r="A29" s="817" t="s">
        <v>186</v>
      </c>
      <c r="B29" s="817" t="s">
        <v>333</v>
      </c>
      <c r="C29" s="817" t="s">
        <v>1249</v>
      </c>
      <c r="D29" s="817" t="s">
        <v>1315</v>
      </c>
      <c r="E29" s="817" t="s">
        <v>1315</v>
      </c>
      <c r="F29" s="816" t="s">
        <v>1284</v>
      </c>
      <c r="G29" s="817" t="s">
        <v>298</v>
      </c>
      <c r="H29" s="817" t="s">
        <v>721</v>
      </c>
      <c r="I29" s="817" t="s">
        <v>346</v>
      </c>
      <c r="J29" s="818">
        <v>5811.7300000000005</v>
      </c>
      <c r="K29" s="818">
        <v>5811.7300000000005</v>
      </c>
      <c r="L29" s="818">
        <v>5811.7300000000005</v>
      </c>
      <c r="M29" s="818">
        <v>0</v>
      </c>
      <c r="N29" s="818">
        <v>0</v>
      </c>
      <c r="O29" s="818">
        <v>0</v>
      </c>
      <c r="P29" s="818">
        <v>0</v>
      </c>
      <c r="Q29" s="818">
        <v>0</v>
      </c>
      <c r="R29" s="818">
        <v>0</v>
      </c>
      <c r="S29" s="818">
        <v>0</v>
      </c>
      <c r="T29" s="816" t="s">
        <v>1316</v>
      </c>
      <c r="U29" s="818">
        <v>0</v>
      </c>
      <c r="V29" s="816" t="s">
        <v>1253</v>
      </c>
      <c r="W29" s="816" t="s">
        <v>1207</v>
      </c>
      <c r="Y29" s="859">
        <f t="shared" si="0"/>
        <v>5811.7300000000005</v>
      </c>
      <c r="Z29" s="858">
        <f t="shared" si="1"/>
        <v>0</v>
      </c>
      <c r="AA29" s="859">
        <f t="shared" si="2"/>
        <v>0</v>
      </c>
    </row>
    <row r="30" spans="1:35" x14ac:dyDescent="0.25">
      <c r="A30" s="817" t="s">
        <v>298</v>
      </c>
      <c r="B30" s="817" t="s">
        <v>326</v>
      </c>
      <c r="C30" s="817" t="s">
        <v>1249</v>
      </c>
      <c r="D30" s="817" t="s">
        <v>1317</v>
      </c>
      <c r="E30" s="817" t="s">
        <v>1317</v>
      </c>
      <c r="F30" s="816" t="s">
        <v>1284</v>
      </c>
      <c r="G30" s="817" t="s">
        <v>298</v>
      </c>
      <c r="H30" s="817" t="s">
        <v>721</v>
      </c>
      <c r="I30" s="817" t="s">
        <v>346</v>
      </c>
      <c r="J30" s="818">
        <v>3040.7000000000003</v>
      </c>
      <c r="K30" s="818">
        <v>3040.7000000000003</v>
      </c>
      <c r="L30" s="818">
        <v>3040.7000000000003</v>
      </c>
      <c r="M30" s="818">
        <v>0</v>
      </c>
      <c r="N30" s="818">
        <v>0</v>
      </c>
      <c r="O30" s="818">
        <v>0</v>
      </c>
      <c r="P30" s="818">
        <v>0</v>
      </c>
      <c r="Q30" s="818">
        <v>0</v>
      </c>
      <c r="R30" s="818">
        <v>0</v>
      </c>
      <c r="S30" s="818">
        <v>0</v>
      </c>
      <c r="T30" s="816" t="s">
        <v>1318</v>
      </c>
      <c r="U30" s="818">
        <v>0</v>
      </c>
      <c r="V30" s="816" t="s">
        <v>1253</v>
      </c>
      <c r="W30" s="816" t="s">
        <v>1207</v>
      </c>
      <c r="Y30" s="859">
        <f t="shared" si="0"/>
        <v>3040.7000000000003</v>
      </c>
      <c r="Z30" s="858">
        <f t="shared" si="1"/>
        <v>0</v>
      </c>
      <c r="AA30" s="859">
        <f t="shared" si="2"/>
        <v>0</v>
      </c>
    </row>
    <row r="31" spans="1:35" x14ac:dyDescent="0.25">
      <c r="A31" s="817" t="s">
        <v>1319</v>
      </c>
      <c r="B31" s="817" t="s">
        <v>307</v>
      </c>
      <c r="C31" s="817" t="s">
        <v>1249</v>
      </c>
      <c r="D31" s="817" t="s">
        <v>1317</v>
      </c>
      <c r="E31" s="817" t="s">
        <v>1317</v>
      </c>
      <c r="F31" s="816" t="s">
        <v>1284</v>
      </c>
      <c r="G31" s="817" t="s">
        <v>298</v>
      </c>
      <c r="H31" s="817" t="s">
        <v>721</v>
      </c>
      <c r="I31" s="817" t="s">
        <v>346</v>
      </c>
      <c r="J31" s="818">
        <v>3304.8</v>
      </c>
      <c r="K31" s="818">
        <v>3304.8</v>
      </c>
      <c r="L31" s="818">
        <v>3304.8</v>
      </c>
      <c r="M31" s="818">
        <v>0</v>
      </c>
      <c r="N31" s="818">
        <v>0</v>
      </c>
      <c r="O31" s="818">
        <v>0</v>
      </c>
      <c r="P31" s="818">
        <v>0</v>
      </c>
      <c r="Q31" s="818">
        <v>0</v>
      </c>
      <c r="R31" s="818">
        <v>0</v>
      </c>
      <c r="S31" s="818">
        <v>0</v>
      </c>
      <c r="T31" s="816" t="s">
        <v>1320</v>
      </c>
      <c r="U31" s="818">
        <v>0</v>
      </c>
      <c r="V31" s="816" t="s">
        <v>1253</v>
      </c>
      <c r="W31" s="816" t="s">
        <v>1207</v>
      </c>
      <c r="Y31" s="859">
        <f t="shared" si="0"/>
        <v>3304.8</v>
      </c>
      <c r="Z31" s="858">
        <f t="shared" si="1"/>
        <v>0</v>
      </c>
      <c r="AA31" s="859">
        <f t="shared" si="2"/>
        <v>0</v>
      </c>
    </row>
    <row r="32" spans="1:35" x14ac:dyDescent="0.25">
      <c r="A32" s="817" t="s">
        <v>1321</v>
      </c>
      <c r="B32" s="817" t="s">
        <v>313</v>
      </c>
      <c r="C32" s="817" t="s">
        <v>1249</v>
      </c>
      <c r="D32" s="817" t="s">
        <v>1322</v>
      </c>
      <c r="E32" s="817" t="s">
        <v>1322</v>
      </c>
      <c r="F32" s="816" t="s">
        <v>1284</v>
      </c>
      <c r="G32" s="817" t="s">
        <v>298</v>
      </c>
      <c r="H32" s="817" t="s">
        <v>721</v>
      </c>
      <c r="I32" s="817" t="s">
        <v>346</v>
      </c>
      <c r="J32" s="818">
        <v>2178</v>
      </c>
      <c r="K32" s="818">
        <v>2178</v>
      </c>
      <c r="L32" s="818">
        <v>2178</v>
      </c>
      <c r="M32" s="818">
        <v>0</v>
      </c>
      <c r="N32" s="818">
        <v>0</v>
      </c>
      <c r="O32" s="818">
        <v>0</v>
      </c>
      <c r="P32" s="818">
        <v>0</v>
      </c>
      <c r="Q32" s="818">
        <v>0</v>
      </c>
      <c r="R32" s="818">
        <v>0</v>
      </c>
      <c r="S32" s="818">
        <v>0</v>
      </c>
      <c r="T32" s="816" t="s">
        <v>1323</v>
      </c>
      <c r="U32" s="818">
        <v>0</v>
      </c>
      <c r="V32" s="816" t="s">
        <v>1253</v>
      </c>
      <c r="W32" s="816" t="s">
        <v>1207</v>
      </c>
      <c r="Y32" s="859">
        <f t="shared" si="0"/>
        <v>2178</v>
      </c>
      <c r="Z32" s="858">
        <f t="shared" si="1"/>
        <v>0</v>
      </c>
      <c r="AA32" s="859">
        <f t="shared" si="2"/>
        <v>0</v>
      </c>
    </row>
    <row r="33" spans="1:35" x14ac:dyDescent="0.25">
      <c r="A33" s="817" t="s">
        <v>1324</v>
      </c>
      <c r="B33" s="817" t="s">
        <v>1325</v>
      </c>
      <c r="C33" s="817" t="s">
        <v>1262</v>
      </c>
      <c r="D33" s="817" t="s">
        <v>1326</v>
      </c>
      <c r="E33" s="817" t="s">
        <v>1326</v>
      </c>
      <c r="F33" s="816" t="s">
        <v>1264</v>
      </c>
      <c r="G33" s="817" t="s">
        <v>304</v>
      </c>
      <c r="H33" s="817" t="s">
        <v>721</v>
      </c>
      <c r="I33" s="817" t="s">
        <v>346</v>
      </c>
      <c r="J33" s="818">
        <v>38636.370000000003</v>
      </c>
      <c r="K33" s="818">
        <v>38636.370000000003</v>
      </c>
      <c r="L33" s="818">
        <v>38636.370000000003</v>
      </c>
      <c r="M33" s="818">
        <v>0</v>
      </c>
      <c r="N33" s="818">
        <v>0</v>
      </c>
      <c r="O33" s="818">
        <v>0</v>
      </c>
      <c r="P33" s="818">
        <v>0</v>
      </c>
      <c r="Q33" s="818">
        <v>0</v>
      </c>
      <c r="R33" s="818">
        <v>0</v>
      </c>
      <c r="S33" s="818">
        <v>0</v>
      </c>
      <c r="T33" s="816" t="s">
        <v>1327</v>
      </c>
      <c r="U33" s="818">
        <v>0</v>
      </c>
      <c r="V33" s="816" t="s">
        <v>1253</v>
      </c>
      <c r="W33" s="816" t="s">
        <v>1266</v>
      </c>
      <c r="Y33" s="859">
        <f t="shared" si="0"/>
        <v>38636.370000000003</v>
      </c>
      <c r="Z33" s="858">
        <f t="shared" si="1"/>
        <v>0</v>
      </c>
      <c r="AA33" s="859">
        <f t="shared" si="2"/>
        <v>0</v>
      </c>
    </row>
    <row r="34" spans="1:35" x14ac:dyDescent="0.25">
      <c r="A34" s="817" t="s">
        <v>1328</v>
      </c>
      <c r="B34" s="817" t="s">
        <v>308</v>
      </c>
      <c r="C34" s="817" t="s">
        <v>1249</v>
      </c>
      <c r="D34" s="817" t="s">
        <v>1329</v>
      </c>
      <c r="E34" s="817" t="s">
        <v>1329</v>
      </c>
      <c r="F34" s="816" t="s">
        <v>1284</v>
      </c>
      <c r="G34" s="817" t="s">
        <v>298</v>
      </c>
      <c r="H34" s="817" t="s">
        <v>721</v>
      </c>
      <c r="I34" s="817" t="s">
        <v>346</v>
      </c>
      <c r="J34" s="818">
        <v>2028.06</v>
      </c>
      <c r="K34" s="818">
        <v>2028.06</v>
      </c>
      <c r="L34" s="818">
        <v>2028.06</v>
      </c>
      <c r="M34" s="818">
        <v>0</v>
      </c>
      <c r="N34" s="818">
        <v>0</v>
      </c>
      <c r="O34" s="818">
        <v>0</v>
      </c>
      <c r="P34" s="818">
        <v>0</v>
      </c>
      <c r="Q34" s="818">
        <v>0</v>
      </c>
      <c r="R34" s="818">
        <v>0</v>
      </c>
      <c r="S34" s="818">
        <v>0</v>
      </c>
      <c r="T34" s="816" t="s">
        <v>1330</v>
      </c>
      <c r="U34" s="818">
        <v>0</v>
      </c>
      <c r="V34" s="816" t="s">
        <v>1253</v>
      </c>
      <c r="W34" s="816" t="s">
        <v>1207</v>
      </c>
      <c r="Y34" s="859">
        <f t="shared" si="0"/>
        <v>2028.06</v>
      </c>
      <c r="Z34" s="858">
        <f t="shared" si="1"/>
        <v>0</v>
      </c>
      <c r="AA34" s="859">
        <f t="shared" si="2"/>
        <v>0</v>
      </c>
    </row>
    <row r="35" spans="1:35" x14ac:dyDescent="0.25">
      <c r="A35" s="817" t="s">
        <v>339</v>
      </c>
      <c r="B35" s="817" t="s">
        <v>1331</v>
      </c>
      <c r="C35" s="817" t="s">
        <v>1249</v>
      </c>
      <c r="D35" s="817" t="s">
        <v>1326</v>
      </c>
      <c r="E35" s="817" t="s">
        <v>1326</v>
      </c>
      <c r="F35" s="816" t="s">
        <v>1332</v>
      </c>
      <c r="G35" s="817" t="s">
        <v>247</v>
      </c>
      <c r="H35" s="817" t="s">
        <v>721</v>
      </c>
      <c r="I35" s="817" t="s">
        <v>346</v>
      </c>
      <c r="J35" s="818">
        <v>4539.6400000000003</v>
      </c>
      <c r="K35" s="818">
        <v>4539.6400000000003</v>
      </c>
      <c r="L35" s="818">
        <v>4539.6400000000003</v>
      </c>
      <c r="M35" s="818">
        <v>0</v>
      </c>
      <c r="N35" s="818">
        <v>0</v>
      </c>
      <c r="O35" s="818">
        <v>0</v>
      </c>
      <c r="P35" s="818">
        <v>0</v>
      </c>
      <c r="Q35" s="818">
        <v>0</v>
      </c>
      <c r="R35" s="818">
        <v>0</v>
      </c>
      <c r="S35" s="818">
        <v>0</v>
      </c>
      <c r="T35" s="816" t="s">
        <v>1333</v>
      </c>
      <c r="U35" s="818">
        <v>0</v>
      </c>
      <c r="V35" s="816" t="s">
        <v>1253</v>
      </c>
      <c r="W35" s="816" t="s">
        <v>1207</v>
      </c>
      <c r="Y35" s="859">
        <f t="shared" si="0"/>
        <v>4539.6400000000003</v>
      </c>
      <c r="Z35" s="858">
        <f t="shared" si="1"/>
        <v>0</v>
      </c>
      <c r="AA35" s="859">
        <f t="shared" si="2"/>
        <v>0</v>
      </c>
    </row>
    <row r="36" spans="1:35" x14ac:dyDescent="0.25">
      <c r="A36" s="817" t="s">
        <v>1334</v>
      </c>
      <c r="B36" s="817" t="s">
        <v>179</v>
      </c>
      <c r="C36" s="817" t="s">
        <v>1249</v>
      </c>
      <c r="D36" s="817" t="s">
        <v>1335</v>
      </c>
      <c r="E36" s="817" t="s">
        <v>1335</v>
      </c>
      <c r="F36" s="816" t="s">
        <v>1336</v>
      </c>
      <c r="G36" s="817" t="s">
        <v>303</v>
      </c>
      <c r="H36" s="817" t="s">
        <v>1337</v>
      </c>
      <c r="I36" s="817" t="s">
        <v>346</v>
      </c>
      <c r="J36" s="818">
        <v>17357.59</v>
      </c>
      <c r="K36" s="818">
        <v>15203.29</v>
      </c>
      <c r="L36" s="818">
        <v>15203.29</v>
      </c>
      <c r="M36" s="818">
        <v>0</v>
      </c>
      <c r="N36" s="818">
        <v>179.52</v>
      </c>
      <c r="O36" s="818">
        <v>179.52</v>
      </c>
      <c r="P36" s="818">
        <v>0</v>
      </c>
      <c r="Q36" s="818">
        <v>2154.2800000000002</v>
      </c>
      <c r="R36" s="818">
        <v>2154.2800000000002</v>
      </c>
      <c r="S36" s="818">
        <v>0</v>
      </c>
      <c r="T36" s="816" t="s">
        <v>1338</v>
      </c>
      <c r="U36" s="818">
        <v>2154.3000000000002</v>
      </c>
      <c r="V36" s="816" t="s">
        <v>1253</v>
      </c>
      <c r="W36" s="816" t="s">
        <v>1207</v>
      </c>
      <c r="Y36" s="859">
        <f t="shared" si="0"/>
        <v>17357.59</v>
      </c>
      <c r="Z36" s="858">
        <f t="shared" si="1"/>
        <v>2154.2999999999993</v>
      </c>
      <c r="AA36" s="859">
        <f t="shared" si="2"/>
        <v>179.52</v>
      </c>
      <c r="AB36" s="820" t="s">
        <v>791</v>
      </c>
      <c r="AC36" s="815">
        <f>IF((Z36-(AA36*12))&gt;0,AA36*12,Z36)</f>
        <v>2154.2400000000002</v>
      </c>
      <c r="AD36" s="815">
        <f>IF(($Z36-($AA36*12)-SUM($AC36:AC36))&gt;0,$AA36*12,$Z36-SUM($AC36:AC36))</f>
        <v>5.9999999999035936E-2</v>
      </c>
      <c r="AE36" s="815">
        <f>IF(($Z36-($AA36*12)-SUM($AC36:AD36))&gt;0,$AA36*12,$Z36-SUM($AC36:AD36))</f>
        <v>0</v>
      </c>
      <c r="AF36" s="815">
        <f>IF(($Z36-($AA36*12)-SUM($AC36:AE36))&gt;0,$AA36*12,$Z36-SUM($AC36:AE36))</f>
        <v>0</v>
      </c>
      <c r="AG36" s="815">
        <f>IF(($Z36-($AA36*12)-SUM($AC36:AF36))&gt;0,$AA36*12,$Z36-SUM($AC36:AF36))</f>
        <v>0</v>
      </c>
      <c r="AH36" s="815">
        <f>IF(($Z36-($AA36*12)-SUM($AC36:AG36))&gt;0,$AA36*12,$Z36-SUM($AC36:AG36))</f>
        <v>0</v>
      </c>
      <c r="AI36" s="815">
        <f>IF(($Z36-($AA36*12)-SUM($AC36:AH36))&gt;0,$AA36*12,$Z36-SUM($AC36:AH36))</f>
        <v>0</v>
      </c>
    </row>
    <row r="37" spans="1:35" s="886" customFormat="1" x14ac:dyDescent="0.25">
      <c r="A37" s="883" t="s">
        <v>1339</v>
      </c>
      <c r="B37" s="883" t="s">
        <v>1340</v>
      </c>
      <c r="C37" s="883" t="s">
        <v>1249</v>
      </c>
      <c r="D37" s="883" t="s">
        <v>1341</v>
      </c>
      <c r="E37" s="883" t="s">
        <v>1341</v>
      </c>
      <c r="F37" s="884" t="s">
        <v>1264</v>
      </c>
      <c r="G37" s="883" t="s">
        <v>204</v>
      </c>
      <c r="H37" s="883" t="s">
        <v>721</v>
      </c>
      <c r="I37" s="883" t="s">
        <v>346</v>
      </c>
      <c r="J37" s="885">
        <v>178280.30000000002</v>
      </c>
      <c r="K37" s="885">
        <v>178280.30000000002</v>
      </c>
      <c r="L37" s="885">
        <v>178280.30000000002</v>
      </c>
      <c r="M37" s="885">
        <v>0</v>
      </c>
      <c r="N37" s="885">
        <v>0</v>
      </c>
      <c r="O37" s="885">
        <v>0</v>
      </c>
      <c r="P37" s="885">
        <v>0</v>
      </c>
      <c r="Q37" s="885">
        <v>3890.81</v>
      </c>
      <c r="R37" s="885">
        <v>3890.81</v>
      </c>
      <c r="S37" s="885">
        <v>0</v>
      </c>
      <c r="T37" s="884" t="s">
        <v>1342</v>
      </c>
      <c r="U37" s="885">
        <v>0</v>
      </c>
      <c r="V37" s="884" t="s">
        <v>1253</v>
      </c>
      <c r="W37" s="884" t="s">
        <v>1207</v>
      </c>
      <c r="Y37" s="887">
        <f t="shared" si="0"/>
        <v>178280.30000000002</v>
      </c>
      <c r="Z37" s="888">
        <f t="shared" si="1"/>
        <v>0</v>
      </c>
      <c r="AA37" s="887">
        <f t="shared" si="2"/>
        <v>0</v>
      </c>
    </row>
    <row r="38" spans="1:35" x14ac:dyDescent="0.25">
      <c r="A38" s="817" t="s">
        <v>244</v>
      </c>
      <c r="B38" s="817" t="s">
        <v>1343</v>
      </c>
      <c r="C38" s="817" t="s">
        <v>1249</v>
      </c>
      <c r="D38" s="817" t="s">
        <v>1341</v>
      </c>
      <c r="E38" s="817" t="s">
        <v>1341</v>
      </c>
      <c r="F38" s="816" t="s">
        <v>1264</v>
      </c>
      <c r="G38" s="817" t="s">
        <v>204</v>
      </c>
      <c r="H38" s="817" t="s">
        <v>721</v>
      </c>
      <c r="I38" s="817" t="s">
        <v>346</v>
      </c>
      <c r="J38" s="818">
        <v>106275.15000000001</v>
      </c>
      <c r="K38" s="818">
        <v>106275.15000000001</v>
      </c>
      <c r="L38" s="818">
        <v>106275.15000000001</v>
      </c>
      <c r="M38" s="818">
        <v>0</v>
      </c>
      <c r="N38" s="818">
        <v>0</v>
      </c>
      <c r="O38" s="818">
        <v>0</v>
      </c>
      <c r="P38" s="818">
        <v>0</v>
      </c>
      <c r="Q38" s="818">
        <v>2244.36</v>
      </c>
      <c r="R38" s="818">
        <v>2244.36</v>
      </c>
      <c r="S38" s="818">
        <v>0</v>
      </c>
      <c r="T38" s="816" t="s">
        <v>1344</v>
      </c>
      <c r="U38" s="818">
        <v>0</v>
      </c>
      <c r="V38" s="816" t="s">
        <v>1253</v>
      </c>
      <c r="W38" s="816" t="s">
        <v>1207</v>
      </c>
      <c r="Y38" s="859">
        <f t="shared" si="0"/>
        <v>106275.15000000001</v>
      </c>
      <c r="Z38" s="858">
        <f t="shared" si="1"/>
        <v>0</v>
      </c>
      <c r="AA38" s="859">
        <f t="shared" si="2"/>
        <v>0</v>
      </c>
    </row>
    <row r="39" spans="1:35" x14ac:dyDescent="0.25">
      <c r="A39" s="817" t="s">
        <v>187</v>
      </c>
      <c r="B39" s="817" t="s">
        <v>336</v>
      </c>
      <c r="C39" s="817" t="s">
        <v>1249</v>
      </c>
      <c r="D39" s="817" t="s">
        <v>1345</v>
      </c>
      <c r="E39" s="817" t="s">
        <v>1345</v>
      </c>
      <c r="F39" s="816" t="s">
        <v>1346</v>
      </c>
      <c r="G39" s="817" t="s">
        <v>303</v>
      </c>
      <c r="H39" s="817" t="s">
        <v>1347</v>
      </c>
      <c r="I39" s="817" t="s">
        <v>346</v>
      </c>
      <c r="J39" s="818">
        <v>3256.5</v>
      </c>
      <c r="K39" s="818">
        <v>2716.69</v>
      </c>
      <c r="L39" s="818">
        <v>2716.69</v>
      </c>
      <c r="M39" s="818">
        <v>0</v>
      </c>
      <c r="N39" s="818">
        <v>33.74</v>
      </c>
      <c r="O39" s="818">
        <v>33.74</v>
      </c>
      <c r="P39" s="818">
        <v>0</v>
      </c>
      <c r="Q39" s="818">
        <v>404.88</v>
      </c>
      <c r="R39" s="818">
        <v>404.88</v>
      </c>
      <c r="S39" s="818">
        <v>0</v>
      </c>
      <c r="T39" s="816" t="s">
        <v>1348</v>
      </c>
      <c r="U39" s="818">
        <v>539.81000000000006</v>
      </c>
      <c r="V39" s="816" t="s">
        <v>1253</v>
      </c>
      <c r="W39" s="816" t="s">
        <v>1207</v>
      </c>
      <c r="Y39" s="859">
        <f t="shared" si="0"/>
        <v>3256.5</v>
      </c>
      <c r="Z39" s="858">
        <f t="shared" si="1"/>
        <v>539.80999999999995</v>
      </c>
      <c r="AA39" s="859">
        <f t="shared" si="2"/>
        <v>33.74</v>
      </c>
      <c r="AB39" s="820" t="s">
        <v>791</v>
      </c>
      <c r="AC39" s="815">
        <f>IF((Z39-(AA39*12))&gt;0,AA39*12,Z39)</f>
        <v>404.88</v>
      </c>
      <c r="AD39" s="815">
        <f>IF(($Z39-($AA39*12)-SUM($AC39:AC39))&gt;0,$AA39*12,$Z39-SUM($AC39:AC39))</f>
        <v>134.92999999999995</v>
      </c>
      <c r="AE39" s="815">
        <f>IF(($Z39-($AA39*12)-SUM($AC39:AD39))&gt;0,$AA39*12,$Z39-SUM($AC39:AD39))</f>
        <v>0</v>
      </c>
      <c r="AF39" s="815">
        <f>IF(($Z39-($AA39*12)-SUM($AC39:AE39))&gt;0,$AA39*12,$Z39-SUM($AC39:AE39))</f>
        <v>0</v>
      </c>
      <c r="AG39" s="815">
        <f>IF(($Z39-($AA39*12)-SUM($AC39:AF39))&gt;0,$AA39*12,$Z39-SUM($AC39:AF39))</f>
        <v>0</v>
      </c>
      <c r="AH39" s="815">
        <f>IF(($Z39-($AA39*12)-SUM($AC39:AG39))&gt;0,$AA39*12,$Z39-SUM($AC39:AG39))</f>
        <v>0</v>
      </c>
      <c r="AI39" s="815">
        <f>IF(($Z39-($AA39*12)-SUM($AC39:AH39))&gt;0,$AA39*12,$Z39-SUM($AC39:AH39))</f>
        <v>0</v>
      </c>
    </row>
    <row r="40" spans="1:35" x14ac:dyDescent="0.25">
      <c r="A40" s="817" t="s">
        <v>188</v>
      </c>
      <c r="B40" s="817" t="s">
        <v>1349</v>
      </c>
      <c r="C40" s="817" t="s">
        <v>1262</v>
      </c>
      <c r="D40" s="817" t="s">
        <v>1350</v>
      </c>
      <c r="E40" s="817" t="s">
        <v>1350</v>
      </c>
      <c r="F40" s="816" t="s">
        <v>1284</v>
      </c>
      <c r="G40" s="817" t="s">
        <v>247</v>
      </c>
      <c r="H40" s="817" t="s">
        <v>721</v>
      </c>
      <c r="I40" s="817" t="s">
        <v>346</v>
      </c>
      <c r="J40" s="818">
        <v>3225.83</v>
      </c>
      <c r="K40" s="818">
        <v>3225.83</v>
      </c>
      <c r="L40" s="818">
        <v>3225.83</v>
      </c>
      <c r="M40" s="818">
        <v>0</v>
      </c>
      <c r="N40" s="818">
        <v>0</v>
      </c>
      <c r="O40" s="818">
        <v>0</v>
      </c>
      <c r="P40" s="818">
        <v>0</v>
      </c>
      <c r="Q40" s="818">
        <v>0</v>
      </c>
      <c r="R40" s="818">
        <v>0</v>
      </c>
      <c r="S40" s="818">
        <v>0</v>
      </c>
      <c r="T40" s="816" t="s">
        <v>1351</v>
      </c>
      <c r="U40" s="818">
        <v>0</v>
      </c>
      <c r="V40" s="816" t="s">
        <v>1253</v>
      </c>
      <c r="W40" s="816" t="s">
        <v>1266</v>
      </c>
      <c r="Y40" s="859">
        <f t="shared" si="0"/>
        <v>3225.83</v>
      </c>
      <c r="Z40" s="858">
        <f t="shared" si="1"/>
        <v>0</v>
      </c>
      <c r="AA40" s="859">
        <f t="shared" si="2"/>
        <v>0</v>
      </c>
    </row>
    <row r="41" spans="1:35" x14ac:dyDescent="0.25">
      <c r="A41" s="817" t="s">
        <v>299</v>
      </c>
      <c r="B41" s="817" t="s">
        <v>301</v>
      </c>
      <c r="C41" s="817" t="s">
        <v>1249</v>
      </c>
      <c r="D41" s="817" t="s">
        <v>1352</v>
      </c>
      <c r="E41" s="817" t="s">
        <v>1352</v>
      </c>
      <c r="F41" s="816" t="s">
        <v>1353</v>
      </c>
      <c r="G41" s="817" t="s">
        <v>298</v>
      </c>
      <c r="H41" s="817" t="s">
        <v>721</v>
      </c>
      <c r="I41" s="817" t="s">
        <v>346</v>
      </c>
      <c r="J41" s="818">
        <v>3538.16</v>
      </c>
      <c r="K41" s="818">
        <v>3538.16</v>
      </c>
      <c r="L41" s="818">
        <v>3538.16</v>
      </c>
      <c r="M41" s="818">
        <v>0</v>
      </c>
      <c r="N41" s="818">
        <v>0</v>
      </c>
      <c r="O41" s="818">
        <v>0</v>
      </c>
      <c r="P41" s="818">
        <v>0</v>
      </c>
      <c r="Q41" s="818">
        <v>0</v>
      </c>
      <c r="R41" s="818">
        <v>0</v>
      </c>
      <c r="S41" s="818">
        <v>0</v>
      </c>
      <c r="T41" s="816" t="s">
        <v>1354</v>
      </c>
      <c r="U41" s="818">
        <v>0</v>
      </c>
      <c r="V41" s="816" t="s">
        <v>1253</v>
      </c>
      <c r="W41" s="816" t="s">
        <v>1207</v>
      </c>
      <c r="Y41" s="859">
        <f t="shared" si="0"/>
        <v>3538.16</v>
      </c>
      <c r="Z41" s="858">
        <f t="shared" si="1"/>
        <v>0</v>
      </c>
      <c r="AA41" s="859">
        <f t="shared" si="2"/>
        <v>0</v>
      </c>
    </row>
    <row r="42" spans="1:35" x14ac:dyDescent="0.25">
      <c r="A42" s="817" t="s">
        <v>247</v>
      </c>
      <c r="B42" s="817" t="s">
        <v>182</v>
      </c>
      <c r="C42" s="817" t="s">
        <v>1249</v>
      </c>
      <c r="D42" s="817" t="s">
        <v>1352</v>
      </c>
      <c r="E42" s="817" t="s">
        <v>1352</v>
      </c>
      <c r="F42" s="816" t="s">
        <v>1353</v>
      </c>
      <c r="G42" s="817" t="s">
        <v>247</v>
      </c>
      <c r="H42" s="817" t="s">
        <v>721</v>
      </c>
      <c r="I42" s="817" t="s">
        <v>346</v>
      </c>
      <c r="J42" s="818">
        <v>3597.73</v>
      </c>
      <c r="K42" s="818">
        <v>3597.73</v>
      </c>
      <c r="L42" s="818">
        <v>3597.73</v>
      </c>
      <c r="M42" s="818">
        <v>0</v>
      </c>
      <c r="N42" s="818">
        <v>0</v>
      </c>
      <c r="O42" s="818">
        <v>0</v>
      </c>
      <c r="P42" s="818">
        <v>0</v>
      </c>
      <c r="Q42" s="818">
        <v>0</v>
      </c>
      <c r="R42" s="818">
        <v>0</v>
      </c>
      <c r="S42" s="818">
        <v>0</v>
      </c>
      <c r="T42" s="816" t="s">
        <v>1354</v>
      </c>
      <c r="U42" s="818">
        <v>0</v>
      </c>
      <c r="V42" s="816" t="s">
        <v>1253</v>
      </c>
      <c r="W42" s="816" t="s">
        <v>1207</v>
      </c>
      <c r="Y42" s="859">
        <f t="shared" si="0"/>
        <v>3597.73</v>
      </c>
      <c r="Z42" s="858">
        <f t="shared" si="1"/>
        <v>0</v>
      </c>
      <c r="AA42" s="859">
        <f t="shared" si="2"/>
        <v>0</v>
      </c>
    </row>
    <row r="43" spans="1:35" x14ac:dyDescent="0.25">
      <c r="A43" s="817" t="s">
        <v>207</v>
      </c>
      <c r="B43" s="817" t="s">
        <v>1355</v>
      </c>
      <c r="C43" s="817" t="s">
        <v>1249</v>
      </c>
      <c r="D43" s="817" t="s">
        <v>1356</v>
      </c>
      <c r="E43" s="817" t="s">
        <v>1356</v>
      </c>
      <c r="F43" s="816" t="s">
        <v>1264</v>
      </c>
      <c r="G43" s="817" t="s">
        <v>304</v>
      </c>
      <c r="H43" s="817" t="s">
        <v>721</v>
      </c>
      <c r="I43" s="817" t="s">
        <v>346</v>
      </c>
      <c r="J43" s="818">
        <v>41530.720000000001</v>
      </c>
      <c r="K43" s="818">
        <v>41530.720000000001</v>
      </c>
      <c r="L43" s="818">
        <v>41530.720000000001</v>
      </c>
      <c r="M43" s="818">
        <v>0</v>
      </c>
      <c r="N43" s="818">
        <v>0</v>
      </c>
      <c r="O43" s="818">
        <v>0</v>
      </c>
      <c r="P43" s="818">
        <v>0</v>
      </c>
      <c r="Q43" s="818">
        <v>0</v>
      </c>
      <c r="R43" s="818">
        <v>0</v>
      </c>
      <c r="S43" s="818">
        <v>0</v>
      </c>
      <c r="T43" s="816" t="s">
        <v>1357</v>
      </c>
      <c r="U43" s="818">
        <v>0</v>
      </c>
      <c r="V43" s="816" t="s">
        <v>1253</v>
      </c>
      <c r="W43" s="816" t="s">
        <v>1207</v>
      </c>
      <c r="Y43" s="859">
        <f t="shared" si="0"/>
        <v>41530.720000000001</v>
      </c>
      <c r="Z43" s="858">
        <f t="shared" si="1"/>
        <v>0</v>
      </c>
      <c r="AA43" s="859">
        <f t="shared" si="2"/>
        <v>0</v>
      </c>
    </row>
    <row r="44" spans="1:35" x14ac:dyDescent="0.25">
      <c r="A44" s="817" t="s">
        <v>189</v>
      </c>
      <c r="B44" s="817" t="s">
        <v>321</v>
      </c>
      <c r="C44" s="817" t="s">
        <v>1249</v>
      </c>
      <c r="D44" s="817" t="s">
        <v>1358</v>
      </c>
      <c r="E44" s="817" t="s">
        <v>1358</v>
      </c>
      <c r="F44" s="816" t="s">
        <v>1359</v>
      </c>
      <c r="G44" s="817" t="s">
        <v>303</v>
      </c>
      <c r="H44" s="817" t="s">
        <v>1360</v>
      </c>
      <c r="I44" s="817" t="s">
        <v>346</v>
      </c>
      <c r="J44" s="818">
        <v>4843</v>
      </c>
      <c r="K44" s="818">
        <v>2929.85</v>
      </c>
      <c r="L44" s="818">
        <v>2929.85</v>
      </c>
      <c r="M44" s="818">
        <v>0</v>
      </c>
      <c r="N44" s="818">
        <v>50.35</v>
      </c>
      <c r="O44" s="818">
        <v>50.35</v>
      </c>
      <c r="P44" s="818">
        <v>0</v>
      </c>
      <c r="Q44" s="818">
        <v>604.20000000000005</v>
      </c>
      <c r="R44" s="818">
        <v>604.20000000000005</v>
      </c>
      <c r="S44" s="818">
        <v>0</v>
      </c>
      <c r="T44" s="816" t="s">
        <v>1361</v>
      </c>
      <c r="U44" s="818">
        <v>1913.15</v>
      </c>
      <c r="V44" s="816" t="s">
        <v>1253</v>
      </c>
      <c r="W44" s="816" t="s">
        <v>1207</v>
      </c>
      <c r="Y44" s="859">
        <f t="shared" si="0"/>
        <v>4843</v>
      </c>
      <c r="Z44" s="858">
        <f t="shared" si="1"/>
        <v>1913.15</v>
      </c>
      <c r="AA44" s="859">
        <f t="shared" si="2"/>
        <v>50.35</v>
      </c>
      <c r="AB44" s="820" t="s">
        <v>791</v>
      </c>
      <c r="AC44" s="815">
        <f>IF((Z44-(AA44*12))&gt;0,AA44*12,Z44)</f>
        <v>604.20000000000005</v>
      </c>
      <c r="AD44" s="815">
        <f>IF(($Z44-($AA44*12)-SUM($AC44:AC44))&gt;0,$AA44*12,$Z44-SUM($AC44:AC44))</f>
        <v>604.20000000000005</v>
      </c>
      <c r="AE44" s="815">
        <f>IF(($Z44-($AA44*12)-SUM($AC44:AD44))&gt;0,$AA44*12,$Z44-SUM($AC44:AD44))</f>
        <v>604.20000000000005</v>
      </c>
      <c r="AF44" s="815">
        <f>IF(($Z44-($AA44*12)-SUM($AC44:AE44))&gt;0,$AA44*12,$Z44-SUM($AC44:AE44))</f>
        <v>100.54999999999995</v>
      </c>
      <c r="AG44" s="815">
        <f>IF(($Z44-($AA44*12)-SUM($AC44:AF44))&gt;0,$AA44*12,$Z44-SUM($AC44:AF44))</f>
        <v>0</v>
      </c>
      <c r="AH44" s="815">
        <f>IF(($Z44-($AA44*12)-SUM($AC44:AG44))&gt;0,$AA44*12,$Z44-SUM($AC44:AG44))</f>
        <v>0</v>
      </c>
      <c r="AI44" s="815">
        <f>IF(($Z44-($AA44*12)-SUM($AC44:AH44))&gt;0,$AA44*12,$Z44-SUM($AC44:AH44))</f>
        <v>0</v>
      </c>
    </row>
    <row r="45" spans="1:35" x14ac:dyDescent="0.25">
      <c r="A45" s="817" t="s">
        <v>331</v>
      </c>
      <c r="B45" s="817" t="s">
        <v>1362</v>
      </c>
      <c r="C45" s="817" t="s">
        <v>1249</v>
      </c>
      <c r="D45" s="817" t="s">
        <v>1363</v>
      </c>
      <c r="E45" s="817" t="s">
        <v>1363</v>
      </c>
      <c r="F45" s="816" t="s">
        <v>1264</v>
      </c>
      <c r="G45" s="817" t="s">
        <v>304</v>
      </c>
      <c r="H45" s="817" t="s">
        <v>721</v>
      </c>
      <c r="I45" s="817" t="s">
        <v>346</v>
      </c>
      <c r="J45" s="818">
        <v>45531.07</v>
      </c>
      <c r="K45" s="818">
        <v>45531.07</v>
      </c>
      <c r="L45" s="818">
        <v>45531.07</v>
      </c>
      <c r="M45" s="818">
        <v>0</v>
      </c>
      <c r="N45" s="818">
        <v>0</v>
      </c>
      <c r="O45" s="818">
        <v>0</v>
      </c>
      <c r="P45" s="818">
        <v>0</v>
      </c>
      <c r="Q45" s="818">
        <v>4439.2700000000004</v>
      </c>
      <c r="R45" s="818">
        <v>4439.2700000000004</v>
      </c>
      <c r="S45" s="818">
        <v>0</v>
      </c>
      <c r="T45" s="816" t="s">
        <v>1364</v>
      </c>
      <c r="U45" s="818">
        <v>0</v>
      </c>
      <c r="V45" s="816" t="s">
        <v>1253</v>
      </c>
      <c r="W45" s="816" t="s">
        <v>1207</v>
      </c>
      <c r="Y45" s="859">
        <f t="shared" si="0"/>
        <v>45531.07</v>
      </c>
      <c r="Z45" s="858">
        <f t="shared" si="1"/>
        <v>0</v>
      </c>
      <c r="AA45" s="859">
        <f t="shared" si="2"/>
        <v>0</v>
      </c>
    </row>
    <row r="46" spans="1:35" x14ac:dyDescent="0.25">
      <c r="A46" s="817" t="s">
        <v>1365</v>
      </c>
      <c r="B46" s="817" t="s">
        <v>1366</v>
      </c>
      <c r="C46" s="817" t="s">
        <v>1249</v>
      </c>
      <c r="D46" s="817" t="s">
        <v>1363</v>
      </c>
      <c r="E46" s="817" t="s">
        <v>1363</v>
      </c>
      <c r="F46" s="816" t="s">
        <v>1264</v>
      </c>
      <c r="G46" s="817" t="s">
        <v>304</v>
      </c>
      <c r="H46" s="817" t="s">
        <v>721</v>
      </c>
      <c r="I46" s="817" t="s">
        <v>346</v>
      </c>
      <c r="J46" s="818">
        <v>45531.07</v>
      </c>
      <c r="K46" s="818">
        <v>45531.07</v>
      </c>
      <c r="L46" s="818">
        <v>45531.07</v>
      </c>
      <c r="M46" s="818">
        <v>0</v>
      </c>
      <c r="N46" s="818">
        <v>0</v>
      </c>
      <c r="O46" s="818">
        <v>0</v>
      </c>
      <c r="P46" s="818">
        <v>0</v>
      </c>
      <c r="Q46" s="818">
        <v>4439.2700000000004</v>
      </c>
      <c r="R46" s="818">
        <v>4439.2700000000004</v>
      </c>
      <c r="S46" s="818">
        <v>0</v>
      </c>
      <c r="T46" s="816" t="s">
        <v>1367</v>
      </c>
      <c r="U46" s="818">
        <v>0</v>
      </c>
      <c r="V46" s="816" t="s">
        <v>1253</v>
      </c>
      <c r="W46" s="816" t="s">
        <v>1207</v>
      </c>
      <c r="Y46" s="859">
        <f t="shared" si="0"/>
        <v>45531.07</v>
      </c>
      <c r="Z46" s="858">
        <f t="shared" si="1"/>
        <v>0</v>
      </c>
      <c r="AA46" s="859">
        <f t="shared" si="2"/>
        <v>0</v>
      </c>
    </row>
    <row r="47" spans="1:35" x14ac:dyDescent="0.25">
      <c r="A47" s="817" t="s">
        <v>190</v>
      </c>
      <c r="B47" s="817" t="s">
        <v>1368</v>
      </c>
      <c r="C47" s="817" t="s">
        <v>1249</v>
      </c>
      <c r="D47" s="817" t="s">
        <v>1363</v>
      </c>
      <c r="E47" s="817" t="s">
        <v>1363</v>
      </c>
      <c r="F47" s="816" t="s">
        <v>1264</v>
      </c>
      <c r="G47" s="817" t="s">
        <v>304</v>
      </c>
      <c r="H47" s="817" t="s">
        <v>721</v>
      </c>
      <c r="I47" s="817" t="s">
        <v>346</v>
      </c>
      <c r="J47" s="818">
        <v>45531.07</v>
      </c>
      <c r="K47" s="818">
        <v>45531.07</v>
      </c>
      <c r="L47" s="818">
        <v>45531.07</v>
      </c>
      <c r="M47" s="818">
        <v>0</v>
      </c>
      <c r="N47" s="818">
        <v>0</v>
      </c>
      <c r="O47" s="818">
        <v>0</v>
      </c>
      <c r="P47" s="818">
        <v>0</v>
      </c>
      <c r="Q47" s="818">
        <v>4439.2700000000004</v>
      </c>
      <c r="R47" s="818">
        <v>4439.2700000000004</v>
      </c>
      <c r="S47" s="818">
        <v>0</v>
      </c>
      <c r="T47" s="816" t="s">
        <v>1369</v>
      </c>
      <c r="U47" s="818">
        <v>0</v>
      </c>
      <c r="V47" s="816" t="s">
        <v>1253</v>
      </c>
      <c r="W47" s="816" t="s">
        <v>1207</v>
      </c>
      <c r="Y47" s="859">
        <f t="shared" si="0"/>
        <v>45531.07</v>
      </c>
      <c r="Z47" s="858">
        <f t="shared" si="1"/>
        <v>0</v>
      </c>
      <c r="AA47" s="859">
        <f t="shared" si="2"/>
        <v>0</v>
      </c>
    </row>
    <row r="48" spans="1:35" x14ac:dyDescent="0.25">
      <c r="A48" s="817" t="s">
        <v>1370</v>
      </c>
      <c r="B48" s="817" t="s">
        <v>1371</v>
      </c>
      <c r="C48" s="817" t="s">
        <v>1249</v>
      </c>
      <c r="D48" s="817" t="s">
        <v>1363</v>
      </c>
      <c r="E48" s="817" t="s">
        <v>1363</v>
      </c>
      <c r="F48" s="816" t="s">
        <v>1264</v>
      </c>
      <c r="G48" s="817" t="s">
        <v>304</v>
      </c>
      <c r="H48" s="817" t="s">
        <v>721</v>
      </c>
      <c r="I48" s="817" t="s">
        <v>346</v>
      </c>
      <c r="J48" s="818">
        <v>37466.54</v>
      </c>
      <c r="K48" s="818">
        <v>37466.54</v>
      </c>
      <c r="L48" s="818">
        <v>37466.54</v>
      </c>
      <c r="M48" s="818">
        <v>0</v>
      </c>
      <c r="N48" s="818">
        <v>0</v>
      </c>
      <c r="O48" s="818">
        <v>0</v>
      </c>
      <c r="P48" s="818">
        <v>0</v>
      </c>
      <c r="Q48" s="818">
        <v>3652.98</v>
      </c>
      <c r="R48" s="818">
        <v>3652.98</v>
      </c>
      <c r="S48" s="818">
        <v>0</v>
      </c>
      <c r="T48" s="816" t="s">
        <v>1372</v>
      </c>
      <c r="U48" s="818">
        <v>0</v>
      </c>
      <c r="V48" s="816" t="s">
        <v>1253</v>
      </c>
      <c r="W48" s="816" t="s">
        <v>1207</v>
      </c>
      <c r="Y48" s="859">
        <f t="shared" si="0"/>
        <v>37466.54</v>
      </c>
      <c r="Z48" s="858">
        <f t="shared" si="1"/>
        <v>0</v>
      </c>
      <c r="AA48" s="859">
        <f t="shared" si="2"/>
        <v>0</v>
      </c>
    </row>
    <row r="49" spans="1:27" x14ac:dyDescent="0.25">
      <c r="A49" s="817" t="s">
        <v>191</v>
      </c>
      <c r="B49" s="817" t="s">
        <v>1373</v>
      </c>
      <c r="C49" s="817" t="s">
        <v>1249</v>
      </c>
      <c r="D49" s="817" t="s">
        <v>1363</v>
      </c>
      <c r="E49" s="817" t="s">
        <v>1363</v>
      </c>
      <c r="F49" s="816" t="s">
        <v>1264</v>
      </c>
      <c r="G49" s="817" t="s">
        <v>304</v>
      </c>
      <c r="H49" s="817" t="s">
        <v>721</v>
      </c>
      <c r="I49" s="817" t="s">
        <v>346</v>
      </c>
      <c r="J49" s="818">
        <v>40921.71</v>
      </c>
      <c r="K49" s="818">
        <v>40921.71</v>
      </c>
      <c r="L49" s="818">
        <v>40921.71</v>
      </c>
      <c r="M49" s="818">
        <v>0</v>
      </c>
      <c r="N49" s="818">
        <v>0</v>
      </c>
      <c r="O49" s="818">
        <v>0</v>
      </c>
      <c r="P49" s="818">
        <v>0</v>
      </c>
      <c r="Q49" s="818">
        <v>3989.86</v>
      </c>
      <c r="R49" s="818">
        <v>3989.86</v>
      </c>
      <c r="S49" s="818">
        <v>0</v>
      </c>
      <c r="T49" s="816" t="s">
        <v>1374</v>
      </c>
      <c r="U49" s="818">
        <v>0</v>
      </c>
      <c r="V49" s="816" t="s">
        <v>1253</v>
      </c>
      <c r="W49" s="816" t="s">
        <v>1207</v>
      </c>
      <c r="Y49" s="859">
        <f t="shared" si="0"/>
        <v>40921.71</v>
      </c>
      <c r="Z49" s="858">
        <f t="shared" si="1"/>
        <v>0</v>
      </c>
      <c r="AA49" s="859">
        <f t="shared" si="2"/>
        <v>0</v>
      </c>
    </row>
    <row r="50" spans="1:27" x14ac:dyDescent="0.25">
      <c r="A50" s="817" t="s">
        <v>192</v>
      </c>
      <c r="B50" s="817" t="s">
        <v>302</v>
      </c>
      <c r="C50" s="817" t="s">
        <v>1249</v>
      </c>
      <c r="D50" s="817" t="s">
        <v>1363</v>
      </c>
      <c r="E50" s="817" t="s">
        <v>1363</v>
      </c>
      <c r="F50" s="816" t="s">
        <v>1264</v>
      </c>
      <c r="G50" s="817" t="s">
        <v>304</v>
      </c>
      <c r="H50" s="817" t="s">
        <v>721</v>
      </c>
      <c r="I50" s="817" t="s">
        <v>346</v>
      </c>
      <c r="J50" s="818">
        <v>40921.71</v>
      </c>
      <c r="K50" s="818">
        <v>40921.71</v>
      </c>
      <c r="L50" s="818">
        <v>40921.71</v>
      </c>
      <c r="M50" s="818">
        <v>0</v>
      </c>
      <c r="N50" s="818">
        <v>0</v>
      </c>
      <c r="O50" s="818">
        <v>0</v>
      </c>
      <c r="P50" s="818">
        <v>0</v>
      </c>
      <c r="Q50" s="818">
        <v>3989.86</v>
      </c>
      <c r="R50" s="818">
        <v>3989.86</v>
      </c>
      <c r="S50" s="818">
        <v>0</v>
      </c>
      <c r="T50" s="816" t="s">
        <v>1375</v>
      </c>
      <c r="U50" s="818">
        <v>0</v>
      </c>
      <c r="V50" s="816" t="s">
        <v>1253</v>
      </c>
      <c r="W50" s="816" t="s">
        <v>1207</v>
      </c>
      <c r="Y50" s="859">
        <f t="shared" si="0"/>
        <v>40921.71</v>
      </c>
      <c r="Z50" s="858">
        <f t="shared" si="1"/>
        <v>0</v>
      </c>
      <c r="AA50" s="859">
        <f t="shared" si="2"/>
        <v>0</v>
      </c>
    </row>
    <row r="51" spans="1:27" x14ac:dyDescent="0.25">
      <c r="A51" s="817" t="s">
        <v>193</v>
      </c>
      <c r="B51" s="817" t="s">
        <v>1376</v>
      </c>
      <c r="C51" s="817" t="s">
        <v>1261</v>
      </c>
      <c r="D51" s="817" t="s">
        <v>1377</v>
      </c>
      <c r="E51" s="817" t="s">
        <v>1377</v>
      </c>
      <c r="F51" s="816" t="s">
        <v>1284</v>
      </c>
      <c r="G51" s="817" t="s">
        <v>304</v>
      </c>
      <c r="H51" s="817" t="s">
        <v>721</v>
      </c>
      <c r="I51" s="817" t="s">
        <v>346</v>
      </c>
      <c r="J51" s="818">
        <v>7640</v>
      </c>
      <c r="K51" s="818">
        <v>7640</v>
      </c>
      <c r="L51" s="818">
        <v>7640</v>
      </c>
      <c r="M51" s="818">
        <v>0</v>
      </c>
      <c r="N51" s="818">
        <v>0</v>
      </c>
      <c r="O51" s="818">
        <v>0</v>
      </c>
      <c r="P51" s="818">
        <v>0</v>
      </c>
      <c r="Q51" s="818">
        <v>1387.71</v>
      </c>
      <c r="R51" s="818">
        <v>1387.71</v>
      </c>
      <c r="S51" s="818">
        <v>0</v>
      </c>
      <c r="T51" s="816" t="s">
        <v>1378</v>
      </c>
      <c r="U51" s="818">
        <v>0</v>
      </c>
      <c r="V51" s="816" t="s">
        <v>1253</v>
      </c>
      <c r="W51" s="816" t="s">
        <v>1379</v>
      </c>
      <c r="Y51" s="859">
        <f t="shared" si="0"/>
        <v>7640</v>
      </c>
      <c r="Z51" s="858">
        <f t="shared" si="1"/>
        <v>0</v>
      </c>
      <c r="AA51" s="859">
        <f t="shared" si="2"/>
        <v>0</v>
      </c>
    </row>
    <row r="52" spans="1:27" x14ac:dyDescent="0.25">
      <c r="A52" s="817" t="s">
        <v>1380</v>
      </c>
      <c r="B52" s="817" t="s">
        <v>1381</v>
      </c>
      <c r="C52" s="817" t="s">
        <v>1261</v>
      </c>
      <c r="D52" s="817" t="s">
        <v>1377</v>
      </c>
      <c r="E52" s="817" t="s">
        <v>1377</v>
      </c>
      <c r="F52" s="816" t="s">
        <v>1284</v>
      </c>
      <c r="G52" s="817" t="s">
        <v>304</v>
      </c>
      <c r="H52" s="817" t="s">
        <v>721</v>
      </c>
      <c r="I52" s="817" t="s">
        <v>346</v>
      </c>
      <c r="J52" s="818">
        <v>3100</v>
      </c>
      <c r="K52" s="818">
        <v>3100</v>
      </c>
      <c r="L52" s="818">
        <v>3100</v>
      </c>
      <c r="M52" s="818">
        <v>0</v>
      </c>
      <c r="N52" s="818">
        <v>0</v>
      </c>
      <c r="O52" s="818">
        <v>0</v>
      </c>
      <c r="P52" s="818">
        <v>0</v>
      </c>
      <c r="Q52" s="818">
        <v>563.09</v>
      </c>
      <c r="R52" s="818">
        <v>563.09</v>
      </c>
      <c r="S52" s="818">
        <v>0</v>
      </c>
      <c r="T52" s="816" t="s">
        <v>1382</v>
      </c>
      <c r="U52" s="818">
        <v>0</v>
      </c>
      <c r="V52" s="816" t="s">
        <v>1253</v>
      </c>
      <c r="W52" s="816" t="s">
        <v>1379</v>
      </c>
      <c r="Y52" s="859">
        <f t="shared" si="0"/>
        <v>3100</v>
      </c>
      <c r="Z52" s="858">
        <f t="shared" si="1"/>
        <v>0</v>
      </c>
      <c r="AA52" s="859">
        <f t="shared" si="2"/>
        <v>0</v>
      </c>
    </row>
    <row r="53" spans="1:27" x14ac:dyDescent="0.25">
      <c r="A53" s="817" t="s">
        <v>194</v>
      </c>
      <c r="B53" s="817" t="s">
        <v>271</v>
      </c>
      <c r="C53" s="817" t="s">
        <v>1261</v>
      </c>
      <c r="D53" s="817" t="s">
        <v>1377</v>
      </c>
      <c r="E53" s="817" t="s">
        <v>1377</v>
      </c>
      <c r="F53" s="816" t="s">
        <v>1284</v>
      </c>
      <c r="G53" s="817" t="s">
        <v>304</v>
      </c>
      <c r="H53" s="817" t="s">
        <v>721</v>
      </c>
      <c r="I53" s="817" t="s">
        <v>346</v>
      </c>
      <c r="J53" s="818">
        <v>3100</v>
      </c>
      <c r="K53" s="818">
        <v>3100</v>
      </c>
      <c r="L53" s="818">
        <v>3100</v>
      </c>
      <c r="M53" s="818">
        <v>0</v>
      </c>
      <c r="N53" s="818">
        <v>0</v>
      </c>
      <c r="O53" s="818">
        <v>0</v>
      </c>
      <c r="P53" s="818">
        <v>0</v>
      </c>
      <c r="Q53" s="818">
        <v>563.09</v>
      </c>
      <c r="R53" s="818">
        <v>563.09</v>
      </c>
      <c r="S53" s="818">
        <v>0</v>
      </c>
      <c r="T53" s="816" t="s">
        <v>1382</v>
      </c>
      <c r="U53" s="818">
        <v>0</v>
      </c>
      <c r="V53" s="816" t="s">
        <v>1253</v>
      </c>
      <c r="W53" s="816" t="s">
        <v>1379</v>
      </c>
      <c r="Y53" s="859">
        <f t="shared" si="0"/>
        <v>3100</v>
      </c>
      <c r="Z53" s="858">
        <f t="shared" si="1"/>
        <v>0</v>
      </c>
      <c r="AA53" s="859">
        <f t="shared" si="2"/>
        <v>0</v>
      </c>
    </row>
    <row r="54" spans="1:27" x14ac:dyDescent="0.25">
      <c r="A54" s="817" t="s">
        <v>304</v>
      </c>
      <c r="B54" s="817" t="s">
        <v>1383</v>
      </c>
      <c r="C54" s="817" t="s">
        <v>1261</v>
      </c>
      <c r="D54" s="817" t="s">
        <v>1377</v>
      </c>
      <c r="E54" s="817" t="s">
        <v>1377</v>
      </c>
      <c r="F54" s="816" t="s">
        <v>1284</v>
      </c>
      <c r="G54" s="817" t="s">
        <v>304</v>
      </c>
      <c r="H54" s="817" t="s">
        <v>721</v>
      </c>
      <c r="I54" s="817" t="s">
        <v>346</v>
      </c>
      <c r="J54" s="818">
        <v>3100</v>
      </c>
      <c r="K54" s="818">
        <v>3100</v>
      </c>
      <c r="L54" s="818">
        <v>3100</v>
      </c>
      <c r="M54" s="818">
        <v>0</v>
      </c>
      <c r="N54" s="818">
        <v>0</v>
      </c>
      <c r="O54" s="818">
        <v>0</v>
      </c>
      <c r="P54" s="818">
        <v>0</v>
      </c>
      <c r="Q54" s="818">
        <v>563.09</v>
      </c>
      <c r="R54" s="818">
        <v>563.09</v>
      </c>
      <c r="S54" s="818">
        <v>0</v>
      </c>
      <c r="T54" s="816" t="s">
        <v>1382</v>
      </c>
      <c r="U54" s="818">
        <v>0</v>
      </c>
      <c r="V54" s="816" t="s">
        <v>1253</v>
      </c>
      <c r="W54" s="816" t="s">
        <v>1379</v>
      </c>
      <c r="Y54" s="859">
        <f t="shared" si="0"/>
        <v>3100</v>
      </c>
      <c r="Z54" s="858">
        <f t="shared" si="1"/>
        <v>0</v>
      </c>
      <c r="AA54" s="859">
        <f t="shared" si="2"/>
        <v>0</v>
      </c>
    </row>
    <row r="55" spans="1:27" x14ac:dyDescent="0.25">
      <c r="A55" s="817" t="s">
        <v>311</v>
      </c>
      <c r="B55" s="817" t="s">
        <v>1384</v>
      </c>
      <c r="C55" s="817" t="s">
        <v>1261</v>
      </c>
      <c r="D55" s="817" t="s">
        <v>1377</v>
      </c>
      <c r="E55" s="817" t="s">
        <v>1377</v>
      </c>
      <c r="F55" s="816" t="s">
        <v>1284</v>
      </c>
      <c r="G55" s="817" t="s">
        <v>304</v>
      </c>
      <c r="H55" s="817" t="s">
        <v>721</v>
      </c>
      <c r="I55" s="817" t="s">
        <v>346</v>
      </c>
      <c r="J55" s="818">
        <v>3100</v>
      </c>
      <c r="K55" s="818">
        <v>3100</v>
      </c>
      <c r="L55" s="818">
        <v>3100</v>
      </c>
      <c r="M55" s="818">
        <v>0</v>
      </c>
      <c r="N55" s="818">
        <v>0</v>
      </c>
      <c r="O55" s="818">
        <v>0</v>
      </c>
      <c r="P55" s="818">
        <v>0</v>
      </c>
      <c r="Q55" s="818">
        <v>563.09</v>
      </c>
      <c r="R55" s="818">
        <v>563.09</v>
      </c>
      <c r="S55" s="818">
        <v>0</v>
      </c>
      <c r="T55" s="816" t="s">
        <v>1382</v>
      </c>
      <c r="U55" s="818">
        <v>0</v>
      </c>
      <c r="V55" s="816" t="s">
        <v>1253</v>
      </c>
      <c r="W55" s="816" t="s">
        <v>1379</v>
      </c>
      <c r="Y55" s="859">
        <f t="shared" si="0"/>
        <v>3100</v>
      </c>
      <c r="Z55" s="858">
        <f t="shared" si="1"/>
        <v>0</v>
      </c>
      <c r="AA55" s="859">
        <f t="shared" si="2"/>
        <v>0</v>
      </c>
    </row>
    <row r="56" spans="1:27" x14ac:dyDescent="0.25">
      <c r="A56" s="817" t="s">
        <v>1385</v>
      </c>
      <c r="B56" s="817" t="s">
        <v>323</v>
      </c>
      <c r="C56" s="817" t="s">
        <v>1261</v>
      </c>
      <c r="D56" s="817" t="s">
        <v>1377</v>
      </c>
      <c r="E56" s="817" t="s">
        <v>1377</v>
      </c>
      <c r="F56" s="816" t="s">
        <v>1284</v>
      </c>
      <c r="G56" s="817" t="s">
        <v>304</v>
      </c>
      <c r="H56" s="817" t="s">
        <v>721</v>
      </c>
      <c r="I56" s="817" t="s">
        <v>346</v>
      </c>
      <c r="J56" s="818">
        <v>3100</v>
      </c>
      <c r="K56" s="818">
        <v>3100</v>
      </c>
      <c r="L56" s="818">
        <v>3100</v>
      </c>
      <c r="M56" s="818">
        <v>0</v>
      </c>
      <c r="N56" s="818">
        <v>0</v>
      </c>
      <c r="O56" s="818">
        <v>0</v>
      </c>
      <c r="P56" s="818">
        <v>0</v>
      </c>
      <c r="Q56" s="818">
        <v>563.09</v>
      </c>
      <c r="R56" s="818">
        <v>563.09</v>
      </c>
      <c r="S56" s="818">
        <v>0</v>
      </c>
      <c r="T56" s="816" t="s">
        <v>1382</v>
      </c>
      <c r="U56" s="818">
        <v>0</v>
      </c>
      <c r="V56" s="816" t="s">
        <v>1253</v>
      </c>
      <c r="W56" s="816" t="s">
        <v>1379</v>
      </c>
      <c r="Y56" s="859">
        <f t="shared" si="0"/>
        <v>3100</v>
      </c>
      <c r="Z56" s="858">
        <f t="shared" si="1"/>
        <v>0</v>
      </c>
      <c r="AA56" s="859">
        <f t="shared" si="2"/>
        <v>0</v>
      </c>
    </row>
    <row r="57" spans="1:27" x14ac:dyDescent="0.25">
      <c r="A57" s="817" t="s">
        <v>1386</v>
      </c>
      <c r="B57" s="817" t="s">
        <v>1387</v>
      </c>
      <c r="C57" s="817" t="s">
        <v>1261</v>
      </c>
      <c r="D57" s="817" t="s">
        <v>1377</v>
      </c>
      <c r="E57" s="817" t="s">
        <v>1377</v>
      </c>
      <c r="F57" s="816" t="s">
        <v>1284</v>
      </c>
      <c r="G57" s="817" t="s">
        <v>304</v>
      </c>
      <c r="H57" s="817" t="s">
        <v>721</v>
      </c>
      <c r="I57" s="817" t="s">
        <v>346</v>
      </c>
      <c r="J57" s="818">
        <v>3100</v>
      </c>
      <c r="K57" s="818">
        <v>3100</v>
      </c>
      <c r="L57" s="818">
        <v>3100</v>
      </c>
      <c r="M57" s="818">
        <v>0</v>
      </c>
      <c r="N57" s="818">
        <v>0</v>
      </c>
      <c r="O57" s="818">
        <v>0</v>
      </c>
      <c r="P57" s="818">
        <v>0</v>
      </c>
      <c r="Q57" s="818">
        <v>563.09</v>
      </c>
      <c r="R57" s="818">
        <v>563.09</v>
      </c>
      <c r="S57" s="818">
        <v>0</v>
      </c>
      <c r="T57" s="816" t="s">
        <v>1382</v>
      </c>
      <c r="U57" s="818">
        <v>0</v>
      </c>
      <c r="V57" s="816" t="s">
        <v>1253</v>
      </c>
      <c r="W57" s="816" t="s">
        <v>1379</v>
      </c>
      <c r="Y57" s="859">
        <f t="shared" si="0"/>
        <v>3100</v>
      </c>
      <c r="Z57" s="858">
        <f t="shared" si="1"/>
        <v>0</v>
      </c>
      <c r="AA57" s="859">
        <f t="shared" si="2"/>
        <v>0</v>
      </c>
    </row>
    <row r="58" spans="1:27" x14ac:dyDescent="0.25">
      <c r="A58" s="817" t="s">
        <v>315</v>
      </c>
      <c r="B58" s="817" t="s">
        <v>1388</v>
      </c>
      <c r="C58" s="817" t="s">
        <v>1261</v>
      </c>
      <c r="D58" s="817" t="s">
        <v>1377</v>
      </c>
      <c r="E58" s="817" t="s">
        <v>1377</v>
      </c>
      <c r="F58" s="816" t="s">
        <v>1284</v>
      </c>
      <c r="G58" s="817" t="s">
        <v>304</v>
      </c>
      <c r="H58" s="817" t="s">
        <v>721</v>
      </c>
      <c r="I58" s="817" t="s">
        <v>346</v>
      </c>
      <c r="J58" s="818">
        <v>3100</v>
      </c>
      <c r="K58" s="818">
        <v>3100</v>
      </c>
      <c r="L58" s="818">
        <v>3100</v>
      </c>
      <c r="M58" s="818">
        <v>0</v>
      </c>
      <c r="N58" s="818">
        <v>0</v>
      </c>
      <c r="O58" s="818">
        <v>0</v>
      </c>
      <c r="P58" s="818">
        <v>0</v>
      </c>
      <c r="Q58" s="818">
        <v>563.09</v>
      </c>
      <c r="R58" s="818">
        <v>563.09</v>
      </c>
      <c r="S58" s="818">
        <v>0</v>
      </c>
      <c r="T58" s="816" t="s">
        <v>1382</v>
      </c>
      <c r="U58" s="818">
        <v>0</v>
      </c>
      <c r="V58" s="816" t="s">
        <v>1253</v>
      </c>
      <c r="W58" s="816" t="s">
        <v>1379</v>
      </c>
      <c r="Y58" s="859">
        <f t="shared" si="0"/>
        <v>3100</v>
      </c>
      <c r="Z58" s="858">
        <f t="shared" si="1"/>
        <v>0</v>
      </c>
      <c r="AA58" s="859">
        <f t="shared" si="2"/>
        <v>0</v>
      </c>
    </row>
    <row r="59" spans="1:27" x14ac:dyDescent="0.25">
      <c r="A59" s="817" t="s">
        <v>1389</v>
      </c>
      <c r="B59" s="817" t="s">
        <v>1390</v>
      </c>
      <c r="C59" s="817" t="s">
        <v>1261</v>
      </c>
      <c r="D59" s="817" t="s">
        <v>1377</v>
      </c>
      <c r="E59" s="817" t="s">
        <v>1377</v>
      </c>
      <c r="F59" s="816" t="s">
        <v>1284</v>
      </c>
      <c r="G59" s="817" t="s">
        <v>304</v>
      </c>
      <c r="H59" s="817" t="s">
        <v>721</v>
      </c>
      <c r="I59" s="817" t="s">
        <v>346</v>
      </c>
      <c r="J59" s="818">
        <v>3100</v>
      </c>
      <c r="K59" s="818">
        <v>3100</v>
      </c>
      <c r="L59" s="818">
        <v>3100</v>
      </c>
      <c r="M59" s="818">
        <v>0</v>
      </c>
      <c r="N59" s="818">
        <v>0</v>
      </c>
      <c r="O59" s="818">
        <v>0</v>
      </c>
      <c r="P59" s="818">
        <v>0</v>
      </c>
      <c r="Q59" s="818">
        <v>563.09</v>
      </c>
      <c r="R59" s="818">
        <v>563.09</v>
      </c>
      <c r="S59" s="818">
        <v>0</v>
      </c>
      <c r="T59" s="816" t="s">
        <v>1382</v>
      </c>
      <c r="U59" s="818">
        <v>0</v>
      </c>
      <c r="V59" s="816" t="s">
        <v>1253</v>
      </c>
      <c r="W59" s="816" t="s">
        <v>1379</v>
      </c>
      <c r="Y59" s="859">
        <f t="shared" si="0"/>
        <v>3100</v>
      </c>
      <c r="Z59" s="858">
        <f t="shared" si="1"/>
        <v>0</v>
      </c>
      <c r="AA59" s="859">
        <f t="shared" si="2"/>
        <v>0</v>
      </c>
    </row>
    <row r="60" spans="1:27" x14ac:dyDescent="0.25">
      <c r="A60" s="817" t="s">
        <v>195</v>
      </c>
      <c r="B60" s="817" t="s">
        <v>1391</v>
      </c>
      <c r="C60" s="817" t="s">
        <v>1261</v>
      </c>
      <c r="D60" s="817" t="s">
        <v>1377</v>
      </c>
      <c r="E60" s="817" t="s">
        <v>1377</v>
      </c>
      <c r="F60" s="816" t="s">
        <v>1284</v>
      </c>
      <c r="G60" s="817" t="s">
        <v>247</v>
      </c>
      <c r="H60" s="817" t="s">
        <v>721</v>
      </c>
      <c r="I60" s="817" t="s">
        <v>346</v>
      </c>
      <c r="J60" s="818">
        <v>3100</v>
      </c>
      <c r="K60" s="818">
        <v>3184.06</v>
      </c>
      <c r="L60" s="818">
        <v>3184.06</v>
      </c>
      <c r="M60" s="818">
        <v>0</v>
      </c>
      <c r="N60" s="818">
        <v>0</v>
      </c>
      <c r="O60" s="818">
        <v>0</v>
      </c>
      <c r="P60" s="818">
        <v>0</v>
      </c>
      <c r="Q60" s="818">
        <v>0</v>
      </c>
      <c r="R60" s="818">
        <v>0</v>
      </c>
      <c r="S60" s="818">
        <v>0</v>
      </c>
      <c r="T60" s="816" t="s">
        <v>1382</v>
      </c>
      <c r="U60" s="818">
        <v>-84.06</v>
      </c>
      <c r="V60" s="816" t="s">
        <v>1253</v>
      </c>
      <c r="W60" s="816" t="s">
        <v>1379</v>
      </c>
      <c r="Y60" s="859">
        <f t="shared" si="0"/>
        <v>3100</v>
      </c>
      <c r="Z60" s="858">
        <f t="shared" si="1"/>
        <v>-84.059999999999945</v>
      </c>
      <c r="AA60" s="859">
        <f t="shared" si="2"/>
        <v>0</v>
      </c>
    </row>
    <row r="61" spans="1:27" x14ac:dyDescent="0.25">
      <c r="A61" s="817" t="s">
        <v>1392</v>
      </c>
      <c r="B61" s="817" t="s">
        <v>1393</v>
      </c>
      <c r="C61" s="817" t="s">
        <v>1261</v>
      </c>
      <c r="D61" s="817" t="s">
        <v>1377</v>
      </c>
      <c r="E61" s="817" t="s">
        <v>1377</v>
      </c>
      <c r="F61" s="816" t="s">
        <v>1284</v>
      </c>
      <c r="G61" s="817" t="s">
        <v>304</v>
      </c>
      <c r="H61" s="817" t="s">
        <v>721</v>
      </c>
      <c r="I61" s="817" t="s">
        <v>346</v>
      </c>
      <c r="J61" s="818">
        <v>3100</v>
      </c>
      <c r="K61" s="818">
        <v>3100</v>
      </c>
      <c r="L61" s="818">
        <v>3100</v>
      </c>
      <c r="M61" s="818">
        <v>0</v>
      </c>
      <c r="N61" s="818">
        <v>0</v>
      </c>
      <c r="O61" s="818">
        <v>0</v>
      </c>
      <c r="P61" s="818">
        <v>0</v>
      </c>
      <c r="Q61" s="818">
        <v>563.09</v>
      </c>
      <c r="R61" s="818">
        <v>563.09</v>
      </c>
      <c r="S61" s="818">
        <v>0</v>
      </c>
      <c r="T61" s="816" t="s">
        <v>1394</v>
      </c>
      <c r="U61" s="818">
        <v>0</v>
      </c>
      <c r="V61" s="816" t="s">
        <v>1253</v>
      </c>
      <c r="W61" s="816" t="s">
        <v>1379</v>
      </c>
      <c r="Y61" s="859">
        <f t="shared" si="0"/>
        <v>3100</v>
      </c>
      <c r="Z61" s="858">
        <f t="shared" si="1"/>
        <v>0</v>
      </c>
      <c r="AA61" s="859">
        <f t="shared" si="2"/>
        <v>0</v>
      </c>
    </row>
    <row r="62" spans="1:27" x14ac:dyDescent="0.25">
      <c r="A62" s="817" t="s">
        <v>330</v>
      </c>
      <c r="B62" s="817" t="s">
        <v>720</v>
      </c>
      <c r="C62" s="817" t="s">
        <v>1261</v>
      </c>
      <c r="D62" s="817" t="s">
        <v>1377</v>
      </c>
      <c r="E62" s="817" t="s">
        <v>1377</v>
      </c>
      <c r="F62" s="816" t="s">
        <v>1284</v>
      </c>
      <c r="G62" s="817" t="s">
        <v>304</v>
      </c>
      <c r="H62" s="817" t="s">
        <v>721</v>
      </c>
      <c r="I62" s="817" t="s">
        <v>346</v>
      </c>
      <c r="J62" s="818">
        <v>3100</v>
      </c>
      <c r="K62" s="818">
        <v>3100</v>
      </c>
      <c r="L62" s="818">
        <v>3100</v>
      </c>
      <c r="M62" s="818">
        <v>0</v>
      </c>
      <c r="N62" s="818">
        <v>0</v>
      </c>
      <c r="O62" s="818">
        <v>0</v>
      </c>
      <c r="P62" s="818">
        <v>0</v>
      </c>
      <c r="Q62" s="818">
        <v>563.09</v>
      </c>
      <c r="R62" s="818">
        <v>563.09</v>
      </c>
      <c r="S62" s="818">
        <v>0</v>
      </c>
      <c r="T62" s="816" t="s">
        <v>1395</v>
      </c>
      <c r="U62" s="818">
        <v>0</v>
      </c>
      <c r="V62" s="816" t="s">
        <v>1253</v>
      </c>
      <c r="W62" s="816" t="s">
        <v>1379</v>
      </c>
      <c r="Y62" s="859">
        <f t="shared" si="0"/>
        <v>3100</v>
      </c>
      <c r="Z62" s="858">
        <f t="shared" si="1"/>
        <v>0</v>
      </c>
      <c r="AA62" s="859">
        <f t="shared" si="2"/>
        <v>0</v>
      </c>
    </row>
    <row r="63" spans="1:27" x14ac:dyDescent="0.25">
      <c r="A63" s="817" t="s">
        <v>1276</v>
      </c>
      <c r="B63" s="817" t="s">
        <v>272</v>
      </c>
      <c r="C63" s="817" t="s">
        <v>1261</v>
      </c>
      <c r="D63" s="817" t="s">
        <v>1377</v>
      </c>
      <c r="E63" s="817" t="s">
        <v>1377</v>
      </c>
      <c r="F63" s="816" t="s">
        <v>1284</v>
      </c>
      <c r="G63" s="817" t="s">
        <v>304</v>
      </c>
      <c r="H63" s="817" t="s">
        <v>721</v>
      </c>
      <c r="I63" s="817" t="s">
        <v>346</v>
      </c>
      <c r="J63" s="818">
        <v>3750</v>
      </c>
      <c r="K63" s="818">
        <v>3750</v>
      </c>
      <c r="L63" s="818">
        <v>3750</v>
      </c>
      <c r="M63" s="818">
        <v>0</v>
      </c>
      <c r="N63" s="818">
        <v>0</v>
      </c>
      <c r="O63" s="818">
        <v>0</v>
      </c>
      <c r="P63" s="818">
        <v>0</v>
      </c>
      <c r="Q63" s="818">
        <v>681.15</v>
      </c>
      <c r="R63" s="818">
        <v>681.15</v>
      </c>
      <c r="S63" s="818">
        <v>0</v>
      </c>
      <c r="T63" s="816" t="s">
        <v>1396</v>
      </c>
      <c r="U63" s="818">
        <v>0</v>
      </c>
      <c r="V63" s="816" t="s">
        <v>1253</v>
      </c>
      <c r="W63" s="816" t="s">
        <v>1379</v>
      </c>
      <c r="Y63" s="859">
        <f t="shared" si="0"/>
        <v>3750</v>
      </c>
      <c r="Z63" s="858">
        <f t="shared" si="1"/>
        <v>0</v>
      </c>
      <c r="AA63" s="859">
        <f t="shared" si="2"/>
        <v>0</v>
      </c>
    </row>
    <row r="64" spans="1:27" x14ac:dyDescent="0.25">
      <c r="A64" s="817" t="s">
        <v>196</v>
      </c>
      <c r="B64" s="817" t="s">
        <v>1397</v>
      </c>
      <c r="C64" s="817" t="s">
        <v>1261</v>
      </c>
      <c r="D64" s="817" t="s">
        <v>1377</v>
      </c>
      <c r="E64" s="817" t="s">
        <v>1377</v>
      </c>
      <c r="F64" s="816" t="s">
        <v>1284</v>
      </c>
      <c r="G64" s="817" t="s">
        <v>304</v>
      </c>
      <c r="H64" s="817" t="s">
        <v>721</v>
      </c>
      <c r="I64" s="817" t="s">
        <v>346</v>
      </c>
      <c r="J64" s="818">
        <v>3750</v>
      </c>
      <c r="K64" s="818">
        <v>3750</v>
      </c>
      <c r="L64" s="818">
        <v>3750</v>
      </c>
      <c r="M64" s="818">
        <v>0</v>
      </c>
      <c r="N64" s="818">
        <v>0</v>
      </c>
      <c r="O64" s="818">
        <v>0</v>
      </c>
      <c r="P64" s="818">
        <v>0</v>
      </c>
      <c r="Q64" s="818">
        <v>681.15</v>
      </c>
      <c r="R64" s="818">
        <v>681.15</v>
      </c>
      <c r="S64" s="818">
        <v>0</v>
      </c>
      <c r="T64" s="816" t="s">
        <v>1396</v>
      </c>
      <c r="U64" s="818">
        <v>0</v>
      </c>
      <c r="V64" s="816" t="s">
        <v>1253</v>
      </c>
      <c r="W64" s="816" t="s">
        <v>1379</v>
      </c>
      <c r="Y64" s="859">
        <f t="shared" si="0"/>
        <v>3750</v>
      </c>
      <c r="Z64" s="858">
        <f t="shared" si="1"/>
        <v>0</v>
      </c>
      <c r="AA64" s="859">
        <f t="shared" si="2"/>
        <v>0</v>
      </c>
    </row>
    <row r="65" spans="1:35" x14ac:dyDescent="0.25">
      <c r="A65" s="817" t="s">
        <v>1398</v>
      </c>
      <c r="B65" s="817" t="s">
        <v>1399</v>
      </c>
      <c r="C65" s="817" t="s">
        <v>1249</v>
      </c>
      <c r="D65" s="817" t="s">
        <v>1377</v>
      </c>
      <c r="E65" s="817" t="s">
        <v>1377</v>
      </c>
      <c r="F65" s="816" t="s">
        <v>1284</v>
      </c>
      <c r="G65" s="817" t="s">
        <v>304</v>
      </c>
      <c r="H65" s="817" t="s">
        <v>721</v>
      </c>
      <c r="I65" s="817" t="s">
        <v>346</v>
      </c>
      <c r="J65" s="818">
        <v>3063.71</v>
      </c>
      <c r="K65" s="818">
        <v>3063.71</v>
      </c>
      <c r="L65" s="818">
        <v>3063.71</v>
      </c>
      <c r="M65" s="818">
        <v>0</v>
      </c>
      <c r="N65" s="818">
        <v>0</v>
      </c>
      <c r="O65" s="818">
        <v>0</v>
      </c>
      <c r="P65" s="818">
        <v>0</v>
      </c>
      <c r="Q65" s="818">
        <v>556.46</v>
      </c>
      <c r="R65" s="818">
        <v>556.46</v>
      </c>
      <c r="S65" s="818">
        <v>0</v>
      </c>
      <c r="T65" s="816" t="s">
        <v>1400</v>
      </c>
      <c r="U65" s="818">
        <v>0</v>
      </c>
      <c r="V65" s="816" t="s">
        <v>1253</v>
      </c>
      <c r="W65" s="816" t="s">
        <v>1207</v>
      </c>
      <c r="Y65" s="859">
        <f t="shared" si="0"/>
        <v>3063.71</v>
      </c>
      <c r="Z65" s="858">
        <f t="shared" si="1"/>
        <v>0</v>
      </c>
      <c r="AA65" s="859">
        <f t="shared" si="2"/>
        <v>0</v>
      </c>
    </row>
    <row r="66" spans="1:35" x14ac:dyDescent="0.25">
      <c r="A66" s="817" t="s">
        <v>197</v>
      </c>
      <c r="B66" s="817" t="s">
        <v>1401</v>
      </c>
      <c r="C66" s="817" t="s">
        <v>1249</v>
      </c>
      <c r="D66" s="817" t="s">
        <v>1402</v>
      </c>
      <c r="E66" s="817" t="s">
        <v>1402</v>
      </c>
      <c r="F66" s="816" t="s">
        <v>1284</v>
      </c>
      <c r="G66" s="817" t="s">
        <v>298</v>
      </c>
      <c r="H66" s="817" t="s">
        <v>721</v>
      </c>
      <c r="I66" s="817" t="s">
        <v>346</v>
      </c>
      <c r="J66" s="818">
        <v>3573.59</v>
      </c>
      <c r="K66" s="818">
        <v>3573.59</v>
      </c>
      <c r="L66" s="818">
        <v>3573.59</v>
      </c>
      <c r="M66" s="818">
        <v>0</v>
      </c>
      <c r="N66" s="818">
        <v>0</v>
      </c>
      <c r="O66" s="818">
        <v>0</v>
      </c>
      <c r="P66" s="818">
        <v>0</v>
      </c>
      <c r="Q66" s="818">
        <v>0</v>
      </c>
      <c r="R66" s="818">
        <v>0</v>
      </c>
      <c r="S66" s="818">
        <v>0</v>
      </c>
      <c r="T66" s="816" t="s">
        <v>1403</v>
      </c>
      <c r="U66" s="818">
        <v>0</v>
      </c>
      <c r="V66" s="816" t="s">
        <v>1253</v>
      </c>
      <c r="W66" s="816" t="s">
        <v>1207</v>
      </c>
      <c r="Y66" s="859">
        <f t="shared" si="0"/>
        <v>3573.59</v>
      </c>
      <c r="Z66" s="858">
        <f t="shared" si="1"/>
        <v>0</v>
      </c>
      <c r="AA66" s="859">
        <f t="shared" si="2"/>
        <v>0</v>
      </c>
    </row>
    <row r="67" spans="1:35" x14ac:dyDescent="0.25">
      <c r="A67" s="817" t="s">
        <v>1283</v>
      </c>
      <c r="B67" s="817" t="s">
        <v>1404</v>
      </c>
      <c r="C67" s="817" t="s">
        <v>1249</v>
      </c>
      <c r="D67" s="817" t="s">
        <v>1405</v>
      </c>
      <c r="E67" s="817" t="s">
        <v>1405</v>
      </c>
      <c r="F67" s="816" t="s">
        <v>1264</v>
      </c>
      <c r="G67" s="817" t="s">
        <v>304</v>
      </c>
      <c r="H67" s="817" t="s">
        <v>1406</v>
      </c>
      <c r="I67" s="817" t="s">
        <v>346</v>
      </c>
      <c r="J67" s="818">
        <v>41018.6</v>
      </c>
      <c r="K67" s="818">
        <v>35190.65</v>
      </c>
      <c r="L67" s="818">
        <v>35190.65</v>
      </c>
      <c r="M67" s="818">
        <v>0</v>
      </c>
      <c r="N67" s="818">
        <v>832.57</v>
      </c>
      <c r="O67" s="818">
        <v>832.57</v>
      </c>
      <c r="P67" s="818">
        <v>0</v>
      </c>
      <c r="Q67" s="818">
        <v>9990.75</v>
      </c>
      <c r="R67" s="818">
        <v>9990.75</v>
      </c>
      <c r="S67" s="818">
        <v>0</v>
      </c>
      <c r="T67" s="816" t="s">
        <v>1407</v>
      </c>
      <c r="U67" s="818">
        <v>5827.95</v>
      </c>
      <c r="V67" s="816" t="s">
        <v>1253</v>
      </c>
      <c r="W67" s="816" t="s">
        <v>1207</v>
      </c>
      <c r="Y67" s="859">
        <f t="shared" si="0"/>
        <v>41018.6</v>
      </c>
      <c r="Z67" s="858">
        <f t="shared" si="1"/>
        <v>5827.9499999999971</v>
      </c>
      <c r="AA67" s="859">
        <f t="shared" si="2"/>
        <v>832.57</v>
      </c>
      <c r="AB67" s="820" t="s">
        <v>791</v>
      </c>
      <c r="AC67" s="815">
        <f t="shared" ref="AC67:AC79" si="3">IF((Z67-(AA67*12))&gt;0,AA67*12,Z67)</f>
        <v>5827.9499999999971</v>
      </c>
      <c r="AD67" s="815">
        <f>IF(($Z67-($AA67*12)-SUM($AC67:AC67))&gt;0,$AA67*12,$Z67-SUM($AC67:AC67))</f>
        <v>0</v>
      </c>
      <c r="AE67" s="815">
        <f>IF(($Z67-($AA67*12)-SUM($AC67:AD67))&gt;0,$AA67*12,$Z67-SUM($AC67:AD67))</f>
        <v>0</v>
      </c>
      <c r="AF67" s="815">
        <f>IF(($Z67-($AA67*12)-SUM($AC67:AE67))&gt;0,$AA67*12,$Z67-SUM($AC67:AE67))</f>
        <v>0</v>
      </c>
      <c r="AG67" s="815">
        <f>IF(($Z67-($AA67*12)-SUM($AC67:AF67))&gt;0,$AA67*12,$Z67-SUM($AC67:AF67))</f>
        <v>0</v>
      </c>
      <c r="AH67" s="815">
        <f>IF(($Z67-($AA67*12)-SUM($AC67:AG67))&gt;0,$AA67*12,$Z67-SUM($AC67:AG67))</f>
        <v>0</v>
      </c>
      <c r="AI67" s="815">
        <f>IF(($Z67-($AA67*12)-SUM($AC67:AH67))&gt;0,$AA67*12,$Z67-SUM($AC67:AH67))</f>
        <v>0</v>
      </c>
    </row>
    <row r="68" spans="1:35" x14ac:dyDescent="0.25">
      <c r="A68" s="817" t="s">
        <v>198</v>
      </c>
      <c r="B68" s="817" t="s">
        <v>1408</v>
      </c>
      <c r="C68" s="817" t="s">
        <v>1249</v>
      </c>
      <c r="D68" s="817" t="s">
        <v>1405</v>
      </c>
      <c r="E68" s="817" t="s">
        <v>1405</v>
      </c>
      <c r="F68" s="816" t="s">
        <v>1264</v>
      </c>
      <c r="G68" s="817" t="s">
        <v>304</v>
      </c>
      <c r="H68" s="817" t="s">
        <v>1406</v>
      </c>
      <c r="I68" s="817" t="s">
        <v>346</v>
      </c>
      <c r="J68" s="818">
        <v>41018.6</v>
      </c>
      <c r="K68" s="818">
        <v>35098.81</v>
      </c>
      <c r="L68" s="818">
        <v>35098.81</v>
      </c>
      <c r="M68" s="818">
        <v>0</v>
      </c>
      <c r="N68" s="818">
        <v>845.69</v>
      </c>
      <c r="O68" s="818">
        <v>845.69</v>
      </c>
      <c r="P68" s="818">
        <v>0</v>
      </c>
      <c r="Q68" s="818">
        <v>10148.25</v>
      </c>
      <c r="R68" s="818">
        <v>10148.25</v>
      </c>
      <c r="S68" s="818">
        <v>0</v>
      </c>
      <c r="T68" s="816" t="s">
        <v>1409</v>
      </c>
      <c r="U68" s="818">
        <v>5919.79</v>
      </c>
      <c r="V68" s="816" t="s">
        <v>1253</v>
      </c>
      <c r="W68" s="816" t="s">
        <v>1207</v>
      </c>
      <c r="Y68" s="859">
        <f t="shared" si="0"/>
        <v>41018.6</v>
      </c>
      <c r="Z68" s="858">
        <f t="shared" si="1"/>
        <v>5919.7900000000009</v>
      </c>
      <c r="AA68" s="859">
        <f t="shared" si="2"/>
        <v>845.69</v>
      </c>
      <c r="AB68" s="820" t="s">
        <v>791</v>
      </c>
      <c r="AC68" s="815">
        <f t="shared" si="3"/>
        <v>5919.7900000000009</v>
      </c>
      <c r="AD68" s="815">
        <f>IF(($Z68-($AA68*12)-SUM($AC68:AC68))&gt;0,$AA68*12,$Z68-SUM($AC68:AC68))</f>
        <v>0</v>
      </c>
      <c r="AE68" s="815">
        <f>IF(($Z68-($AA68*12)-SUM($AC68:AD68))&gt;0,$AA68*12,$Z68-SUM($AC68:AD68))</f>
        <v>0</v>
      </c>
      <c r="AF68" s="815">
        <f>IF(($Z68-($AA68*12)-SUM($AC68:AE68))&gt;0,$AA68*12,$Z68-SUM($AC68:AE68))</f>
        <v>0</v>
      </c>
      <c r="AG68" s="815">
        <f>IF(($Z68-($AA68*12)-SUM($AC68:AF68))&gt;0,$AA68*12,$Z68-SUM($AC68:AF68))</f>
        <v>0</v>
      </c>
      <c r="AH68" s="815">
        <f>IF(($Z68-($AA68*12)-SUM($AC68:AG68))&gt;0,$AA68*12,$Z68-SUM($AC68:AG68))</f>
        <v>0</v>
      </c>
      <c r="AI68" s="815">
        <f>IF(($Z68-($AA68*12)-SUM($AC68:AH68))&gt;0,$AA68*12,$Z68-SUM($AC68:AH68))</f>
        <v>0</v>
      </c>
    </row>
    <row r="69" spans="1:35" x14ac:dyDescent="0.25">
      <c r="A69" s="817" t="s">
        <v>199</v>
      </c>
      <c r="B69" s="817" t="s">
        <v>1410</v>
      </c>
      <c r="C69" s="817" t="s">
        <v>1249</v>
      </c>
      <c r="D69" s="817" t="s">
        <v>1411</v>
      </c>
      <c r="E69" s="817" t="s">
        <v>1411</v>
      </c>
      <c r="F69" s="816" t="s">
        <v>1264</v>
      </c>
      <c r="G69" s="817" t="s">
        <v>304</v>
      </c>
      <c r="H69" s="817" t="s">
        <v>1337</v>
      </c>
      <c r="I69" s="817" t="s">
        <v>346</v>
      </c>
      <c r="J69" s="818">
        <v>31150.05</v>
      </c>
      <c r="K69" s="818">
        <v>23417.79</v>
      </c>
      <c r="L69" s="818">
        <v>23417.79</v>
      </c>
      <c r="M69" s="818">
        <v>0</v>
      </c>
      <c r="N69" s="818">
        <v>644.36</v>
      </c>
      <c r="O69" s="818">
        <v>644.36</v>
      </c>
      <c r="P69" s="818">
        <v>0</v>
      </c>
      <c r="Q69" s="818">
        <v>7732.32</v>
      </c>
      <c r="R69" s="818">
        <v>7732.32</v>
      </c>
      <c r="S69" s="818">
        <v>0</v>
      </c>
      <c r="T69" s="816" t="s">
        <v>1412</v>
      </c>
      <c r="U69" s="818">
        <v>7732.26</v>
      </c>
      <c r="V69" s="816" t="s">
        <v>1253</v>
      </c>
      <c r="W69" s="816" t="s">
        <v>1207</v>
      </c>
      <c r="Y69" s="859">
        <f t="shared" si="0"/>
        <v>31150.05</v>
      </c>
      <c r="Z69" s="858">
        <f t="shared" si="1"/>
        <v>7732.2599999999984</v>
      </c>
      <c r="AA69" s="859">
        <f t="shared" si="2"/>
        <v>644.36</v>
      </c>
      <c r="AB69" s="820" t="s">
        <v>791</v>
      </c>
      <c r="AC69" s="815">
        <f t="shared" si="3"/>
        <v>7732.2599999999984</v>
      </c>
      <c r="AD69" s="815">
        <f>IF(($Z69-($AA69*12)-SUM($AC69:AC69))&gt;0,$AA69*12,$Z69-SUM($AC69:AC69))</f>
        <v>0</v>
      </c>
      <c r="AE69" s="815">
        <f>IF(($Z69-($AA69*12)-SUM($AC69:AD69))&gt;0,$AA69*12,$Z69-SUM($AC69:AD69))</f>
        <v>0</v>
      </c>
      <c r="AF69" s="815">
        <f>IF(($Z69-($AA69*12)-SUM($AC69:AE69))&gt;0,$AA69*12,$Z69-SUM($AC69:AE69))</f>
        <v>0</v>
      </c>
      <c r="AG69" s="815">
        <f>IF(($Z69-($AA69*12)-SUM($AC69:AF69))&gt;0,$AA69*12,$Z69-SUM($AC69:AF69))</f>
        <v>0</v>
      </c>
      <c r="AH69" s="815">
        <f>IF(($Z69-($AA69*12)-SUM($AC69:AG69))&gt;0,$AA69*12,$Z69-SUM($AC69:AG69))</f>
        <v>0</v>
      </c>
      <c r="AI69" s="815">
        <f>IF(($Z69-($AA69*12)-SUM($AC69:AH69))&gt;0,$AA69*12,$Z69-SUM($AC69:AH69))</f>
        <v>0</v>
      </c>
    </row>
    <row r="70" spans="1:35" x14ac:dyDescent="0.25">
      <c r="A70" s="817" t="s">
        <v>200</v>
      </c>
      <c r="B70" s="817" t="s">
        <v>1413</v>
      </c>
      <c r="C70" s="817" t="s">
        <v>1249</v>
      </c>
      <c r="D70" s="817" t="s">
        <v>1411</v>
      </c>
      <c r="E70" s="817" t="s">
        <v>1411</v>
      </c>
      <c r="F70" s="816" t="s">
        <v>1264</v>
      </c>
      <c r="G70" s="817" t="s">
        <v>304</v>
      </c>
      <c r="H70" s="817" t="s">
        <v>1337</v>
      </c>
      <c r="I70" s="817" t="s">
        <v>346</v>
      </c>
      <c r="J70" s="818">
        <v>29253.25</v>
      </c>
      <c r="K70" s="818">
        <v>21991.75</v>
      </c>
      <c r="L70" s="818">
        <v>21991.75</v>
      </c>
      <c r="M70" s="818">
        <v>0</v>
      </c>
      <c r="N70" s="818">
        <v>605.12</v>
      </c>
      <c r="O70" s="818">
        <v>605.12</v>
      </c>
      <c r="P70" s="818">
        <v>0</v>
      </c>
      <c r="Q70" s="818">
        <v>7261.4800000000005</v>
      </c>
      <c r="R70" s="818">
        <v>7261.4800000000005</v>
      </c>
      <c r="S70" s="818">
        <v>0</v>
      </c>
      <c r="T70" s="816" t="s">
        <v>1414</v>
      </c>
      <c r="U70" s="818">
        <v>7261.5</v>
      </c>
      <c r="V70" s="816" t="s">
        <v>1253</v>
      </c>
      <c r="W70" s="816" t="s">
        <v>1207</v>
      </c>
      <c r="Y70" s="859">
        <f t="shared" si="0"/>
        <v>29253.25</v>
      </c>
      <c r="Z70" s="858">
        <f t="shared" si="1"/>
        <v>7261.5</v>
      </c>
      <c r="AA70" s="859">
        <f t="shared" si="2"/>
        <v>605.12</v>
      </c>
      <c r="AB70" s="820" t="s">
        <v>791</v>
      </c>
      <c r="AC70" s="815">
        <f t="shared" si="3"/>
        <v>7261.4400000000005</v>
      </c>
      <c r="AD70" s="815">
        <f>IF(($Z70-($AA70*12)-SUM($AC70:AC70))&gt;0,$AA70*12,$Z70-SUM($AC70:AC70))</f>
        <v>5.9999999999490683E-2</v>
      </c>
      <c r="AE70" s="815">
        <f>IF(($Z70-($AA70*12)-SUM($AC70:AD70))&gt;0,$AA70*12,$Z70-SUM($AC70:AD70))</f>
        <v>0</v>
      </c>
      <c r="AF70" s="815">
        <f>IF(($Z70-($AA70*12)-SUM($AC70:AE70))&gt;0,$AA70*12,$Z70-SUM($AC70:AE70))</f>
        <v>0</v>
      </c>
      <c r="AG70" s="815">
        <f>IF(($Z70-($AA70*12)-SUM($AC70:AF70))&gt;0,$AA70*12,$Z70-SUM($AC70:AF70))</f>
        <v>0</v>
      </c>
      <c r="AH70" s="815">
        <f>IF(($Z70-($AA70*12)-SUM($AC70:AG70))&gt;0,$AA70*12,$Z70-SUM($AC70:AG70))</f>
        <v>0</v>
      </c>
      <c r="AI70" s="815">
        <f>IF(($Z70-($AA70*12)-SUM($AC70:AH70))&gt;0,$AA70*12,$Z70-SUM($AC70:AH70))</f>
        <v>0</v>
      </c>
    </row>
    <row r="71" spans="1:35" x14ac:dyDescent="0.25">
      <c r="A71" s="817" t="s">
        <v>1415</v>
      </c>
      <c r="B71" s="817" t="s">
        <v>1416</v>
      </c>
      <c r="C71" s="817" t="s">
        <v>1249</v>
      </c>
      <c r="D71" s="817" t="s">
        <v>1411</v>
      </c>
      <c r="E71" s="817" t="s">
        <v>1411</v>
      </c>
      <c r="F71" s="816" t="s">
        <v>1264</v>
      </c>
      <c r="G71" s="817" t="s">
        <v>304</v>
      </c>
      <c r="H71" s="817" t="s">
        <v>1337</v>
      </c>
      <c r="I71" s="817" t="s">
        <v>346</v>
      </c>
      <c r="J71" s="818">
        <v>31150.05</v>
      </c>
      <c r="K71" s="818">
        <v>23417.79</v>
      </c>
      <c r="L71" s="818">
        <v>23417.79</v>
      </c>
      <c r="M71" s="818">
        <v>0</v>
      </c>
      <c r="N71" s="818">
        <v>644.36</v>
      </c>
      <c r="O71" s="818">
        <v>644.36</v>
      </c>
      <c r="P71" s="818">
        <v>0</v>
      </c>
      <c r="Q71" s="818">
        <v>7732.32</v>
      </c>
      <c r="R71" s="818">
        <v>7732.32</v>
      </c>
      <c r="S71" s="818">
        <v>0</v>
      </c>
      <c r="T71" s="816" t="s">
        <v>1417</v>
      </c>
      <c r="U71" s="818">
        <v>7732.26</v>
      </c>
      <c r="V71" s="816" t="s">
        <v>1253</v>
      </c>
      <c r="W71" s="816" t="s">
        <v>1207</v>
      </c>
      <c r="Y71" s="859">
        <f t="shared" si="0"/>
        <v>31150.05</v>
      </c>
      <c r="Z71" s="858">
        <f t="shared" si="1"/>
        <v>7732.2599999999984</v>
      </c>
      <c r="AA71" s="859">
        <f t="shared" si="2"/>
        <v>644.36</v>
      </c>
      <c r="AB71" s="820" t="s">
        <v>791</v>
      </c>
      <c r="AC71" s="815">
        <f t="shared" si="3"/>
        <v>7732.2599999999984</v>
      </c>
      <c r="AD71" s="815">
        <f>IF(($Z71-($AA71*12)-SUM($AC71:AC71))&gt;0,$AA71*12,$Z71-SUM($AC71:AC71))</f>
        <v>0</v>
      </c>
      <c r="AE71" s="815">
        <f>IF(($Z71-($AA71*12)-SUM($AC71:AD71))&gt;0,$AA71*12,$Z71-SUM($AC71:AD71))</f>
        <v>0</v>
      </c>
      <c r="AF71" s="815">
        <f>IF(($Z71-($AA71*12)-SUM($AC71:AE71))&gt;0,$AA71*12,$Z71-SUM($AC71:AE71))</f>
        <v>0</v>
      </c>
      <c r="AG71" s="815">
        <f>IF(($Z71-($AA71*12)-SUM($AC71:AF71))&gt;0,$AA71*12,$Z71-SUM($AC71:AF71))</f>
        <v>0</v>
      </c>
      <c r="AH71" s="815">
        <f>IF(($Z71-($AA71*12)-SUM($AC71:AG71))&gt;0,$AA71*12,$Z71-SUM($AC71:AG71))</f>
        <v>0</v>
      </c>
      <c r="AI71" s="815">
        <f>IF(($Z71-($AA71*12)-SUM($AC71:AH71))&gt;0,$AA71*12,$Z71-SUM($AC71:AH71))</f>
        <v>0</v>
      </c>
    </row>
    <row r="72" spans="1:35" x14ac:dyDescent="0.25">
      <c r="A72" s="817" t="s">
        <v>201</v>
      </c>
      <c r="B72" s="817" t="s">
        <v>1418</v>
      </c>
      <c r="C72" s="817" t="s">
        <v>1249</v>
      </c>
      <c r="D72" s="817" t="s">
        <v>1411</v>
      </c>
      <c r="E72" s="817" t="s">
        <v>1411</v>
      </c>
      <c r="F72" s="816" t="s">
        <v>1419</v>
      </c>
      <c r="G72" s="817" t="s">
        <v>304</v>
      </c>
      <c r="H72" s="817" t="s">
        <v>1337</v>
      </c>
      <c r="I72" s="817" t="s">
        <v>346</v>
      </c>
      <c r="J72" s="818">
        <v>8525.31</v>
      </c>
      <c r="K72" s="818">
        <v>6409.07</v>
      </c>
      <c r="L72" s="818">
        <v>6409.07</v>
      </c>
      <c r="M72" s="818">
        <v>0</v>
      </c>
      <c r="N72" s="818">
        <v>176.35</v>
      </c>
      <c r="O72" s="818">
        <v>176.35</v>
      </c>
      <c r="P72" s="818">
        <v>0</v>
      </c>
      <c r="Q72" s="818">
        <v>2116.1999999999998</v>
      </c>
      <c r="R72" s="818">
        <v>2116.1999999999998</v>
      </c>
      <c r="S72" s="818">
        <v>0</v>
      </c>
      <c r="T72" s="816" t="s">
        <v>1420</v>
      </c>
      <c r="U72" s="818">
        <v>2116.2400000000002</v>
      </c>
      <c r="V72" s="816" t="s">
        <v>1253</v>
      </c>
      <c r="W72" s="816" t="s">
        <v>1207</v>
      </c>
      <c r="Y72" s="859">
        <f t="shared" ref="Y72:Y119" si="4">J72</f>
        <v>8525.31</v>
      </c>
      <c r="Z72" s="858">
        <f t="shared" ref="Z72:Z119" si="5">J72-K72</f>
        <v>2116.2399999999998</v>
      </c>
      <c r="AA72" s="859">
        <f t="shared" ref="AA72:AA119" si="6">N72</f>
        <v>176.35</v>
      </c>
      <c r="AB72" s="820" t="s">
        <v>791</v>
      </c>
      <c r="AC72" s="815">
        <f t="shared" si="3"/>
        <v>2116.1999999999998</v>
      </c>
      <c r="AD72" s="815">
        <f>IF(($Z72-($AA72*12)-SUM($AC72:AC72))&gt;0,$AA72*12,$Z72-SUM($AC72:AC72))</f>
        <v>3.999999999996362E-2</v>
      </c>
      <c r="AE72" s="815">
        <f>IF(($Z72-($AA72*12)-SUM($AC72:AD72))&gt;0,$AA72*12,$Z72-SUM($AC72:AD72))</f>
        <v>0</v>
      </c>
      <c r="AF72" s="815">
        <f>IF(($Z72-($AA72*12)-SUM($AC72:AE72))&gt;0,$AA72*12,$Z72-SUM($AC72:AE72))</f>
        <v>0</v>
      </c>
      <c r="AG72" s="815">
        <f>IF(($Z72-($AA72*12)-SUM($AC72:AF72))&gt;0,$AA72*12,$Z72-SUM($AC72:AF72))</f>
        <v>0</v>
      </c>
      <c r="AH72" s="815">
        <f>IF(($Z72-($AA72*12)-SUM($AC72:AG72))&gt;0,$AA72*12,$Z72-SUM($AC72:AG72))</f>
        <v>0</v>
      </c>
      <c r="AI72" s="815">
        <f>IF(($Z72-($AA72*12)-SUM($AC72:AH72))&gt;0,$AA72*12,$Z72-SUM($AC72:AH72))</f>
        <v>0</v>
      </c>
    </row>
    <row r="73" spans="1:35" x14ac:dyDescent="0.25">
      <c r="A73" s="817" t="s">
        <v>1289</v>
      </c>
      <c r="B73" s="817" t="s">
        <v>273</v>
      </c>
      <c r="C73" s="817" t="s">
        <v>1249</v>
      </c>
      <c r="D73" s="817" t="s">
        <v>1421</v>
      </c>
      <c r="E73" s="817" t="s">
        <v>1421</v>
      </c>
      <c r="F73" s="816" t="s">
        <v>1251</v>
      </c>
      <c r="G73" s="817" t="s">
        <v>304</v>
      </c>
      <c r="H73" s="817" t="s">
        <v>1422</v>
      </c>
      <c r="I73" s="817" t="s">
        <v>346</v>
      </c>
      <c r="J73" s="818">
        <v>16114.68</v>
      </c>
      <c r="K73" s="818">
        <v>11443.67</v>
      </c>
      <c r="L73" s="818">
        <v>11443.67</v>
      </c>
      <c r="M73" s="818">
        <v>0</v>
      </c>
      <c r="N73" s="818">
        <v>333.64</v>
      </c>
      <c r="O73" s="818">
        <v>333.64</v>
      </c>
      <c r="P73" s="818">
        <v>0</v>
      </c>
      <c r="Q73" s="818">
        <v>4003.6800000000003</v>
      </c>
      <c r="R73" s="818">
        <v>4003.6800000000003</v>
      </c>
      <c r="S73" s="818">
        <v>0</v>
      </c>
      <c r="T73" s="816" t="s">
        <v>1423</v>
      </c>
      <c r="U73" s="818">
        <v>4671.01</v>
      </c>
      <c r="V73" s="816" t="s">
        <v>1253</v>
      </c>
      <c r="W73" s="816" t="s">
        <v>1207</v>
      </c>
      <c r="Y73" s="859">
        <f t="shared" si="4"/>
        <v>16114.68</v>
      </c>
      <c r="Z73" s="858">
        <f t="shared" si="5"/>
        <v>4671.01</v>
      </c>
      <c r="AA73" s="859">
        <f t="shared" si="6"/>
        <v>333.64</v>
      </c>
      <c r="AB73" s="820" t="s">
        <v>791</v>
      </c>
      <c r="AC73" s="815">
        <f t="shared" si="3"/>
        <v>4003.68</v>
      </c>
      <c r="AD73" s="815">
        <f>IF(($Z73-($AA73*12)-SUM($AC73:AC73))&gt;0,$AA73*12,$Z73-SUM($AC73:AC73))</f>
        <v>667.33000000000038</v>
      </c>
      <c r="AE73" s="815">
        <f>IF(($Z73-($AA73*12)-SUM($AC73:AD73))&gt;0,$AA73*12,$Z73-SUM($AC73:AD73))</f>
        <v>0</v>
      </c>
      <c r="AF73" s="815">
        <f>IF(($Z73-($AA73*12)-SUM($AC73:AE73))&gt;0,$AA73*12,$Z73-SUM($AC73:AE73))</f>
        <v>0</v>
      </c>
      <c r="AG73" s="815">
        <f>IF(($Z73-($AA73*12)-SUM($AC73:AF73))&gt;0,$AA73*12,$Z73-SUM($AC73:AF73))</f>
        <v>0</v>
      </c>
      <c r="AH73" s="815">
        <f>IF(($Z73-($AA73*12)-SUM($AC73:AG73))&gt;0,$AA73*12,$Z73-SUM($AC73:AG73))</f>
        <v>0</v>
      </c>
      <c r="AI73" s="815">
        <f>IF(($Z73-($AA73*12)-SUM($AC73:AH73))&gt;0,$AA73*12,$Z73-SUM($AC73:AH73))</f>
        <v>0</v>
      </c>
    </row>
    <row r="74" spans="1:35" x14ac:dyDescent="0.25">
      <c r="A74" s="817" t="s">
        <v>202</v>
      </c>
      <c r="B74" s="817" t="s">
        <v>183</v>
      </c>
      <c r="C74" s="817" t="s">
        <v>1249</v>
      </c>
      <c r="D74" s="817" t="s">
        <v>1421</v>
      </c>
      <c r="E74" s="817" t="s">
        <v>1421</v>
      </c>
      <c r="F74" s="816" t="s">
        <v>1251</v>
      </c>
      <c r="G74" s="817" t="s">
        <v>304</v>
      </c>
      <c r="H74" s="817" t="s">
        <v>1422</v>
      </c>
      <c r="I74" s="817" t="s">
        <v>346</v>
      </c>
      <c r="J74" s="818">
        <v>16114.68</v>
      </c>
      <c r="K74" s="818">
        <v>11443.67</v>
      </c>
      <c r="L74" s="818">
        <v>11443.67</v>
      </c>
      <c r="M74" s="818">
        <v>0</v>
      </c>
      <c r="N74" s="818">
        <v>333.64</v>
      </c>
      <c r="O74" s="818">
        <v>333.64</v>
      </c>
      <c r="P74" s="818">
        <v>0</v>
      </c>
      <c r="Q74" s="818">
        <v>4003.6800000000003</v>
      </c>
      <c r="R74" s="818">
        <v>4003.6800000000003</v>
      </c>
      <c r="S74" s="818">
        <v>0</v>
      </c>
      <c r="T74" s="816" t="s">
        <v>1424</v>
      </c>
      <c r="U74" s="818">
        <v>4671.01</v>
      </c>
      <c r="V74" s="816" t="s">
        <v>1253</v>
      </c>
      <c r="W74" s="816" t="s">
        <v>1207</v>
      </c>
      <c r="Y74" s="859">
        <f t="shared" si="4"/>
        <v>16114.68</v>
      </c>
      <c r="Z74" s="858">
        <f t="shared" si="5"/>
        <v>4671.01</v>
      </c>
      <c r="AA74" s="859">
        <f t="shared" si="6"/>
        <v>333.64</v>
      </c>
      <c r="AB74" s="820" t="s">
        <v>791</v>
      </c>
      <c r="AC74" s="815">
        <f t="shared" si="3"/>
        <v>4003.68</v>
      </c>
      <c r="AD74" s="815">
        <f>IF(($Z74-($AA74*12)-SUM($AC74:AC74))&gt;0,$AA74*12,$Z74-SUM($AC74:AC74))</f>
        <v>667.33000000000038</v>
      </c>
      <c r="AE74" s="815">
        <f>IF(($Z74-($AA74*12)-SUM($AC74:AD74))&gt;0,$AA74*12,$Z74-SUM($AC74:AD74))</f>
        <v>0</v>
      </c>
      <c r="AF74" s="815">
        <f>IF(($Z74-($AA74*12)-SUM($AC74:AE74))&gt;0,$AA74*12,$Z74-SUM($AC74:AE74))</f>
        <v>0</v>
      </c>
      <c r="AG74" s="815">
        <f>IF(($Z74-($AA74*12)-SUM($AC74:AF74))&gt;0,$AA74*12,$Z74-SUM($AC74:AF74))</f>
        <v>0</v>
      </c>
      <c r="AH74" s="815">
        <f>IF(($Z74-($AA74*12)-SUM($AC74:AG74))&gt;0,$AA74*12,$Z74-SUM($AC74:AG74))</f>
        <v>0</v>
      </c>
      <c r="AI74" s="815">
        <f>IF(($Z74-($AA74*12)-SUM($AC74:AH74))&gt;0,$AA74*12,$Z74-SUM($AC74:AH74))</f>
        <v>0</v>
      </c>
    </row>
    <row r="75" spans="1:35" x14ac:dyDescent="0.25">
      <c r="A75" s="817" t="s">
        <v>1296</v>
      </c>
      <c r="B75" s="817" t="s">
        <v>719</v>
      </c>
      <c r="C75" s="817" t="s">
        <v>1249</v>
      </c>
      <c r="D75" s="817" t="s">
        <v>1421</v>
      </c>
      <c r="E75" s="817" t="s">
        <v>1421</v>
      </c>
      <c r="F75" s="816" t="s">
        <v>1251</v>
      </c>
      <c r="G75" s="817" t="s">
        <v>304</v>
      </c>
      <c r="H75" s="817" t="s">
        <v>1422</v>
      </c>
      <c r="I75" s="817" t="s">
        <v>346</v>
      </c>
      <c r="J75" s="818">
        <v>16786.12</v>
      </c>
      <c r="K75" s="818">
        <v>11920.49</v>
      </c>
      <c r="L75" s="818">
        <v>11920.49</v>
      </c>
      <c r="M75" s="818">
        <v>0</v>
      </c>
      <c r="N75" s="818">
        <v>347.54</v>
      </c>
      <c r="O75" s="818">
        <v>347.54</v>
      </c>
      <c r="P75" s="818">
        <v>0</v>
      </c>
      <c r="Q75" s="818">
        <v>4170.5</v>
      </c>
      <c r="R75" s="818">
        <v>4170.5</v>
      </c>
      <c r="S75" s="818">
        <v>0</v>
      </c>
      <c r="T75" s="816" t="s">
        <v>1425</v>
      </c>
      <c r="U75" s="818">
        <v>4865.63</v>
      </c>
      <c r="V75" s="816" t="s">
        <v>1253</v>
      </c>
      <c r="W75" s="816" t="s">
        <v>1207</v>
      </c>
      <c r="Y75" s="859">
        <f t="shared" si="4"/>
        <v>16786.12</v>
      </c>
      <c r="Z75" s="858">
        <f t="shared" si="5"/>
        <v>4865.6299999999992</v>
      </c>
      <c r="AA75" s="859">
        <f t="shared" si="6"/>
        <v>347.54</v>
      </c>
      <c r="AB75" s="820" t="s">
        <v>791</v>
      </c>
      <c r="AC75" s="815">
        <f t="shared" si="3"/>
        <v>4170.4800000000005</v>
      </c>
      <c r="AD75" s="815">
        <f>IF(($Z75-($AA75*12)-SUM($AC75:AC75))&gt;0,$AA75*12,$Z75-SUM($AC75:AC75))</f>
        <v>695.14999999999873</v>
      </c>
      <c r="AE75" s="815">
        <f>IF(($Z75-($AA75*12)-SUM($AC75:AD75))&gt;0,$AA75*12,$Z75-SUM($AC75:AD75))</f>
        <v>0</v>
      </c>
      <c r="AF75" s="815">
        <f>IF(($Z75-($AA75*12)-SUM($AC75:AE75))&gt;0,$AA75*12,$Z75-SUM($AC75:AE75))</f>
        <v>0</v>
      </c>
      <c r="AG75" s="815">
        <f>IF(($Z75-($AA75*12)-SUM($AC75:AF75))&gt;0,$AA75*12,$Z75-SUM($AC75:AF75))</f>
        <v>0</v>
      </c>
      <c r="AH75" s="815">
        <f>IF(($Z75-($AA75*12)-SUM($AC75:AG75))&gt;0,$AA75*12,$Z75-SUM($AC75:AG75))</f>
        <v>0</v>
      </c>
      <c r="AI75" s="815">
        <f>IF(($Z75-($AA75*12)-SUM($AC75:AH75))&gt;0,$AA75*12,$Z75-SUM($AC75:AH75))</f>
        <v>0</v>
      </c>
    </row>
    <row r="76" spans="1:35" x14ac:dyDescent="0.25">
      <c r="A76" s="817" t="s">
        <v>203</v>
      </c>
      <c r="B76" s="817" t="s">
        <v>1426</v>
      </c>
      <c r="C76" s="817" t="s">
        <v>1249</v>
      </c>
      <c r="D76" s="817" t="s">
        <v>1421</v>
      </c>
      <c r="E76" s="817" t="s">
        <v>1421</v>
      </c>
      <c r="F76" s="816" t="s">
        <v>1251</v>
      </c>
      <c r="G76" s="817" t="s">
        <v>304</v>
      </c>
      <c r="H76" s="817" t="s">
        <v>1422</v>
      </c>
      <c r="I76" s="817" t="s">
        <v>346</v>
      </c>
      <c r="J76" s="818">
        <v>16786.12</v>
      </c>
      <c r="K76" s="818">
        <v>11920.49</v>
      </c>
      <c r="L76" s="818">
        <v>11920.49</v>
      </c>
      <c r="M76" s="818">
        <v>0</v>
      </c>
      <c r="N76" s="818">
        <v>347.54</v>
      </c>
      <c r="O76" s="818">
        <v>347.54</v>
      </c>
      <c r="P76" s="818">
        <v>0</v>
      </c>
      <c r="Q76" s="818">
        <v>4170.5</v>
      </c>
      <c r="R76" s="818">
        <v>4170.5</v>
      </c>
      <c r="S76" s="818">
        <v>0</v>
      </c>
      <c r="T76" s="816" t="s">
        <v>1427</v>
      </c>
      <c r="U76" s="818">
        <v>4865.63</v>
      </c>
      <c r="V76" s="816" t="s">
        <v>1253</v>
      </c>
      <c r="W76" s="816" t="s">
        <v>1207</v>
      </c>
      <c r="Y76" s="859">
        <f t="shared" si="4"/>
        <v>16786.12</v>
      </c>
      <c r="Z76" s="858">
        <f t="shared" si="5"/>
        <v>4865.6299999999992</v>
      </c>
      <c r="AA76" s="859">
        <f t="shared" si="6"/>
        <v>347.54</v>
      </c>
      <c r="AB76" s="820" t="s">
        <v>791</v>
      </c>
      <c r="AC76" s="815">
        <f t="shared" si="3"/>
        <v>4170.4800000000005</v>
      </c>
      <c r="AD76" s="815">
        <f>IF(($Z76-($AA76*12)-SUM($AC76:AC76))&gt;0,$AA76*12,$Z76-SUM($AC76:AC76))</f>
        <v>695.14999999999873</v>
      </c>
      <c r="AE76" s="815">
        <f>IF(($Z76-($AA76*12)-SUM($AC76:AD76))&gt;0,$AA76*12,$Z76-SUM($AC76:AD76))</f>
        <v>0</v>
      </c>
      <c r="AF76" s="815">
        <f>IF(($Z76-($AA76*12)-SUM($AC76:AE76))&gt;0,$AA76*12,$Z76-SUM($AC76:AE76))</f>
        <v>0</v>
      </c>
      <c r="AG76" s="815">
        <f>IF(($Z76-($AA76*12)-SUM($AC76:AF76))&gt;0,$AA76*12,$Z76-SUM($AC76:AF76))</f>
        <v>0</v>
      </c>
      <c r="AH76" s="815">
        <f>IF(($Z76-($AA76*12)-SUM($AC76:AG76))&gt;0,$AA76*12,$Z76-SUM($AC76:AG76))</f>
        <v>0</v>
      </c>
      <c r="AI76" s="815">
        <f>IF(($Z76-($AA76*12)-SUM($AC76:AH76))&gt;0,$AA76*12,$Z76-SUM($AC76:AH76))</f>
        <v>0</v>
      </c>
    </row>
    <row r="77" spans="1:35" x14ac:dyDescent="0.25">
      <c r="A77" s="817" t="s">
        <v>1299</v>
      </c>
      <c r="B77" s="817" t="s">
        <v>1428</v>
      </c>
      <c r="C77" s="817" t="s">
        <v>1249</v>
      </c>
      <c r="D77" s="817" t="s">
        <v>1429</v>
      </c>
      <c r="E77" s="817" t="s">
        <v>1429</v>
      </c>
      <c r="F77" s="816" t="s">
        <v>1264</v>
      </c>
      <c r="G77" s="817" t="s">
        <v>304</v>
      </c>
      <c r="H77" s="817" t="s">
        <v>1347</v>
      </c>
      <c r="I77" s="817" t="s">
        <v>346</v>
      </c>
      <c r="J77" s="818">
        <v>57477.08</v>
      </c>
      <c r="K77" s="818">
        <v>38257.160000000003</v>
      </c>
      <c r="L77" s="818">
        <v>38257.160000000003</v>
      </c>
      <c r="M77" s="818">
        <v>0</v>
      </c>
      <c r="N77" s="818">
        <v>1201.24</v>
      </c>
      <c r="O77" s="818">
        <v>1201.24</v>
      </c>
      <c r="P77" s="818">
        <v>0</v>
      </c>
      <c r="Q77" s="818">
        <v>14414.94</v>
      </c>
      <c r="R77" s="818">
        <v>14414.94</v>
      </c>
      <c r="S77" s="818">
        <v>0</v>
      </c>
      <c r="T77" s="816" t="s">
        <v>1430</v>
      </c>
      <c r="U77" s="818">
        <v>19219.920000000002</v>
      </c>
      <c r="V77" s="816" t="s">
        <v>1253</v>
      </c>
      <c r="W77" s="816" t="s">
        <v>1207</v>
      </c>
      <c r="Y77" s="859">
        <f t="shared" si="4"/>
        <v>57477.08</v>
      </c>
      <c r="Z77" s="858">
        <f t="shared" si="5"/>
        <v>19219.919999999998</v>
      </c>
      <c r="AA77" s="859">
        <f t="shared" si="6"/>
        <v>1201.24</v>
      </c>
      <c r="AB77" s="820" t="s">
        <v>791</v>
      </c>
      <c r="AC77" s="815">
        <f t="shared" si="3"/>
        <v>14414.880000000001</v>
      </c>
      <c r="AD77" s="815">
        <f>IF(($Z77-($AA77*12)-SUM($AC77:AC77))&gt;0,$AA77*12,$Z77-SUM($AC77:AC77))</f>
        <v>4805.0399999999972</v>
      </c>
      <c r="AE77" s="815">
        <f>IF(($Z77-($AA77*12)-SUM($AC77:AD77))&gt;0,$AA77*12,$Z77-SUM($AC77:AD77))</f>
        <v>0</v>
      </c>
      <c r="AF77" s="815">
        <f>IF(($Z77-($AA77*12)-SUM($AC77:AE77))&gt;0,$AA77*12,$Z77-SUM($AC77:AE77))</f>
        <v>0</v>
      </c>
      <c r="AG77" s="815">
        <f>IF(($Z77-($AA77*12)-SUM($AC77:AF77))&gt;0,$AA77*12,$Z77-SUM($AC77:AF77))</f>
        <v>0</v>
      </c>
      <c r="AH77" s="815">
        <f>IF(($Z77-($AA77*12)-SUM($AC77:AG77))&gt;0,$AA77*12,$Z77-SUM($AC77:AG77))</f>
        <v>0</v>
      </c>
      <c r="AI77" s="815">
        <f>IF(($Z77-($AA77*12)-SUM($AC77:AH77))&gt;0,$AA77*12,$Z77-SUM($AC77:AH77))</f>
        <v>0</v>
      </c>
    </row>
    <row r="78" spans="1:35" x14ac:dyDescent="0.25">
      <c r="A78" s="817" t="s">
        <v>204</v>
      </c>
      <c r="B78" s="817" t="s">
        <v>1431</v>
      </c>
      <c r="C78" s="817" t="s">
        <v>1249</v>
      </c>
      <c r="D78" s="817" t="s">
        <v>1429</v>
      </c>
      <c r="E78" s="817" t="s">
        <v>1429</v>
      </c>
      <c r="F78" s="816" t="s">
        <v>1264</v>
      </c>
      <c r="G78" s="817" t="s">
        <v>304</v>
      </c>
      <c r="H78" s="817" t="s">
        <v>1347</v>
      </c>
      <c r="I78" s="817" t="s">
        <v>346</v>
      </c>
      <c r="J78" s="818">
        <v>64009.79</v>
      </c>
      <c r="K78" s="818">
        <v>42789.87</v>
      </c>
      <c r="L78" s="818">
        <v>42789.87</v>
      </c>
      <c r="M78" s="818">
        <v>0</v>
      </c>
      <c r="N78" s="818">
        <v>1326.24</v>
      </c>
      <c r="O78" s="818">
        <v>1326.24</v>
      </c>
      <c r="P78" s="818">
        <v>0</v>
      </c>
      <c r="Q78" s="818">
        <v>15914.880000000001</v>
      </c>
      <c r="R78" s="818">
        <v>15914.880000000001</v>
      </c>
      <c r="S78" s="818">
        <v>0</v>
      </c>
      <c r="T78" s="816" t="s">
        <v>1432</v>
      </c>
      <c r="U78" s="818">
        <v>21219.920000000002</v>
      </c>
      <c r="V78" s="816" t="s">
        <v>1253</v>
      </c>
      <c r="W78" s="816" t="s">
        <v>1207</v>
      </c>
      <c r="Y78" s="859">
        <f t="shared" si="4"/>
        <v>64009.79</v>
      </c>
      <c r="Z78" s="858">
        <f t="shared" si="5"/>
        <v>21219.919999999998</v>
      </c>
      <c r="AA78" s="859">
        <f t="shared" si="6"/>
        <v>1326.24</v>
      </c>
      <c r="AB78" s="820" t="s">
        <v>791</v>
      </c>
      <c r="AC78" s="815">
        <f t="shared" si="3"/>
        <v>15914.880000000001</v>
      </c>
      <c r="AD78" s="815">
        <f>IF(($Z78-($AA78*12)-SUM($AC78:AC78))&gt;0,$AA78*12,$Z78-SUM($AC78:AC78))</f>
        <v>5305.0399999999972</v>
      </c>
      <c r="AE78" s="815">
        <f>IF(($Z78-($AA78*12)-SUM($AC78:AD78))&gt;0,$AA78*12,$Z78-SUM($AC78:AD78))</f>
        <v>0</v>
      </c>
      <c r="AF78" s="815">
        <f>IF(($Z78-($AA78*12)-SUM($AC78:AE78))&gt;0,$AA78*12,$Z78-SUM($AC78:AE78))</f>
        <v>0</v>
      </c>
      <c r="AG78" s="815">
        <f>IF(($Z78-($AA78*12)-SUM($AC78:AF78))&gt;0,$AA78*12,$Z78-SUM($AC78:AF78))</f>
        <v>0</v>
      </c>
      <c r="AH78" s="815">
        <f>IF(($Z78-($AA78*12)-SUM($AC78:AG78))&gt;0,$AA78*12,$Z78-SUM($AC78:AG78))</f>
        <v>0</v>
      </c>
      <c r="AI78" s="815">
        <f>IF(($Z78-($AA78*12)-SUM($AC78:AH78))&gt;0,$AA78*12,$Z78-SUM($AC78:AH78))</f>
        <v>0</v>
      </c>
    </row>
    <row r="79" spans="1:35" x14ac:dyDescent="0.25">
      <c r="A79" s="817" t="s">
        <v>1433</v>
      </c>
      <c r="B79" s="817" t="s">
        <v>184</v>
      </c>
      <c r="C79" s="817" t="s">
        <v>1249</v>
      </c>
      <c r="D79" s="817" t="s">
        <v>1434</v>
      </c>
      <c r="E79" s="817" t="s">
        <v>1434</v>
      </c>
      <c r="F79" s="816" t="s">
        <v>1264</v>
      </c>
      <c r="G79" s="817" t="s">
        <v>304</v>
      </c>
      <c r="H79" s="817" t="s">
        <v>1435</v>
      </c>
      <c r="I79" s="817" t="s">
        <v>346</v>
      </c>
      <c r="J79" s="818">
        <v>144053.80000000002</v>
      </c>
      <c r="K79" s="818">
        <v>87294.46</v>
      </c>
      <c r="L79" s="818">
        <v>87294.46</v>
      </c>
      <c r="M79" s="818">
        <v>0</v>
      </c>
      <c r="N79" s="818">
        <v>2987.33</v>
      </c>
      <c r="O79" s="818">
        <v>2987.33</v>
      </c>
      <c r="P79" s="818">
        <v>0</v>
      </c>
      <c r="Q79" s="818">
        <v>35847.96</v>
      </c>
      <c r="R79" s="818">
        <v>35847.96</v>
      </c>
      <c r="S79" s="818">
        <v>0</v>
      </c>
      <c r="T79" s="816" t="s">
        <v>1436</v>
      </c>
      <c r="U79" s="818">
        <v>56759.340000000004</v>
      </c>
      <c r="V79" s="816" t="s">
        <v>1253</v>
      </c>
      <c r="W79" s="816" t="s">
        <v>1207</v>
      </c>
      <c r="Y79" s="859">
        <f t="shared" si="4"/>
        <v>144053.80000000002</v>
      </c>
      <c r="Z79" s="858">
        <f t="shared" si="5"/>
        <v>56759.340000000011</v>
      </c>
      <c r="AA79" s="859">
        <f t="shared" si="6"/>
        <v>2987.33</v>
      </c>
      <c r="AB79" s="820" t="s">
        <v>791</v>
      </c>
      <c r="AC79" s="815">
        <f t="shared" si="3"/>
        <v>35847.96</v>
      </c>
      <c r="AD79" s="815">
        <f>IF(($Z79-($AA79*12)-SUM($AC79:AC79))&gt;0,$AA79*12,$Z79-SUM($AC79:AC79))</f>
        <v>20911.380000000012</v>
      </c>
      <c r="AE79" s="815">
        <f>IF(($Z79-($AA79*12)-SUM($AC79:AD79))&gt;0,$AA79*12,$Z79-SUM($AC79:AD79))</f>
        <v>0</v>
      </c>
      <c r="AF79" s="815">
        <f>IF(($Z79-($AA79*12)-SUM($AC79:AE79))&gt;0,$AA79*12,$Z79-SUM($AC79:AE79))</f>
        <v>0</v>
      </c>
      <c r="AG79" s="815">
        <f>IF(($Z79-($AA79*12)-SUM($AC79:AF79))&gt;0,$AA79*12,$Z79-SUM($AC79:AF79))</f>
        <v>0</v>
      </c>
      <c r="AH79" s="815">
        <f>IF(($Z79-($AA79*12)-SUM($AC79:AG79))&gt;0,$AA79*12,$Z79-SUM($AC79:AG79))</f>
        <v>0</v>
      </c>
      <c r="AI79" s="815">
        <f>IF(($Z79-($AA79*12)-SUM($AC79:AH79))&gt;0,$AA79*12,$Z79-SUM($AC79:AH79))</f>
        <v>0</v>
      </c>
    </row>
    <row r="80" spans="1:35" s="886" customFormat="1" x14ac:dyDescent="0.25">
      <c r="A80" s="883" t="s">
        <v>206</v>
      </c>
      <c r="B80" s="883" t="s">
        <v>274</v>
      </c>
      <c r="C80" s="883" t="s">
        <v>1249</v>
      </c>
      <c r="D80" s="883" t="s">
        <v>1437</v>
      </c>
      <c r="E80" s="883" t="s">
        <v>1437</v>
      </c>
      <c r="F80" s="884" t="s">
        <v>1264</v>
      </c>
      <c r="G80" s="883" t="s">
        <v>304</v>
      </c>
      <c r="H80" s="883" t="s">
        <v>721</v>
      </c>
      <c r="I80" s="883" t="s">
        <v>346</v>
      </c>
      <c r="J80" s="885">
        <v>97844.150000000009</v>
      </c>
      <c r="K80" s="885">
        <v>51143.98</v>
      </c>
      <c r="L80" s="885">
        <v>51143.98</v>
      </c>
      <c r="M80" s="885">
        <v>0</v>
      </c>
      <c r="N80" s="885">
        <v>0</v>
      </c>
      <c r="O80" s="885">
        <v>0</v>
      </c>
      <c r="P80" s="885">
        <v>0</v>
      </c>
      <c r="Q80" s="885">
        <v>22334.84</v>
      </c>
      <c r="R80" s="885">
        <v>22334.84</v>
      </c>
      <c r="S80" s="885">
        <v>0</v>
      </c>
      <c r="T80" s="884" t="s">
        <v>1438</v>
      </c>
      <c r="U80" s="885">
        <v>46700.17</v>
      </c>
      <c r="V80" s="884" t="s">
        <v>1253</v>
      </c>
      <c r="W80" s="884" t="s">
        <v>1207</v>
      </c>
      <c r="Y80" s="887">
        <f t="shared" si="4"/>
        <v>97844.150000000009</v>
      </c>
      <c r="Z80" s="888">
        <f t="shared" si="5"/>
        <v>46700.170000000006</v>
      </c>
      <c r="AA80" s="887">
        <f t="shared" si="6"/>
        <v>0</v>
      </c>
    </row>
    <row r="81" spans="1:35" x14ac:dyDescent="0.25">
      <c r="A81" s="817" t="s">
        <v>1439</v>
      </c>
      <c r="B81" s="817" t="s">
        <v>1440</v>
      </c>
      <c r="C81" s="817" t="s">
        <v>1249</v>
      </c>
      <c r="D81" s="817" t="s">
        <v>1441</v>
      </c>
      <c r="E81" s="817" t="s">
        <v>1441</v>
      </c>
      <c r="F81" s="816" t="s">
        <v>1284</v>
      </c>
      <c r="G81" s="817" t="s">
        <v>298</v>
      </c>
      <c r="H81" s="817" t="s">
        <v>721</v>
      </c>
      <c r="I81" s="817" t="s">
        <v>346</v>
      </c>
      <c r="J81" s="818">
        <v>3523</v>
      </c>
      <c r="K81" s="818">
        <v>3523</v>
      </c>
      <c r="L81" s="818">
        <v>3523</v>
      </c>
      <c r="M81" s="818">
        <v>0</v>
      </c>
      <c r="N81" s="818">
        <v>143.72</v>
      </c>
      <c r="O81" s="818">
        <v>143.72</v>
      </c>
      <c r="P81" s="818">
        <v>0</v>
      </c>
      <c r="Q81" s="818">
        <v>1724.68</v>
      </c>
      <c r="R81" s="818">
        <v>1724.68</v>
      </c>
      <c r="S81" s="818">
        <v>0</v>
      </c>
      <c r="T81" s="816" t="s">
        <v>1442</v>
      </c>
      <c r="U81" s="818">
        <v>0</v>
      </c>
      <c r="V81" s="816" t="s">
        <v>1253</v>
      </c>
      <c r="W81" s="816" t="s">
        <v>1207</v>
      </c>
      <c r="Y81" s="859">
        <f t="shared" si="4"/>
        <v>3523</v>
      </c>
      <c r="Z81" s="858">
        <f t="shared" si="5"/>
        <v>0</v>
      </c>
      <c r="AA81" s="859">
        <f t="shared" si="6"/>
        <v>143.72</v>
      </c>
      <c r="AB81" s="820" t="s">
        <v>791</v>
      </c>
      <c r="AC81" s="815">
        <f t="shared" ref="AC81:AC89" si="7">IF((Z81-(AA81*12))&gt;0,AA81*12,Z81)</f>
        <v>0</v>
      </c>
      <c r="AD81" s="815">
        <f>IF(($Z81-($AA81*12)-SUM($AC81:AC81))&gt;0,$AA81*12,$Z81-SUM($AC81:AC81))</f>
        <v>0</v>
      </c>
      <c r="AE81" s="815">
        <f>IF(($Z81-($AA81*12)-SUM($AC81:AD81))&gt;0,$AA81*12,$Z81-SUM($AC81:AD81))</f>
        <v>0</v>
      </c>
      <c r="AF81" s="815">
        <f>IF(($Z81-($AA81*12)-SUM($AC81:AE81))&gt;0,$AA81*12,$Z81-SUM($AC81:AE81))</f>
        <v>0</v>
      </c>
      <c r="AG81" s="815">
        <f>IF(($Z81-($AA81*12)-SUM($AC81:AF81))&gt;0,$AA81*12,$Z81-SUM($AC81:AF81))</f>
        <v>0</v>
      </c>
      <c r="AH81" s="815">
        <f>IF(($Z81-($AA81*12)-SUM($AC81:AG81))&gt;0,$AA81*12,$Z81-SUM($AC81:AG81))</f>
        <v>0</v>
      </c>
      <c r="AI81" s="815">
        <f>IF(($Z81-($AA81*12)-SUM($AC81:AH81))&gt;0,$AA81*12,$Z81-SUM($AC81:AH81))</f>
        <v>0</v>
      </c>
    </row>
    <row r="82" spans="1:35" x14ac:dyDescent="0.25">
      <c r="A82" s="817" t="s">
        <v>205</v>
      </c>
      <c r="B82" s="817" t="s">
        <v>1443</v>
      </c>
      <c r="C82" s="817" t="s">
        <v>1249</v>
      </c>
      <c r="D82" s="817" t="s">
        <v>1444</v>
      </c>
      <c r="E82" s="817" t="s">
        <v>1444</v>
      </c>
      <c r="F82" s="816" t="s">
        <v>1273</v>
      </c>
      <c r="G82" s="817" t="s">
        <v>304</v>
      </c>
      <c r="H82" s="817" t="s">
        <v>1445</v>
      </c>
      <c r="I82" s="817" t="s">
        <v>346</v>
      </c>
      <c r="J82" s="818">
        <v>11240</v>
      </c>
      <c r="K82" s="818">
        <v>4683.38</v>
      </c>
      <c r="L82" s="818">
        <v>4683.38</v>
      </c>
      <c r="M82" s="818">
        <v>0</v>
      </c>
      <c r="N82" s="818">
        <v>234.16</v>
      </c>
      <c r="O82" s="818">
        <v>234.16</v>
      </c>
      <c r="P82" s="818">
        <v>0</v>
      </c>
      <c r="Q82" s="818">
        <v>2810.02</v>
      </c>
      <c r="R82" s="818">
        <v>2810.02</v>
      </c>
      <c r="S82" s="818">
        <v>0</v>
      </c>
      <c r="T82" s="816" t="s">
        <v>1446</v>
      </c>
      <c r="U82" s="818">
        <v>6556.62</v>
      </c>
      <c r="V82" s="816" t="s">
        <v>1253</v>
      </c>
      <c r="W82" s="816" t="s">
        <v>1207</v>
      </c>
      <c r="Y82" s="859">
        <f t="shared" si="4"/>
        <v>11240</v>
      </c>
      <c r="Z82" s="858">
        <f t="shared" si="5"/>
        <v>6556.62</v>
      </c>
      <c r="AA82" s="859">
        <f t="shared" si="6"/>
        <v>234.16</v>
      </c>
      <c r="AB82" s="820" t="s">
        <v>791</v>
      </c>
      <c r="AC82" s="815">
        <f t="shared" si="7"/>
        <v>2809.92</v>
      </c>
      <c r="AD82" s="815">
        <f>IF(($Z82-($AA82*12)-SUM($AC82:AC82))&gt;0,$AA82*12,$Z82-SUM($AC82:AC82))</f>
        <v>2809.92</v>
      </c>
      <c r="AE82" s="815">
        <f>IF(($Z82-($AA82*12)-SUM($AC82:AD82))&gt;0,$AA82*12,$Z82-SUM($AC82:AD82))</f>
        <v>936.77999999999975</v>
      </c>
      <c r="AF82" s="815">
        <f>IF(($Z82-($AA82*12)-SUM($AC82:AE82))&gt;0,$AA82*12,$Z82-SUM($AC82:AE82))</f>
        <v>0</v>
      </c>
      <c r="AG82" s="815">
        <f>IF(($Z82-($AA82*12)-SUM($AC82:AF82))&gt;0,$AA82*12,$Z82-SUM($AC82:AF82))</f>
        <v>0</v>
      </c>
      <c r="AH82" s="815">
        <f>IF(($Z82-($AA82*12)-SUM($AC82:AG82))&gt;0,$AA82*12,$Z82-SUM($AC82:AG82))</f>
        <v>0</v>
      </c>
      <c r="AI82" s="815">
        <f>IF(($Z82-($AA82*12)-SUM($AC82:AH82))&gt;0,$AA82*12,$Z82-SUM($AC82:AH82))</f>
        <v>0</v>
      </c>
    </row>
    <row r="83" spans="1:35" x14ac:dyDescent="0.25">
      <c r="A83" s="817" t="s">
        <v>312</v>
      </c>
      <c r="B83" s="817" t="s">
        <v>317</v>
      </c>
      <c r="C83" s="817" t="s">
        <v>1249</v>
      </c>
      <c r="D83" s="817" t="s">
        <v>1444</v>
      </c>
      <c r="E83" s="817" t="s">
        <v>1444</v>
      </c>
      <c r="F83" s="816" t="s">
        <v>1273</v>
      </c>
      <c r="G83" s="817" t="s">
        <v>304</v>
      </c>
      <c r="H83" s="817" t="s">
        <v>1445</v>
      </c>
      <c r="I83" s="817" t="s">
        <v>346</v>
      </c>
      <c r="J83" s="818">
        <v>11240</v>
      </c>
      <c r="K83" s="818">
        <v>4683.38</v>
      </c>
      <c r="L83" s="818">
        <v>4683.38</v>
      </c>
      <c r="M83" s="818">
        <v>0</v>
      </c>
      <c r="N83" s="818">
        <v>234.16</v>
      </c>
      <c r="O83" s="818">
        <v>234.16</v>
      </c>
      <c r="P83" s="818">
        <v>0</v>
      </c>
      <c r="Q83" s="818">
        <v>2810.02</v>
      </c>
      <c r="R83" s="818">
        <v>2810.02</v>
      </c>
      <c r="S83" s="818">
        <v>0</v>
      </c>
      <c r="T83" s="816" t="s">
        <v>1447</v>
      </c>
      <c r="U83" s="818">
        <v>6556.62</v>
      </c>
      <c r="V83" s="816" t="s">
        <v>1253</v>
      </c>
      <c r="W83" s="816" t="s">
        <v>1207</v>
      </c>
      <c r="Y83" s="859">
        <f t="shared" si="4"/>
        <v>11240</v>
      </c>
      <c r="Z83" s="858">
        <f t="shared" si="5"/>
        <v>6556.62</v>
      </c>
      <c r="AA83" s="859">
        <f t="shared" si="6"/>
        <v>234.16</v>
      </c>
      <c r="AB83" s="820" t="s">
        <v>791</v>
      </c>
      <c r="AC83" s="815">
        <f t="shared" si="7"/>
        <v>2809.92</v>
      </c>
      <c r="AD83" s="815">
        <f>IF(($Z83-($AA83*12)-SUM($AC83:AC83))&gt;0,$AA83*12,$Z83-SUM($AC83:AC83))</f>
        <v>2809.92</v>
      </c>
      <c r="AE83" s="815">
        <f>IF(($Z83-($AA83*12)-SUM($AC83:AD83))&gt;0,$AA83*12,$Z83-SUM($AC83:AD83))</f>
        <v>936.77999999999975</v>
      </c>
      <c r="AF83" s="815">
        <f>IF(($Z83-($AA83*12)-SUM($AC83:AE83))&gt;0,$AA83*12,$Z83-SUM($AC83:AE83))</f>
        <v>0</v>
      </c>
      <c r="AG83" s="815">
        <f>IF(($Z83-($AA83*12)-SUM($AC83:AF83))&gt;0,$AA83*12,$Z83-SUM($AC83:AF83))</f>
        <v>0</v>
      </c>
      <c r="AH83" s="815">
        <f>IF(($Z83-($AA83*12)-SUM($AC83:AG83))&gt;0,$AA83*12,$Z83-SUM($AC83:AG83))</f>
        <v>0</v>
      </c>
      <c r="AI83" s="815">
        <f>IF(($Z83-($AA83*12)-SUM($AC83:AH83))&gt;0,$AA83*12,$Z83-SUM($AC83:AH83))</f>
        <v>0</v>
      </c>
    </row>
    <row r="84" spans="1:35" x14ac:dyDescent="0.25">
      <c r="A84" s="817" t="s">
        <v>314</v>
      </c>
      <c r="B84" s="817" t="s">
        <v>1448</v>
      </c>
      <c r="C84" s="817" t="s">
        <v>1249</v>
      </c>
      <c r="D84" s="817" t="s">
        <v>1444</v>
      </c>
      <c r="E84" s="817" t="s">
        <v>1444</v>
      </c>
      <c r="F84" s="816" t="s">
        <v>1273</v>
      </c>
      <c r="G84" s="817" t="s">
        <v>304</v>
      </c>
      <c r="H84" s="817" t="s">
        <v>1445</v>
      </c>
      <c r="I84" s="817" t="s">
        <v>346</v>
      </c>
      <c r="J84" s="818">
        <v>11240</v>
      </c>
      <c r="K84" s="818">
        <v>4683.38</v>
      </c>
      <c r="L84" s="818">
        <v>4683.38</v>
      </c>
      <c r="M84" s="818">
        <v>0</v>
      </c>
      <c r="N84" s="818">
        <v>234.16</v>
      </c>
      <c r="O84" s="818">
        <v>234.16</v>
      </c>
      <c r="P84" s="818">
        <v>0</v>
      </c>
      <c r="Q84" s="818">
        <v>2810.02</v>
      </c>
      <c r="R84" s="818">
        <v>2810.02</v>
      </c>
      <c r="S84" s="818">
        <v>0</v>
      </c>
      <c r="T84" s="816" t="s">
        <v>1449</v>
      </c>
      <c r="U84" s="818">
        <v>6556.62</v>
      </c>
      <c r="V84" s="816" t="s">
        <v>1253</v>
      </c>
      <c r="W84" s="816" t="s">
        <v>1207</v>
      </c>
      <c r="Y84" s="859">
        <f t="shared" si="4"/>
        <v>11240</v>
      </c>
      <c r="Z84" s="858">
        <f t="shared" si="5"/>
        <v>6556.62</v>
      </c>
      <c r="AA84" s="859">
        <f t="shared" si="6"/>
        <v>234.16</v>
      </c>
      <c r="AB84" s="820" t="s">
        <v>791</v>
      </c>
      <c r="AC84" s="815">
        <f t="shared" si="7"/>
        <v>2809.92</v>
      </c>
      <c r="AD84" s="815">
        <f>IF(($Z84-($AA84*12)-SUM($AC84:AC84))&gt;0,$AA84*12,$Z84-SUM($AC84:AC84))</f>
        <v>2809.92</v>
      </c>
      <c r="AE84" s="815">
        <f>IF(($Z84-($AA84*12)-SUM($AC84:AD84))&gt;0,$AA84*12,$Z84-SUM($AC84:AD84))</f>
        <v>936.77999999999975</v>
      </c>
      <c r="AF84" s="815">
        <f>IF(($Z84-($AA84*12)-SUM($AC84:AE84))&gt;0,$AA84*12,$Z84-SUM($AC84:AE84))</f>
        <v>0</v>
      </c>
      <c r="AG84" s="815">
        <f>IF(($Z84-($AA84*12)-SUM($AC84:AF84))&gt;0,$AA84*12,$Z84-SUM($AC84:AF84))</f>
        <v>0</v>
      </c>
      <c r="AH84" s="815">
        <f>IF(($Z84-($AA84*12)-SUM($AC84:AG84))&gt;0,$AA84*12,$Z84-SUM($AC84:AG84))</f>
        <v>0</v>
      </c>
      <c r="AI84" s="815">
        <f>IF(($Z84-($AA84*12)-SUM($AC84:AH84))&gt;0,$AA84*12,$Z84-SUM($AC84:AH84))</f>
        <v>0</v>
      </c>
    </row>
    <row r="85" spans="1:35" x14ac:dyDescent="0.25">
      <c r="A85" s="817" t="s">
        <v>1450</v>
      </c>
      <c r="B85" s="817" t="s">
        <v>305</v>
      </c>
      <c r="C85" s="817" t="s">
        <v>1249</v>
      </c>
      <c r="D85" s="817" t="s">
        <v>1444</v>
      </c>
      <c r="E85" s="817" t="s">
        <v>1444</v>
      </c>
      <c r="F85" s="816" t="s">
        <v>1273</v>
      </c>
      <c r="G85" s="817" t="s">
        <v>304</v>
      </c>
      <c r="H85" s="817" t="s">
        <v>1445</v>
      </c>
      <c r="I85" s="817" t="s">
        <v>346</v>
      </c>
      <c r="J85" s="818">
        <v>11240</v>
      </c>
      <c r="K85" s="818">
        <v>4683.38</v>
      </c>
      <c r="L85" s="818">
        <v>4683.38</v>
      </c>
      <c r="M85" s="818">
        <v>0</v>
      </c>
      <c r="N85" s="818">
        <v>234.16</v>
      </c>
      <c r="O85" s="818">
        <v>234.16</v>
      </c>
      <c r="P85" s="818">
        <v>0</v>
      </c>
      <c r="Q85" s="818">
        <v>2810.02</v>
      </c>
      <c r="R85" s="818">
        <v>2810.02</v>
      </c>
      <c r="S85" s="818">
        <v>0</v>
      </c>
      <c r="T85" s="816" t="s">
        <v>1451</v>
      </c>
      <c r="U85" s="818">
        <v>6556.62</v>
      </c>
      <c r="V85" s="816" t="s">
        <v>1253</v>
      </c>
      <c r="W85" s="816" t="s">
        <v>1207</v>
      </c>
      <c r="Y85" s="859">
        <f t="shared" si="4"/>
        <v>11240</v>
      </c>
      <c r="Z85" s="858">
        <f t="shared" si="5"/>
        <v>6556.62</v>
      </c>
      <c r="AA85" s="859">
        <f t="shared" si="6"/>
        <v>234.16</v>
      </c>
      <c r="AB85" s="820" t="s">
        <v>791</v>
      </c>
      <c r="AC85" s="815">
        <f t="shared" si="7"/>
        <v>2809.92</v>
      </c>
      <c r="AD85" s="815">
        <f>IF(($Z85-($AA85*12)-SUM($AC85:AC85))&gt;0,$AA85*12,$Z85-SUM($AC85:AC85))</f>
        <v>2809.92</v>
      </c>
      <c r="AE85" s="815">
        <f>IF(($Z85-($AA85*12)-SUM($AC85:AD85))&gt;0,$AA85*12,$Z85-SUM($AC85:AD85))</f>
        <v>936.77999999999975</v>
      </c>
      <c r="AF85" s="815">
        <f>IF(($Z85-($AA85*12)-SUM($AC85:AE85))&gt;0,$AA85*12,$Z85-SUM($AC85:AE85))</f>
        <v>0</v>
      </c>
      <c r="AG85" s="815">
        <f>IF(($Z85-($AA85*12)-SUM($AC85:AF85))&gt;0,$AA85*12,$Z85-SUM($AC85:AF85))</f>
        <v>0</v>
      </c>
      <c r="AH85" s="815">
        <f>IF(($Z85-($AA85*12)-SUM($AC85:AG85))&gt;0,$AA85*12,$Z85-SUM($AC85:AG85))</f>
        <v>0</v>
      </c>
      <c r="AI85" s="815">
        <f>IF(($Z85-($AA85*12)-SUM($AC85:AH85))&gt;0,$AA85*12,$Z85-SUM($AC85:AH85))</f>
        <v>0</v>
      </c>
    </row>
    <row r="86" spans="1:35" x14ac:dyDescent="0.25">
      <c r="A86" s="817" t="s">
        <v>310</v>
      </c>
      <c r="B86" s="817" t="s">
        <v>1452</v>
      </c>
      <c r="C86" s="817" t="s">
        <v>1249</v>
      </c>
      <c r="D86" s="817" t="s">
        <v>1444</v>
      </c>
      <c r="E86" s="817" t="s">
        <v>1444</v>
      </c>
      <c r="F86" s="816" t="s">
        <v>1273</v>
      </c>
      <c r="G86" s="817" t="s">
        <v>304</v>
      </c>
      <c r="H86" s="817" t="s">
        <v>1445</v>
      </c>
      <c r="I86" s="817" t="s">
        <v>346</v>
      </c>
      <c r="J86" s="818">
        <v>15300</v>
      </c>
      <c r="K86" s="818">
        <v>6375</v>
      </c>
      <c r="L86" s="818">
        <v>6375</v>
      </c>
      <c r="M86" s="818">
        <v>0</v>
      </c>
      <c r="N86" s="818">
        <v>318.75</v>
      </c>
      <c r="O86" s="818">
        <v>318.75</v>
      </c>
      <c r="P86" s="818">
        <v>0</v>
      </c>
      <c r="Q86" s="818">
        <v>3825</v>
      </c>
      <c r="R86" s="818">
        <v>3825</v>
      </c>
      <c r="S86" s="818">
        <v>0</v>
      </c>
      <c r="T86" s="816" t="s">
        <v>1453</v>
      </c>
      <c r="U86" s="818">
        <v>8925</v>
      </c>
      <c r="V86" s="816" t="s">
        <v>1253</v>
      </c>
      <c r="W86" s="816" t="s">
        <v>1207</v>
      </c>
      <c r="Y86" s="859">
        <f t="shared" si="4"/>
        <v>15300</v>
      </c>
      <c r="Z86" s="858">
        <f t="shared" si="5"/>
        <v>8925</v>
      </c>
      <c r="AA86" s="859">
        <f t="shared" si="6"/>
        <v>318.75</v>
      </c>
      <c r="AB86" s="820" t="s">
        <v>791</v>
      </c>
      <c r="AC86" s="815">
        <f t="shared" si="7"/>
        <v>3825</v>
      </c>
      <c r="AD86" s="815">
        <f>IF(($Z86-($AA86*12)-SUM($AC86:AC86))&gt;0,$AA86*12,$Z86-SUM($AC86:AC86))</f>
        <v>3825</v>
      </c>
      <c r="AE86" s="815">
        <f>IF(($Z86-($AA86*12)-SUM($AC86:AD86))&gt;0,$AA86*12,$Z86-SUM($AC86:AD86))</f>
        <v>1275</v>
      </c>
      <c r="AF86" s="815">
        <f>IF(($Z86-($AA86*12)-SUM($AC86:AE86))&gt;0,$AA86*12,$Z86-SUM($AC86:AE86))</f>
        <v>0</v>
      </c>
      <c r="AG86" s="815">
        <f>IF(($Z86-($AA86*12)-SUM($AC86:AF86))&gt;0,$AA86*12,$Z86-SUM($AC86:AF86))</f>
        <v>0</v>
      </c>
      <c r="AH86" s="815">
        <f>IF(($Z86-($AA86*12)-SUM($AC86:AG86))&gt;0,$AA86*12,$Z86-SUM($AC86:AG86))</f>
        <v>0</v>
      </c>
      <c r="AI86" s="815">
        <f>IF(($Z86-($AA86*12)-SUM($AC86:AH86))&gt;0,$AA86*12,$Z86-SUM($AC86:AH86))</f>
        <v>0</v>
      </c>
    </row>
    <row r="87" spans="1:35" x14ac:dyDescent="0.25">
      <c r="A87" s="817" t="s">
        <v>340</v>
      </c>
      <c r="B87" s="817" t="s">
        <v>1454</v>
      </c>
      <c r="C87" s="817" t="s">
        <v>1249</v>
      </c>
      <c r="D87" s="817" t="s">
        <v>1444</v>
      </c>
      <c r="E87" s="817" t="s">
        <v>1444</v>
      </c>
      <c r="F87" s="816" t="s">
        <v>1273</v>
      </c>
      <c r="G87" s="817" t="s">
        <v>304</v>
      </c>
      <c r="H87" s="817" t="s">
        <v>1445</v>
      </c>
      <c r="I87" s="817" t="s">
        <v>346</v>
      </c>
      <c r="J87" s="818">
        <v>16223.29</v>
      </c>
      <c r="K87" s="818">
        <v>6759.71</v>
      </c>
      <c r="L87" s="818">
        <v>6759.71</v>
      </c>
      <c r="M87" s="818">
        <v>0</v>
      </c>
      <c r="N87" s="818">
        <v>337.98</v>
      </c>
      <c r="O87" s="818">
        <v>337.98</v>
      </c>
      <c r="P87" s="818">
        <v>0</v>
      </c>
      <c r="Q87" s="818">
        <v>4055.82</v>
      </c>
      <c r="R87" s="818">
        <v>4055.82</v>
      </c>
      <c r="S87" s="818">
        <v>0</v>
      </c>
      <c r="T87" s="816" t="s">
        <v>1455</v>
      </c>
      <c r="U87" s="818">
        <v>9463.58</v>
      </c>
      <c r="V87" s="816" t="s">
        <v>1253</v>
      </c>
      <c r="W87" s="816" t="s">
        <v>1207</v>
      </c>
      <c r="Y87" s="859">
        <f t="shared" si="4"/>
        <v>16223.29</v>
      </c>
      <c r="Z87" s="858">
        <f t="shared" si="5"/>
        <v>9463.5800000000017</v>
      </c>
      <c r="AA87" s="859">
        <f t="shared" si="6"/>
        <v>337.98</v>
      </c>
      <c r="AB87" s="820" t="s">
        <v>791</v>
      </c>
      <c r="AC87" s="815">
        <f t="shared" si="7"/>
        <v>4055.76</v>
      </c>
      <c r="AD87" s="815">
        <f>IF(($Z87-($AA87*12)-SUM($AC87:AC87))&gt;0,$AA87*12,$Z87-SUM($AC87:AC87))</f>
        <v>4055.76</v>
      </c>
      <c r="AE87" s="815">
        <f>IF(($Z87-($AA87*12)-SUM($AC87:AD87))&gt;0,$AA87*12,$Z87-SUM($AC87:AD87))</f>
        <v>1352.0600000000013</v>
      </c>
      <c r="AF87" s="815">
        <f>IF(($Z87-($AA87*12)-SUM($AC87:AE87))&gt;0,$AA87*12,$Z87-SUM($AC87:AE87))</f>
        <v>0</v>
      </c>
      <c r="AG87" s="815">
        <f>IF(($Z87-($AA87*12)-SUM($AC87:AF87))&gt;0,$AA87*12,$Z87-SUM($AC87:AF87))</f>
        <v>0</v>
      </c>
      <c r="AH87" s="815">
        <f>IF(($Z87-($AA87*12)-SUM($AC87:AG87))&gt;0,$AA87*12,$Z87-SUM($AC87:AG87))</f>
        <v>0</v>
      </c>
      <c r="AI87" s="815">
        <f>IF(($Z87-($AA87*12)-SUM($AC87:AH87))&gt;0,$AA87*12,$Z87-SUM($AC87:AH87))</f>
        <v>0</v>
      </c>
    </row>
    <row r="88" spans="1:35" x14ac:dyDescent="0.25">
      <c r="A88" s="817" t="s">
        <v>332</v>
      </c>
      <c r="B88" s="817" t="s">
        <v>1456</v>
      </c>
      <c r="C88" s="817" t="s">
        <v>1249</v>
      </c>
      <c r="D88" s="817" t="s">
        <v>1444</v>
      </c>
      <c r="E88" s="817" t="s">
        <v>1444</v>
      </c>
      <c r="F88" s="816" t="s">
        <v>1273</v>
      </c>
      <c r="G88" s="817" t="s">
        <v>304</v>
      </c>
      <c r="H88" s="817" t="s">
        <v>1445</v>
      </c>
      <c r="I88" s="817" t="s">
        <v>346</v>
      </c>
      <c r="J88" s="818">
        <v>16223.29</v>
      </c>
      <c r="K88" s="818">
        <v>6759.71</v>
      </c>
      <c r="L88" s="818">
        <v>6759.71</v>
      </c>
      <c r="M88" s="818">
        <v>0</v>
      </c>
      <c r="N88" s="818">
        <v>337.98</v>
      </c>
      <c r="O88" s="818">
        <v>337.98</v>
      </c>
      <c r="P88" s="818">
        <v>0</v>
      </c>
      <c r="Q88" s="818">
        <v>4055.82</v>
      </c>
      <c r="R88" s="818">
        <v>4055.82</v>
      </c>
      <c r="S88" s="818">
        <v>0</v>
      </c>
      <c r="T88" s="816" t="s">
        <v>1457</v>
      </c>
      <c r="U88" s="818">
        <v>9463.58</v>
      </c>
      <c r="V88" s="816" t="s">
        <v>1253</v>
      </c>
      <c r="W88" s="816" t="s">
        <v>1207</v>
      </c>
      <c r="Y88" s="859">
        <f t="shared" si="4"/>
        <v>16223.29</v>
      </c>
      <c r="Z88" s="858">
        <f t="shared" si="5"/>
        <v>9463.5800000000017</v>
      </c>
      <c r="AA88" s="859">
        <f t="shared" si="6"/>
        <v>337.98</v>
      </c>
      <c r="AB88" s="820" t="s">
        <v>791</v>
      </c>
      <c r="AC88" s="815">
        <f t="shared" si="7"/>
        <v>4055.76</v>
      </c>
      <c r="AD88" s="815">
        <f>IF(($Z88-($AA88*12)-SUM($AC88:AC88))&gt;0,$AA88*12,$Z88-SUM($AC88:AC88))</f>
        <v>4055.76</v>
      </c>
      <c r="AE88" s="815">
        <f>IF(($Z88-($AA88*12)-SUM($AC88:AD88))&gt;0,$AA88*12,$Z88-SUM($AC88:AD88))</f>
        <v>1352.0600000000013</v>
      </c>
      <c r="AF88" s="815">
        <f>IF(($Z88-($AA88*12)-SUM($AC88:AE88))&gt;0,$AA88*12,$Z88-SUM($AC88:AE88))</f>
        <v>0</v>
      </c>
      <c r="AG88" s="815">
        <f>IF(($Z88-($AA88*12)-SUM($AC88:AF88))&gt;0,$AA88*12,$Z88-SUM($AC88:AF88))</f>
        <v>0</v>
      </c>
      <c r="AH88" s="815">
        <f>IF(($Z88-($AA88*12)-SUM($AC88:AG88))&gt;0,$AA88*12,$Z88-SUM($AC88:AG88))</f>
        <v>0</v>
      </c>
      <c r="AI88" s="815">
        <f>IF(($Z88-($AA88*12)-SUM($AC88:AH88))&gt;0,$AA88*12,$Z88-SUM($AC88:AH88))</f>
        <v>0</v>
      </c>
    </row>
    <row r="89" spans="1:35" x14ac:dyDescent="0.25">
      <c r="A89" s="817" t="s">
        <v>318</v>
      </c>
      <c r="B89" s="817" t="s">
        <v>1458</v>
      </c>
      <c r="C89" s="817" t="s">
        <v>1249</v>
      </c>
      <c r="D89" s="817" t="s">
        <v>1459</v>
      </c>
      <c r="E89" s="817" t="s">
        <v>1459</v>
      </c>
      <c r="F89" s="816" t="s">
        <v>1284</v>
      </c>
      <c r="G89" s="817" t="s">
        <v>298</v>
      </c>
      <c r="H89" s="817" t="s">
        <v>1460</v>
      </c>
      <c r="I89" s="817" t="s">
        <v>346</v>
      </c>
      <c r="J89" s="818">
        <v>5938.9000000000005</v>
      </c>
      <c r="K89" s="818">
        <v>1484.71</v>
      </c>
      <c r="L89" s="818">
        <v>1484.71</v>
      </c>
      <c r="M89" s="818">
        <v>0</v>
      </c>
      <c r="N89" s="818">
        <v>247.45000000000002</v>
      </c>
      <c r="O89" s="818">
        <v>247.45000000000002</v>
      </c>
      <c r="P89" s="818">
        <v>0</v>
      </c>
      <c r="Q89" s="818">
        <v>1484.71</v>
      </c>
      <c r="R89" s="818">
        <v>1484.71</v>
      </c>
      <c r="S89" s="818">
        <v>0</v>
      </c>
      <c r="T89" s="816" t="s">
        <v>1461</v>
      </c>
      <c r="U89" s="818">
        <v>4454.1900000000005</v>
      </c>
      <c r="V89" s="816" t="s">
        <v>1253</v>
      </c>
      <c r="W89" s="816" t="s">
        <v>1207</v>
      </c>
      <c r="Y89" s="859">
        <f t="shared" si="4"/>
        <v>5938.9000000000005</v>
      </c>
      <c r="Z89" s="858">
        <f t="shared" si="5"/>
        <v>4454.1900000000005</v>
      </c>
      <c r="AA89" s="859">
        <f t="shared" si="6"/>
        <v>247.45000000000002</v>
      </c>
      <c r="AB89" s="820" t="s">
        <v>791</v>
      </c>
      <c r="AC89" s="815">
        <f t="shared" si="7"/>
        <v>2969.4</v>
      </c>
      <c r="AD89" s="815">
        <f>IF(($Z89-($AA89*12)-SUM($AC89:AC89))&gt;0,$AA89*12,$Z89-SUM($AC89:AC89))</f>
        <v>1484.7900000000004</v>
      </c>
      <c r="AE89" s="815">
        <f>IF(($Z89-($AA89*12)-SUM($AC89:AD89))&gt;0,$AA89*12,$Z89-SUM($AC89:AD89))</f>
        <v>0</v>
      </c>
      <c r="AF89" s="815">
        <f>IF(($Z89-($AA89*12)-SUM($AC89:AE89))&gt;0,$AA89*12,$Z89-SUM($AC89:AE89))</f>
        <v>0</v>
      </c>
      <c r="AG89" s="815">
        <f>IF(($Z89-($AA89*12)-SUM($AC89:AF89))&gt;0,$AA89*12,$Z89-SUM($AC89:AF89))</f>
        <v>0</v>
      </c>
      <c r="AH89" s="815">
        <f>IF(($Z89-($AA89*12)-SUM($AC89:AG89))&gt;0,$AA89*12,$Z89-SUM($AC89:AG89))</f>
        <v>0</v>
      </c>
      <c r="AI89" s="815">
        <f>IF(($Z89-($AA89*12)-SUM($AC89:AH89))&gt;0,$AA89*12,$Z89-SUM($AC89:AH89))</f>
        <v>0</v>
      </c>
    </row>
    <row r="90" spans="1:35" x14ac:dyDescent="0.25">
      <c r="A90" s="817" t="s">
        <v>1310</v>
      </c>
      <c r="B90" s="817" t="s">
        <v>1462</v>
      </c>
      <c r="C90" s="817" t="s">
        <v>1249</v>
      </c>
      <c r="D90" s="817" t="s">
        <v>1463</v>
      </c>
      <c r="E90" s="817" t="s">
        <v>1463</v>
      </c>
      <c r="F90" s="816" t="s">
        <v>1264</v>
      </c>
      <c r="G90" s="817" t="s">
        <v>304</v>
      </c>
      <c r="H90" s="817" t="s">
        <v>1464</v>
      </c>
      <c r="I90" s="817" t="s">
        <v>346</v>
      </c>
      <c r="J90" s="818">
        <v>26775.600000000002</v>
      </c>
      <c r="K90" s="818">
        <v>0</v>
      </c>
      <c r="L90" s="818">
        <v>0</v>
      </c>
      <c r="M90" s="818">
        <v>0</v>
      </c>
      <c r="N90" s="818">
        <v>0</v>
      </c>
      <c r="O90" s="818">
        <v>0</v>
      </c>
      <c r="P90" s="818">
        <v>0</v>
      </c>
      <c r="Q90" s="818">
        <v>0</v>
      </c>
      <c r="R90" s="818">
        <v>0</v>
      </c>
      <c r="S90" s="818">
        <v>0</v>
      </c>
      <c r="T90" s="816" t="s">
        <v>1465</v>
      </c>
      <c r="U90" s="818">
        <v>26775.600000000002</v>
      </c>
      <c r="V90" s="816" t="s">
        <v>1253</v>
      </c>
      <c r="W90" s="816" t="s">
        <v>1207</v>
      </c>
      <c r="Y90" s="859">
        <f t="shared" si="4"/>
        <v>26775.600000000002</v>
      </c>
      <c r="Z90" s="858">
        <f t="shared" si="5"/>
        <v>26775.600000000002</v>
      </c>
      <c r="AA90" s="859">
        <f t="shared" si="6"/>
        <v>0</v>
      </c>
    </row>
    <row r="91" spans="1:35" x14ac:dyDescent="0.25">
      <c r="A91" s="817" t="s">
        <v>337</v>
      </c>
      <c r="B91" s="817" t="s">
        <v>300</v>
      </c>
      <c r="C91" s="817" t="s">
        <v>1249</v>
      </c>
      <c r="D91" s="817" t="s">
        <v>1466</v>
      </c>
      <c r="E91" s="817" t="s">
        <v>1466</v>
      </c>
      <c r="F91" s="816" t="s">
        <v>1264</v>
      </c>
      <c r="G91" s="817" t="s">
        <v>304</v>
      </c>
      <c r="H91" s="817" t="s">
        <v>721</v>
      </c>
      <c r="I91" s="817" t="s">
        <v>346</v>
      </c>
      <c r="J91" s="818">
        <v>31353.65</v>
      </c>
      <c r="K91" s="818">
        <v>0</v>
      </c>
      <c r="L91" s="818">
        <v>0</v>
      </c>
      <c r="M91" s="818">
        <v>0</v>
      </c>
      <c r="N91" s="818">
        <v>0</v>
      </c>
      <c r="O91" s="818">
        <v>0</v>
      </c>
      <c r="P91" s="818">
        <v>0</v>
      </c>
      <c r="Q91" s="818">
        <v>0</v>
      </c>
      <c r="R91" s="818">
        <v>0</v>
      </c>
      <c r="S91" s="818">
        <v>0</v>
      </c>
      <c r="T91" s="816" t="s">
        <v>1467</v>
      </c>
      <c r="U91" s="818">
        <v>31353.65</v>
      </c>
      <c r="V91" s="816" t="s">
        <v>1253</v>
      </c>
      <c r="W91" s="816" t="s">
        <v>1207</v>
      </c>
      <c r="Y91" s="859">
        <f t="shared" si="4"/>
        <v>31353.65</v>
      </c>
      <c r="Z91" s="858">
        <f t="shared" si="5"/>
        <v>31353.65</v>
      </c>
      <c r="AA91" s="859">
        <f t="shared" si="6"/>
        <v>0</v>
      </c>
    </row>
    <row r="92" spans="1:35" x14ac:dyDescent="0.25">
      <c r="A92" s="817" t="s">
        <v>334</v>
      </c>
      <c r="B92" s="817" t="s">
        <v>1468</v>
      </c>
      <c r="C92" s="817" t="s">
        <v>1249</v>
      </c>
      <c r="D92" s="817" t="s">
        <v>1466</v>
      </c>
      <c r="E92" s="817" t="s">
        <v>1466</v>
      </c>
      <c r="F92" s="816" t="s">
        <v>1264</v>
      </c>
      <c r="G92" s="817" t="s">
        <v>304</v>
      </c>
      <c r="H92" s="817" t="s">
        <v>721</v>
      </c>
      <c r="I92" s="817" t="s">
        <v>346</v>
      </c>
      <c r="J92" s="818">
        <v>63625.590000000004</v>
      </c>
      <c r="K92" s="818">
        <v>0</v>
      </c>
      <c r="L92" s="818">
        <v>0</v>
      </c>
      <c r="M92" s="818">
        <v>0</v>
      </c>
      <c r="N92" s="818">
        <v>0</v>
      </c>
      <c r="O92" s="818">
        <v>0</v>
      </c>
      <c r="P92" s="818">
        <v>0</v>
      </c>
      <c r="Q92" s="818">
        <v>0</v>
      </c>
      <c r="R92" s="818">
        <v>0</v>
      </c>
      <c r="S92" s="818">
        <v>0</v>
      </c>
      <c r="T92" s="816" t="s">
        <v>1469</v>
      </c>
      <c r="U92" s="818">
        <v>63625.590000000004</v>
      </c>
      <c r="V92" s="816" t="s">
        <v>1253</v>
      </c>
      <c r="W92" s="816" t="s">
        <v>1207</v>
      </c>
      <c r="Y92" s="859">
        <f t="shared" si="4"/>
        <v>63625.590000000004</v>
      </c>
      <c r="Z92" s="858">
        <f t="shared" si="5"/>
        <v>63625.590000000004</v>
      </c>
      <c r="AA92" s="859">
        <f t="shared" si="6"/>
        <v>0</v>
      </c>
    </row>
    <row r="93" spans="1:35" x14ac:dyDescent="0.25">
      <c r="A93" s="817" t="s">
        <v>1313</v>
      </c>
      <c r="B93" s="817" t="s">
        <v>324</v>
      </c>
      <c r="C93" s="817" t="s">
        <v>1249</v>
      </c>
      <c r="D93" s="817" t="s">
        <v>1470</v>
      </c>
      <c r="E93" s="817" t="s">
        <v>1470</v>
      </c>
      <c r="F93" s="816" t="s">
        <v>1471</v>
      </c>
      <c r="G93" s="817" t="s">
        <v>204</v>
      </c>
      <c r="H93" s="817" t="s">
        <v>721</v>
      </c>
      <c r="I93" s="817" t="s">
        <v>346</v>
      </c>
      <c r="J93" s="818">
        <v>1042.02</v>
      </c>
      <c r="K93" s="818">
        <v>1042.02</v>
      </c>
      <c r="L93" s="818">
        <v>1042.02</v>
      </c>
      <c r="M93" s="818">
        <v>0</v>
      </c>
      <c r="N93" s="818">
        <v>0</v>
      </c>
      <c r="O93" s="818">
        <v>0</v>
      </c>
      <c r="P93" s="818">
        <v>0</v>
      </c>
      <c r="Q93" s="818">
        <v>0</v>
      </c>
      <c r="R93" s="818">
        <v>0</v>
      </c>
      <c r="S93" s="818">
        <v>0</v>
      </c>
      <c r="T93" s="816" t="s">
        <v>1472</v>
      </c>
      <c r="U93" s="818">
        <v>0</v>
      </c>
      <c r="V93" s="816" t="s">
        <v>1253</v>
      </c>
      <c r="W93" s="816" t="s">
        <v>1207</v>
      </c>
      <c r="Y93" s="859">
        <f t="shared" si="4"/>
        <v>1042.02</v>
      </c>
      <c r="Z93" s="858">
        <f t="shared" si="5"/>
        <v>0</v>
      </c>
      <c r="AA93" s="859">
        <f t="shared" si="6"/>
        <v>0</v>
      </c>
    </row>
    <row r="94" spans="1:35" x14ac:dyDescent="0.25">
      <c r="A94" s="817" t="s">
        <v>1473</v>
      </c>
      <c r="B94" s="817" t="s">
        <v>1309</v>
      </c>
      <c r="C94" s="817" t="s">
        <v>1249</v>
      </c>
      <c r="D94" s="817" t="s">
        <v>1474</v>
      </c>
      <c r="E94" s="817" t="s">
        <v>1474</v>
      </c>
      <c r="F94" s="816" t="s">
        <v>1475</v>
      </c>
      <c r="G94" s="817" t="s">
        <v>301</v>
      </c>
      <c r="H94" s="817" t="s">
        <v>721</v>
      </c>
      <c r="I94" s="817" t="s">
        <v>1254</v>
      </c>
      <c r="J94" s="818">
        <v>1862.8600000000001</v>
      </c>
      <c r="K94" s="818">
        <v>1862.8600000000001</v>
      </c>
      <c r="L94" s="818">
        <v>1862.8600000000001</v>
      </c>
      <c r="M94" s="818">
        <v>0</v>
      </c>
      <c r="N94" s="818">
        <v>0</v>
      </c>
      <c r="O94" s="818">
        <v>0</v>
      </c>
      <c r="P94" s="818">
        <v>0</v>
      </c>
      <c r="Q94" s="818">
        <v>0</v>
      </c>
      <c r="R94" s="818">
        <v>0</v>
      </c>
      <c r="S94" s="818">
        <v>0</v>
      </c>
      <c r="T94" s="816" t="s">
        <v>1476</v>
      </c>
      <c r="U94" s="818">
        <v>0</v>
      </c>
      <c r="V94" s="816" t="s">
        <v>1253</v>
      </c>
      <c r="W94" s="816" t="s">
        <v>1207</v>
      </c>
      <c r="Y94" s="859">
        <f t="shared" si="4"/>
        <v>1862.8600000000001</v>
      </c>
      <c r="Z94" s="858">
        <f t="shared" si="5"/>
        <v>0</v>
      </c>
      <c r="AA94" s="859">
        <f t="shared" si="6"/>
        <v>0</v>
      </c>
    </row>
    <row r="95" spans="1:35" x14ac:dyDescent="0.25">
      <c r="A95" s="817" t="s">
        <v>1477</v>
      </c>
      <c r="B95" s="817" t="s">
        <v>1339</v>
      </c>
      <c r="C95" s="817" t="s">
        <v>1249</v>
      </c>
      <c r="D95" s="817" t="s">
        <v>1478</v>
      </c>
      <c r="E95" s="817" t="s">
        <v>1478</v>
      </c>
      <c r="F95" s="816" t="s">
        <v>1479</v>
      </c>
      <c r="G95" s="817" t="s">
        <v>301</v>
      </c>
      <c r="H95" s="817" t="s">
        <v>721</v>
      </c>
      <c r="I95" s="817" t="s">
        <v>346</v>
      </c>
      <c r="J95" s="818">
        <v>8237.25</v>
      </c>
      <c r="K95" s="818">
        <v>8237.25</v>
      </c>
      <c r="L95" s="818">
        <v>8237.25</v>
      </c>
      <c r="M95" s="818">
        <v>0</v>
      </c>
      <c r="N95" s="818">
        <v>0</v>
      </c>
      <c r="O95" s="818">
        <v>0</v>
      </c>
      <c r="P95" s="818">
        <v>0</v>
      </c>
      <c r="Q95" s="818">
        <v>0</v>
      </c>
      <c r="R95" s="818">
        <v>0</v>
      </c>
      <c r="S95" s="818">
        <v>0</v>
      </c>
      <c r="T95" s="816" t="s">
        <v>1480</v>
      </c>
      <c r="U95" s="818">
        <v>0</v>
      </c>
      <c r="V95" s="816" t="s">
        <v>1253</v>
      </c>
      <c r="W95" s="816" t="s">
        <v>1207</v>
      </c>
      <c r="Y95" s="859">
        <f t="shared" si="4"/>
        <v>8237.25</v>
      </c>
      <c r="Z95" s="858">
        <f t="shared" si="5"/>
        <v>0</v>
      </c>
      <c r="AA95" s="859">
        <f t="shared" si="6"/>
        <v>0</v>
      </c>
    </row>
    <row r="96" spans="1:35" x14ac:dyDescent="0.25">
      <c r="A96" s="817" t="s">
        <v>325</v>
      </c>
      <c r="B96" s="817" t="s">
        <v>1365</v>
      </c>
      <c r="C96" s="817" t="s">
        <v>1249</v>
      </c>
      <c r="D96" s="817" t="s">
        <v>1481</v>
      </c>
      <c r="E96" s="817" t="s">
        <v>1481</v>
      </c>
      <c r="F96" s="816" t="s">
        <v>1471</v>
      </c>
      <c r="G96" s="817" t="s">
        <v>304</v>
      </c>
      <c r="H96" s="817" t="s">
        <v>721</v>
      </c>
      <c r="I96" s="817" t="s">
        <v>346</v>
      </c>
      <c r="J96" s="818">
        <v>3495.2400000000002</v>
      </c>
      <c r="K96" s="818">
        <v>3495.2400000000002</v>
      </c>
      <c r="L96" s="818">
        <v>3495.2400000000002</v>
      </c>
      <c r="M96" s="818">
        <v>0</v>
      </c>
      <c r="N96" s="818">
        <v>0</v>
      </c>
      <c r="O96" s="818">
        <v>0</v>
      </c>
      <c r="P96" s="818">
        <v>0</v>
      </c>
      <c r="Q96" s="818">
        <v>0</v>
      </c>
      <c r="R96" s="818">
        <v>0</v>
      </c>
      <c r="S96" s="818">
        <v>0</v>
      </c>
      <c r="T96" s="816" t="s">
        <v>1482</v>
      </c>
      <c r="U96" s="818">
        <v>0</v>
      </c>
      <c r="V96" s="816" t="s">
        <v>1253</v>
      </c>
      <c r="W96" s="816" t="s">
        <v>1207</v>
      </c>
      <c r="Y96" s="859">
        <f t="shared" si="4"/>
        <v>3495.2400000000002</v>
      </c>
      <c r="Z96" s="858">
        <f t="shared" si="5"/>
        <v>0</v>
      </c>
      <c r="AA96" s="859">
        <f t="shared" si="6"/>
        <v>0</v>
      </c>
    </row>
    <row r="97" spans="1:35" x14ac:dyDescent="0.25">
      <c r="A97" s="817" t="s">
        <v>335</v>
      </c>
      <c r="B97" s="817" t="s">
        <v>193</v>
      </c>
      <c r="C97" s="817" t="s">
        <v>1249</v>
      </c>
      <c r="D97" s="817" t="s">
        <v>1481</v>
      </c>
      <c r="E97" s="817" t="s">
        <v>1481</v>
      </c>
      <c r="F97" s="816" t="s">
        <v>1471</v>
      </c>
      <c r="G97" s="817" t="s">
        <v>304</v>
      </c>
      <c r="H97" s="817" t="s">
        <v>721</v>
      </c>
      <c r="I97" s="817" t="s">
        <v>346</v>
      </c>
      <c r="J97" s="818">
        <v>3495.2400000000002</v>
      </c>
      <c r="K97" s="818">
        <v>3495.2400000000002</v>
      </c>
      <c r="L97" s="818">
        <v>3495.2400000000002</v>
      </c>
      <c r="M97" s="818">
        <v>0</v>
      </c>
      <c r="N97" s="818">
        <v>0</v>
      </c>
      <c r="O97" s="818">
        <v>0</v>
      </c>
      <c r="P97" s="818">
        <v>0</v>
      </c>
      <c r="Q97" s="818">
        <v>0</v>
      </c>
      <c r="R97" s="818">
        <v>0</v>
      </c>
      <c r="S97" s="818">
        <v>0</v>
      </c>
      <c r="T97" s="816" t="s">
        <v>1482</v>
      </c>
      <c r="U97" s="818">
        <v>0</v>
      </c>
      <c r="V97" s="816" t="s">
        <v>1253</v>
      </c>
      <c r="W97" s="816" t="s">
        <v>1207</v>
      </c>
      <c r="Y97" s="859">
        <f t="shared" si="4"/>
        <v>3495.2400000000002</v>
      </c>
      <c r="Z97" s="858">
        <f t="shared" si="5"/>
        <v>0</v>
      </c>
      <c r="AA97" s="859">
        <f t="shared" si="6"/>
        <v>0</v>
      </c>
    </row>
    <row r="98" spans="1:35" x14ac:dyDescent="0.25">
      <c r="A98" s="817" t="s">
        <v>333</v>
      </c>
      <c r="B98" s="817" t="s">
        <v>1380</v>
      </c>
      <c r="C98" s="817" t="s">
        <v>1249</v>
      </c>
      <c r="D98" s="817" t="s">
        <v>1483</v>
      </c>
      <c r="E98" s="817" t="s">
        <v>1483</v>
      </c>
      <c r="F98" s="816" t="s">
        <v>1471</v>
      </c>
      <c r="G98" s="817" t="s">
        <v>197</v>
      </c>
      <c r="H98" s="817" t="s">
        <v>721</v>
      </c>
      <c r="I98" s="817" t="s">
        <v>346</v>
      </c>
      <c r="J98" s="818">
        <v>2693.9700000000003</v>
      </c>
      <c r="K98" s="818">
        <v>2693.9700000000003</v>
      </c>
      <c r="L98" s="818">
        <v>2693.9700000000003</v>
      </c>
      <c r="M98" s="818">
        <v>0</v>
      </c>
      <c r="N98" s="818">
        <v>0</v>
      </c>
      <c r="O98" s="818">
        <v>0</v>
      </c>
      <c r="P98" s="818">
        <v>0</v>
      </c>
      <c r="Q98" s="818">
        <v>0</v>
      </c>
      <c r="R98" s="818">
        <v>0</v>
      </c>
      <c r="S98" s="818">
        <v>0</v>
      </c>
      <c r="T98" s="816" t="s">
        <v>1482</v>
      </c>
      <c r="U98" s="818">
        <v>0</v>
      </c>
      <c r="V98" s="816" t="s">
        <v>1253</v>
      </c>
      <c r="W98" s="816" t="s">
        <v>1207</v>
      </c>
      <c r="Y98" s="859">
        <f t="shared" si="4"/>
        <v>2693.9700000000003</v>
      </c>
      <c r="Z98" s="858">
        <f t="shared" si="5"/>
        <v>0</v>
      </c>
      <c r="AA98" s="859">
        <f t="shared" si="6"/>
        <v>0</v>
      </c>
    </row>
    <row r="99" spans="1:35" x14ac:dyDescent="0.25">
      <c r="A99" s="817" t="s">
        <v>327</v>
      </c>
      <c r="B99" s="817" t="s">
        <v>1389</v>
      </c>
      <c r="C99" s="817" t="s">
        <v>1249</v>
      </c>
      <c r="D99" s="817" t="s">
        <v>1484</v>
      </c>
      <c r="E99" s="817" t="s">
        <v>1484</v>
      </c>
      <c r="F99" s="816" t="s">
        <v>1471</v>
      </c>
      <c r="G99" s="817" t="s">
        <v>197</v>
      </c>
      <c r="H99" s="817" t="s">
        <v>721</v>
      </c>
      <c r="I99" s="817" t="s">
        <v>346</v>
      </c>
      <c r="J99" s="818">
        <v>3547.2000000000003</v>
      </c>
      <c r="K99" s="818">
        <v>3547.2000000000003</v>
      </c>
      <c r="L99" s="818">
        <v>3547.2000000000003</v>
      </c>
      <c r="M99" s="818">
        <v>0</v>
      </c>
      <c r="N99" s="818">
        <v>0</v>
      </c>
      <c r="O99" s="818">
        <v>0</v>
      </c>
      <c r="P99" s="818">
        <v>0</v>
      </c>
      <c r="Q99" s="818">
        <v>0</v>
      </c>
      <c r="R99" s="818">
        <v>0</v>
      </c>
      <c r="S99" s="818">
        <v>0</v>
      </c>
      <c r="T99" s="816" t="s">
        <v>1485</v>
      </c>
      <c r="U99" s="818">
        <v>0</v>
      </c>
      <c r="V99" s="816" t="s">
        <v>1253</v>
      </c>
      <c r="W99" s="816" t="s">
        <v>1207</v>
      </c>
      <c r="Y99" s="859">
        <f t="shared" si="4"/>
        <v>3547.2000000000003</v>
      </c>
      <c r="Z99" s="858">
        <f t="shared" si="5"/>
        <v>0</v>
      </c>
      <c r="AA99" s="859">
        <f t="shared" si="6"/>
        <v>0</v>
      </c>
    </row>
    <row r="100" spans="1:35" x14ac:dyDescent="0.25">
      <c r="A100" s="817" t="s">
        <v>326</v>
      </c>
      <c r="B100" s="817" t="s">
        <v>195</v>
      </c>
      <c r="C100" s="817" t="s">
        <v>1249</v>
      </c>
      <c r="D100" s="817" t="s">
        <v>1484</v>
      </c>
      <c r="E100" s="817" t="s">
        <v>1484</v>
      </c>
      <c r="F100" s="816" t="s">
        <v>1471</v>
      </c>
      <c r="G100" s="817" t="s">
        <v>197</v>
      </c>
      <c r="H100" s="817" t="s">
        <v>721</v>
      </c>
      <c r="I100" s="817" t="s">
        <v>346</v>
      </c>
      <c r="J100" s="818">
        <v>3547.2000000000003</v>
      </c>
      <c r="K100" s="818">
        <v>3547.2000000000003</v>
      </c>
      <c r="L100" s="818">
        <v>3547.2000000000003</v>
      </c>
      <c r="M100" s="818">
        <v>0</v>
      </c>
      <c r="N100" s="818">
        <v>0</v>
      </c>
      <c r="O100" s="818">
        <v>0</v>
      </c>
      <c r="P100" s="818">
        <v>0</v>
      </c>
      <c r="Q100" s="818">
        <v>0</v>
      </c>
      <c r="R100" s="818">
        <v>0</v>
      </c>
      <c r="S100" s="818">
        <v>0</v>
      </c>
      <c r="T100" s="816" t="s">
        <v>1485</v>
      </c>
      <c r="U100" s="818">
        <v>0</v>
      </c>
      <c r="V100" s="816" t="s">
        <v>1253</v>
      </c>
      <c r="W100" s="816" t="s">
        <v>1207</v>
      </c>
      <c r="Y100" s="859">
        <f t="shared" si="4"/>
        <v>3547.2000000000003</v>
      </c>
      <c r="Z100" s="858">
        <f t="shared" si="5"/>
        <v>0</v>
      </c>
      <c r="AA100" s="859">
        <f t="shared" si="6"/>
        <v>0</v>
      </c>
    </row>
    <row r="101" spans="1:35" x14ac:dyDescent="0.25">
      <c r="A101" s="817" t="s">
        <v>307</v>
      </c>
      <c r="B101" s="817" t="s">
        <v>1392</v>
      </c>
      <c r="C101" s="817" t="s">
        <v>1249</v>
      </c>
      <c r="D101" s="817" t="s">
        <v>1484</v>
      </c>
      <c r="E101" s="817" t="s">
        <v>1484</v>
      </c>
      <c r="F101" s="816" t="s">
        <v>1486</v>
      </c>
      <c r="G101" s="817" t="s">
        <v>323</v>
      </c>
      <c r="H101" s="817" t="s">
        <v>721</v>
      </c>
      <c r="I101" s="817" t="s">
        <v>346</v>
      </c>
      <c r="J101" s="818">
        <v>16034.16</v>
      </c>
      <c r="K101" s="818">
        <v>16034.16</v>
      </c>
      <c r="L101" s="818">
        <v>16034.16</v>
      </c>
      <c r="M101" s="818">
        <v>0</v>
      </c>
      <c r="N101" s="818">
        <v>0</v>
      </c>
      <c r="O101" s="818">
        <v>0</v>
      </c>
      <c r="P101" s="818">
        <v>0</v>
      </c>
      <c r="Q101" s="818">
        <v>1083.31</v>
      </c>
      <c r="R101" s="818">
        <v>1083.31</v>
      </c>
      <c r="S101" s="818">
        <v>0</v>
      </c>
      <c r="T101" s="816" t="s">
        <v>1487</v>
      </c>
      <c r="U101" s="818">
        <v>0</v>
      </c>
      <c r="V101" s="816" t="s">
        <v>1253</v>
      </c>
      <c r="W101" s="816" t="s">
        <v>1207</v>
      </c>
      <c r="Y101" s="859">
        <f t="shared" si="4"/>
        <v>16034.16</v>
      </c>
      <c r="Z101" s="858">
        <f t="shared" si="5"/>
        <v>0</v>
      </c>
      <c r="AA101" s="859">
        <f t="shared" si="6"/>
        <v>0</v>
      </c>
    </row>
    <row r="102" spans="1:35" x14ac:dyDescent="0.25">
      <c r="A102" s="817" t="s">
        <v>303</v>
      </c>
      <c r="B102" s="817" t="s">
        <v>199</v>
      </c>
      <c r="C102" s="817" t="s">
        <v>1249</v>
      </c>
      <c r="D102" s="817" t="s">
        <v>1488</v>
      </c>
      <c r="E102" s="817" t="s">
        <v>1488</v>
      </c>
      <c r="F102" s="816" t="s">
        <v>1489</v>
      </c>
      <c r="G102" s="817" t="s">
        <v>197</v>
      </c>
      <c r="H102" s="817" t="s">
        <v>721</v>
      </c>
      <c r="I102" s="817" t="s">
        <v>346</v>
      </c>
      <c r="J102" s="818">
        <v>7777.05</v>
      </c>
      <c r="K102" s="818">
        <v>7777.05</v>
      </c>
      <c r="L102" s="818">
        <v>7777.05</v>
      </c>
      <c r="M102" s="818">
        <v>0</v>
      </c>
      <c r="N102" s="818">
        <v>0</v>
      </c>
      <c r="O102" s="818">
        <v>0</v>
      </c>
      <c r="P102" s="818">
        <v>0</v>
      </c>
      <c r="Q102" s="818">
        <v>0</v>
      </c>
      <c r="R102" s="818">
        <v>0</v>
      </c>
      <c r="S102" s="818">
        <v>0</v>
      </c>
      <c r="T102" s="816" t="s">
        <v>1490</v>
      </c>
      <c r="U102" s="818">
        <v>0</v>
      </c>
      <c r="V102" s="816" t="s">
        <v>1253</v>
      </c>
      <c r="W102" s="816" t="s">
        <v>1207</v>
      </c>
      <c r="Y102" s="859">
        <f t="shared" si="4"/>
        <v>7777.05</v>
      </c>
      <c r="Z102" s="858">
        <f t="shared" si="5"/>
        <v>0</v>
      </c>
      <c r="AA102" s="859">
        <f t="shared" si="6"/>
        <v>0</v>
      </c>
    </row>
    <row r="103" spans="1:35" x14ac:dyDescent="0.25">
      <c r="A103" s="817" t="s">
        <v>313</v>
      </c>
      <c r="B103" s="817" t="s">
        <v>325</v>
      </c>
      <c r="C103" s="817" t="s">
        <v>1249</v>
      </c>
      <c r="D103" s="817" t="s">
        <v>1491</v>
      </c>
      <c r="E103" s="817" t="s">
        <v>1491</v>
      </c>
      <c r="F103" s="816" t="s">
        <v>1471</v>
      </c>
      <c r="G103" s="817" t="s">
        <v>304</v>
      </c>
      <c r="H103" s="817" t="s">
        <v>721</v>
      </c>
      <c r="I103" s="817" t="s">
        <v>346</v>
      </c>
      <c r="J103" s="818">
        <v>2520.17</v>
      </c>
      <c r="K103" s="818">
        <v>2520.17</v>
      </c>
      <c r="L103" s="818">
        <v>2520.17</v>
      </c>
      <c r="M103" s="818">
        <v>0</v>
      </c>
      <c r="N103" s="818">
        <v>0</v>
      </c>
      <c r="O103" s="818">
        <v>0</v>
      </c>
      <c r="P103" s="818">
        <v>0</v>
      </c>
      <c r="Q103" s="818">
        <v>0</v>
      </c>
      <c r="R103" s="818">
        <v>0</v>
      </c>
      <c r="S103" s="818">
        <v>0</v>
      </c>
      <c r="T103" s="816" t="s">
        <v>1492</v>
      </c>
      <c r="U103" s="818">
        <v>0</v>
      </c>
      <c r="V103" s="816" t="s">
        <v>1253</v>
      </c>
      <c r="W103" s="816" t="s">
        <v>1207</v>
      </c>
      <c r="Y103" s="859">
        <f t="shared" si="4"/>
        <v>2520.17</v>
      </c>
      <c r="Z103" s="858">
        <f t="shared" si="5"/>
        <v>0</v>
      </c>
      <c r="AA103" s="859">
        <f t="shared" si="6"/>
        <v>0</v>
      </c>
    </row>
    <row r="104" spans="1:35" x14ac:dyDescent="0.25">
      <c r="A104" s="817" t="s">
        <v>1493</v>
      </c>
      <c r="B104" s="817" t="s">
        <v>335</v>
      </c>
      <c r="C104" s="817" t="s">
        <v>1249</v>
      </c>
      <c r="D104" s="817" t="s">
        <v>1491</v>
      </c>
      <c r="E104" s="817" t="s">
        <v>1491</v>
      </c>
      <c r="F104" s="816" t="s">
        <v>1494</v>
      </c>
      <c r="G104" s="817" t="s">
        <v>323</v>
      </c>
      <c r="H104" s="817" t="s">
        <v>1495</v>
      </c>
      <c r="I104" s="817" t="s">
        <v>346</v>
      </c>
      <c r="J104" s="818">
        <v>2500</v>
      </c>
      <c r="K104" s="818">
        <v>2032.63</v>
      </c>
      <c r="L104" s="818">
        <v>2032.63</v>
      </c>
      <c r="M104" s="818">
        <v>0</v>
      </c>
      <c r="N104" s="818">
        <v>17.309999999999999</v>
      </c>
      <c r="O104" s="818">
        <v>17.309999999999999</v>
      </c>
      <c r="P104" s="818">
        <v>0</v>
      </c>
      <c r="Q104" s="818">
        <v>207.72</v>
      </c>
      <c r="R104" s="818">
        <v>207.72</v>
      </c>
      <c r="S104" s="818">
        <v>0</v>
      </c>
      <c r="T104" s="816" t="s">
        <v>1496</v>
      </c>
      <c r="U104" s="818">
        <v>467.37</v>
      </c>
      <c r="V104" s="816" t="s">
        <v>1253</v>
      </c>
      <c r="W104" s="816" t="s">
        <v>1207</v>
      </c>
      <c r="Y104" s="859">
        <f t="shared" si="4"/>
        <v>2500</v>
      </c>
      <c r="Z104" s="858">
        <f t="shared" si="5"/>
        <v>467.36999999999989</v>
      </c>
      <c r="AA104" s="859">
        <f t="shared" si="6"/>
        <v>17.309999999999999</v>
      </c>
      <c r="AC104" s="815">
        <f>IF((Z104-(AA104*12))&gt;0,AA104*12,Z104)</f>
        <v>207.71999999999997</v>
      </c>
      <c r="AD104" s="815">
        <f>IF(($Z104-($AA104*12)-SUM($AC104:AC104))&gt;0,$AA104*12,$Z104-SUM($AC104:AC104))</f>
        <v>207.71999999999997</v>
      </c>
      <c r="AE104" s="815">
        <f>IF(($Z104-($AA104*12)-SUM($AC104:AD104))&gt;0,$AA104*12,$Z104-SUM($AC104:AD104))</f>
        <v>51.92999999999995</v>
      </c>
      <c r="AF104" s="815">
        <f>IF(($Z104-($AA104*12)-SUM($AC104:AE104))&gt;0,$AA104*12,$Z104-SUM($AC104:AE104))</f>
        <v>0</v>
      </c>
      <c r="AG104" s="815">
        <f>IF(($Z104-($AA104*12)-SUM($AC104:AF104))&gt;0,$AA104*12,$Z104-SUM($AC104:AF104))</f>
        <v>0</v>
      </c>
      <c r="AH104" s="815">
        <f>IF(($Z104-($AA104*12)-SUM($AC104:AG104))&gt;0,$AA104*12,$Z104-SUM($AC104:AG104))</f>
        <v>0</v>
      </c>
      <c r="AI104" s="815">
        <f>IF(($Z104-($AA104*12)-SUM($AC104:AH104))&gt;0,$AA104*12,$Z104-SUM($AC104:AH104))</f>
        <v>0</v>
      </c>
    </row>
    <row r="105" spans="1:35" x14ac:dyDescent="0.25">
      <c r="A105" s="817" t="s">
        <v>316</v>
      </c>
      <c r="B105" s="817" t="s">
        <v>322</v>
      </c>
      <c r="C105" s="817" t="s">
        <v>1249</v>
      </c>
      <c r="D105" s="817" t="s">
        <v>1329</v>
      </c>
      <c r="E105" s="817" t="s">
        <v>1329</v>
      </c>
      <c r="F105" s="816" t="s">
        <v>1479</v>
      </c>
      <c r="G105" s="817" t="s">
        <v>303</v>
      </c>
      <c r="H105" s="817" t="s">
        <v>1497</v>
      </c>
      <c r="I105" s="817" t="s">
        <v>346</v>
      </c>
      <c r="J105" s="818">
        <v>13199.49</v>
      </c>
      <c r="K105" s="818">
        <v>11972.95</v>
      </c>
      <c r="L105" s="818">
        <v>11972.95</v>
      </c>
      <c r="M105" s="818">
        <v>0</v>
      </c>
      <c r="N105" s="818">
        <v>136.28</v>
      </c>
      <c r="O105" s="818">
        <v>136.28</v>
      </c>
      <c r="P105" s="818">
        <v>0</v>
      </c>
      <c r="Q105" s="818">
        <v>1635.3600000000001</v>
      </c>
      <c r="R105" s="818">
        <v>1635.3600000000001</v>
      </c>
      <c r="S105" s="818">
        <v>0</v>
      </c>
      <c r="T105" s="816" t="s">
        <v>1498</v>
      </c>
      <c r="U105" s="818">
        <v>1226.54</v>
      </c>
      <c r="V105" s="816" t="s">
        <v>1253</v>
      </c>
      <c r="W105" s="816" t="s">
        <v>1207</v>
      </c>
      <c r="Y105" s="859">
        <f t="shared" si="4"/>
        <v>13199.49</v>
      </c>
      <c r="Z105" s="858">
        <f t="shared" si="5"/>
        <v>1226.5399999999991</v>
      </c>
      <c r="AA105" s="859">
        <f t="shared" si="6"/>
        <v>136.28</v>
      </c>
      <c r="AC105" s="815">
        <f t="shared" ref="AC105:AC111" si="8">IF((Z105-(AA105*12))&gt;0,AA105*12,Z105)</f>
        <v>1226.5399999999991</v>
      </c>
      <c r="AD105" s="815">
        <f>IF(($Z105-($AA105*12)-SUM($AC105:AC105))&gt;0,$AA105*12,$Z105-SUM($AC105:AC105))</f>
        <v>0</v>
      </c>
      <c r="AE105" s="815">
        <f>IF(($Z105-($AA105*12)-SUM($AC105:AD105))&gt;0,$AA105*12,$Z105-SUM($AC105:AD105))</f>
        <v>0</v>
      </c>
      <c r="AF105" s="815">
        <f>IF(($Z105-($AA105*12)-SUM($AC105:AE105))&gt;0,$AA105*12,$Z105-SUM($AC105:AE105))</f>
        <v>0</v>
      </c>
      <c r="AG105" s="815">
        <f>IF(($Z105-($AA105*12)-SUM($AC105:AF105))&gt;0,$AA105*12,$Z105-SUM($AC105:AF105))</f>
        <v>0</v>
      </c>
      <c r="AH105" s="815">
        <f>IF(($Z105-($AA105*12)-SUM($AC105:AG105))&gt;0,$AA105*12,$Z105-SUM($AC105:AG105))</f>
        <v>0</v>
      </c>
      <c r="AI105" s="815">
        <f>IF(($Z105-($AA105*12)-SUM($AC105:AH105))&gt;0,$AA105*12,$Z105-SUM($AC105:AH105))</f>
        <v>0</v>
      </c>
    </row>
    <row r="106" spans="1:35" x14ac:dyDescent="0.25">
      <c r="A106" s="817" t="s">
        <v>322</v>
      </c>
      <c r="B106" s="817" t="s">
        <v>270</v>
      </c>
      <c r="C106" s="817" t="s">
        <v>1249</v>
      </c>
      <c r="D106" s="817" t="s">
        <v>1329</v>
      </c>
      <c r="E106" s="817" t="s">
        <v>1329</v>
      </c>
      <c r="F106" s="816" t="s">
        <v>1499</v>
      </c>
      <c r="G106" s="817" t="s">
        <v>303</v>
      </c>
      <c r="H106" s="817" t="s">
        <v>1497</v>
      </c>
      <c r="I106" s="817" t="s">
        <v>346</v>
      </c>
      <c r="J106" s="818">
        <v>5788.31</v>
      </c>
      <c r="K106" s="818">
        <v>5250.43</v>
      </c>
      <c r="L106" s="818">
        <v>5250.43</v>
      </c>
      <c r="M106" s="818">
        <v>0</v>
      </c>
      <c r="N106" s="818">
        <v>59.77</v>
      </c>
      <c r="O106" s="818">
        <v>59.77</v>
      </c>
      <c r="P106" s="818">
        <v>0</v>
      </c>
      <c r="Q106" s="818">
        <v>717.14</v>
      </c>
      <c r="R106" s="818">
        <v>717.14</v>
      </c>
      <c r="S106" s="818">
        <v>0</v>
      </c>
      <c r="T106" s="816" t="s">
        <v>1500</v>
      </c>
      <c r="U106" s="818">
        <v>537.88</v>
      </c>
      <c r="V106" s="816" t="s">
        <v>1253</v>
      </c>
      <c r="W106" s="816" t="s">
        <v>1207</v>
      </c>
      <c r="Y106" s="859">
        <f t="shared" si="4"/>
        <v>5788.31</v>
      </c>
      <c r="Z106" s="858">
        <f t="shared" si="5"/>
        <v>537.88000000000011</v>
      </c>
      <c r="AA106" s="859">
        <f t="shared" si="6"/>
        <v>59.77</v>
      </c>
      <c r="AC106" s="815">
        <f t="shared" si="8"/>
        <v>537.88000000000011</v>
      </c>
      <c r="AD106" s="815">
        <f>IF(($Z106-($AA106*12)-SUM($AC106:AC106))&gt;0,$AA106*12,$Z106-SUM($AC106:AC106))</f>
        <v>0</v>
      </c>
      <c r="AE106" s="815">
        <f>IF(($Z106-($AA106*12)-SUM($AC106:AD106))&gt;0,$AA106*12,$Z106-SUM($AC106:AD106))</f>
        <v>0</v>
      </c>
      <c r="AF106" s="815">
        <f>IF(($Z106-($AA106*12)-SUM($AC106:AE106))&gt;0,$AA106*12,$Z106-SUM($AC106:AE106))</f>
        <v>0</v>
      </c>
      <c r="AG106" s="815">
        <f>IF(($Z106-($AA106*12)-SUM($AC106:AF106))&gt;0,$AA106*12,$Z106-SUM($AC106:AF106))</f>
        <v>0</v>
      </c>
      <c r="AH106" s="815">
        <f>IF(($Z106-($AA106*12)-SUM($AC106:AG106))&gt;0,$AA106*12,$Z106-SUM($AC106:AG106))</f>
        <v>0</v>
      </c>
      <c r="AI106" s="815">
        <f>IF(($Z106-($AA106*12)-SUM($AC106:AH106))&gt;0,$AA106*12,$Z106-SUM($AC106:AH106))</f>
        <v>0</v>
      </c>
    </row>
    <row r="107" spans="1:35" x14ac:dyDescent="0.25">
      <c r="A107" s="817" t="s">
        <v>178</v>
      </c>
      <c r="B107" s="817" t="s">
        <v>338</v>
      </c>
      <c r="C107" s="817" t="s">
        <v>1249</v>
      </c>
      <c r="D107" s="817" t="s">
        <v>1335</v>
      </c>
      <c r="E107" s="817" t="s">
        <v>1335</v>
      </c>
      <c r="F107" s="816" t="s">
        <v>1479</v>
      </c>
      <c r="G107" s="817" t="s">
        <v>303</v>
      </c>
      <c r="H107" s="817" t="s">
        <v>1337</v>
      </c>
      <c r="I107" s="817" t="s">
        <v>346</v>
      </c>
      <c r="J107" s="818">
        <v>30154.080000000002</v>
      </c>
      <c r="K107" s="818">
        <v>26411.58</v>
      </c>
      <c r="L107" s="818">
        <v>26411.58</v>
      </c>
      <c r="M107" s="818">
        <v>0</v>
      </c>
      <c r="N107" s="818">
        <v>311.88</v>
      </c>
      <c r="O107" s="818">
        <v>311.88</v>
      </c>
      <c r="P107" s="818">
        <v>0</v>
      </c>
      <c r="Q107" s="818">
        <v>3742.56</v>
      </c>
      <c r="R107" s="818">
        <v>3742.56</v>
      </c>
      <c r="S107" s="818">
        <v>0</v>
      </c>
      <c r="T107" s="816" t="s">
        <v>1501</v>
      </c>
      <c r="U107" s="818">
        <v>3742.5</v>
      </c>
      <c r="V107" s="816" t="s">
        <v>1253</v>
      </c>
      <c r="W107" s="816" t="s">
        <v>1207</v>
      </c>
      <c r="Y107" s="859">
        <f t="shared" si="4"/>
        <v>30154.080000000002</v>
      </c>
      <c r="Z107" s="858">
        <f t="shared" si="5"/>
        <v>3742.5</v>
      </c>
      <c r="AA107" s="859">
        <f t="shared" si="6"/>
        <v>311.88</v>
      </c>
      <c r="AC107" s="815">
        <f t="shared" si="8"/>
        <v>3742.5</v>
      </c>
      <c r="AD107" s="815">
        <f>IF(($Z107-($AA107*12)-SUM($AC107:AC107))&gt;0,$AA107*12,$Z107-SUM($AC107:AC107))</f>
        <v>0</v>
      </c>
      <c r="AE107" s="815">
        <f>IF(($Z107-($AA107*12)-SUM($AC107:AD107))&gt;0,$AA107*12,$Z107-SUM($AC107:AD107))</f>
        <v>0</v>
      </c>
      <c r="AF107" s="815">
        <f>IF(($Z107-($AA107*12)-SUM($AC107:AE107))&gt;0,$AA107*12,$Z107-SUM($AC107:AE107))</f>
        <v>0</v>
      </c>
      <c r="AG107" s="815">
        <f>IF(($Z107-($AA107*12)-SUM($AC107:AF107))&gt;0,$AA107*12,$Z107-SUM($AC107:AF107))</f>
        <v>0</v>
      </c>
      <c r="AH107" s="815">
        <f>IF(($Z107-($AA107*12)-SUM($AC107:AG107))&gt;0,$AA107*12,$Z107-SUM($AC107:AG107))</f>
        <v>0</v>
      </c>
      <c r="AI107" s="815">
        <f>IF(($Z107-($AA107*12)-SUM($AC107:AH107))&gt;0,$AA107*12,$Z107-SUM($AC107:AH107))</f>
        <v>0</v>
      </c>
    </row>
    <row r="108" spans="1:35" x14ac:dyDescent="0.25">
      <c r="A108" s="817" t="s">
        <v>1325</v>
      </c>
      <c r="B108" s="817" t="s">
        <v>306</v>
      </c>
      <c r="C108" s="817" t="s">
        <v>1249</v>
      </c>
      <c r="D108" s="817" t="s">
        <v>1335</v>
      </c>
      <c r="E108" s="817" t="s">
        <v>1335</v>
      </c>
      <c r="F108" s="816" t="s">
        <v>1479</v>
      </c>
      <c r="G108" s="817" t="s">
        <v>303</v>
      </c>
      <c r="H108" s="817" t="s">
        <v>1337</v>
      </c>
      <c r="I108" s="817" t="s">
        <v>346</v>
      </c>
      <c r="J108" s="818">
        <v>6504.88</v>
      </c>
      <c r="K108" s="818">
        <v>5697.58</v>
      </c>
      <c r="L108" s="818">
        <v>5697.58</v>
      </c>
      <c r="M108" s="818">
        <v>0</v>
      </c>
      <c r="N108" s="818">
        <v>67.27</v>
      </c>
      <c r="O108" s="818">
        <v>67.27</v>
      </c>
      <c r="P108" s="818">
        <v>0</v>
      </c>
      <c r="Q108" s="818">
        <v>807.35</v>
      </c>
      <c r="R108" s="818">
        <v>807.35</v>
      </c>
      <c r="S108" s="818">
        <v>0</v>
      </c>
      <c r="T108" s="816" t="s">
        <v>1502</v>
      </c>
      <c r="U108" s="818">
        <v>807.30000000000007</v>
      </c>
      <c r="V108" s="816" t="s">
        <v>1253</v>
      </c>
      <c r="W108" s="816" t="s">
        <v>1207</v>
      </c>
      <c r="Y108" s="859">
        <f t="shared" si="4"/>
        <v>6504.88</v>
      </c>
      <c r="Z108" s="858">
        <f t="shared" si="5"/>
        <v>807.30000000000018</v>
      </c>
      <c r="AA108" s="859">
        <f t="shared" si="6"/>
        <v>67.27</v>
      </c>
      <c r="AC108" s="815">
        <f t="shared" si="8"/>
        <v>807.24</v>
      </c>
      <c r="AD108" s="815">
        <f>IF(($Z108-($AA108*12)-SUM($AC108:AC108))&gt;0,$AA108*12,$Z108-SUM($AC108:AC108))</f>
        <v>6.0000000000172804E-2</v>
      </c>
      <c r="AE108" s="815">
        <f>IF(($Z108-($AA108*12)-SUM($AC108:AD108))&gt;0,$AA108*12,$Z108-SUM($AC108:AD108))</f>
        <v>0</v>
      </c>
      <c r="AF108" s="815">
        <f>IF(($Z108-($AA108*12)-SUM($AC108:AE108))&gt;0,$AA108*12,$Z108-SUM($AC108:AE108))</f>
        <v>0</v>
      </c>
      <c r="AG108" s="815">
        <f>IF(($Z108-($AA108*12)-SUM($AC108:AF108))&gt;0,$AA108*12,$Z108-SUM($AC108:AF108))</f>
        <v>0</v>
      </c>
      <c r="AH108" s="815">
        <f>IF(($Z108-($AA108*12)-SUM($AC108:AG108))&gt;0,$AA108*12,$Z108-SUM($AC108:AG108))</f>
        <v>0</v>
      </c>
      <c r="AI108" s="815">
        <f>IF(($Z108-($AA108*12)-SUM($AC108:AH108))&gt;0,$AA108*12,$Z108-SUM($AC108:AH108))</f>
        <v>0</v>
      </c>
    </row>
    <row r="109" spans="1:35" x14ac:dyDescent="0.25">
      <c r="A109" s="817" t="s">
        <v>308</v>
      </c>
      <c r="B109" s="817" t="s">
        <v>320</v>
      </c>
      <c r="C109" s="817" t="s">
        <v>1249</v>
      </c>
      <c r="D109" s="817" t="s">
        <v>1335</v>
      </c>
      <c r="E109" s="817" t="s">
        <v>1335</v>
      </c>
      <c r="F109" s="816" t="s">
        <v>1479</v>
      </c>
      <c r="G109" s="817" t="s">
        <v>303</v>
      </c>
      <c r="H109" s="817" t="s">
        <v>1337</v>
      </c>
      <c r="I109" s="817" t="s">
        <v>346</v>
      </c>
      <c r="J109" s="818">
        <v>2091.0300000000002</v>
      </c>
      <c r="K109" s="818">
        <v>1831.49</v>
      </c>
      <c r="L109" s="818">
        <v>1831.49</v>
      </c>
      <c r="M109" s="818">
        <v>0</v>
      </c>
      <c r="N109" s="818">
        <v>21.63</v>
      </c>
      <c r="O109" s="818">
        <v>21.63</v>
      </c>
      <c r="P109" s="818">
        <v>0</v>
      </c>
      <c r="Q109" s="818">
        <v>259.56</v>
      </c>
      <c r="R109" s="818">
        <v>259.56</v>
      </c>
      <c r="S109" s="818">
        <v>0</v>
      </c>
      <c r="T109" s="816" t="s">
        <v>1503</v>
      </c>
      <c r="U109" s="818">
        <v>259.54000000000002</v>
      </c>
      <c r="V109" s="816" t="s">
        <v>1253</v>
      </c>
      <c r="W109" s="816" t="s">
        <v>1207</v>
      </c>
      <c r="Y109" s="859">
        <f t="shared" si="4"/>
        <v>2091.0300000000002</v>
      </c>
      <c r="Z109" s="858">
        <f t="shared" si="5"/>
        <v>259.54000000000019</v>
      </c>
      <c r="AA109" s="859">
        <f t="shared" si="6"/>
        <v>21.63</v>
      </c>
      <c r="AC109" s="815">
        <f t="shared" si="8"/>
        <v>259.54000000000019</v>
      </c>
      <c r="AD109" s="815">
        <f>IF(($Z109-($AA109*12)-SUM($AC109:AC109))&gt;0,$AA109*12,$Z109-SUM($AC109:AC109))</f>
        <v>0</v>
      </c>
      <c r="AE109" s="815">
        <f>IF(($Z109-($AA109*12)-SUM($AC109:AD109))&gt;0,$AA109*12,$Z109-SUM($AC109:AD109))</f>
        <v>0</v>
      </c>
      <c r="AF109" s="815">
        <f>IF(($Z109-($AA109*12)-SUM($AC109:AE109))&gt;0,$AA109*12,$Z109-SUM($AC109:AE109))</f>
        <v>0</v>
      </c>
      <c r="AG109" s="815">
        <f>IF(($Z109-($AA109*12)-SUM($AC109:AF109))&gt;0,$AA109*12,$Z109-SUM($AC109:AF109))</f>
        <v>0</v>
      </c>
      <c r="AH109" s="815">
        <f>IF(($Z109-($AA109*12)-SUM($AC109:AG109))&gt;0,$AA109*12,$Z109-SUM($AC109:AG109))</f>
        <v>0</v>
      </c>
      <c r="AI109" s="815">
        <f>IF(($Z109-($AA109*12)-SUM($AC109:AH109))&gt;0,$AA109*12,$Z109-SUM($AC109:AH109))</f>
        <v>0</v>
      </c>
    </row>
    <row r="110" spans="1:35" x14ac:dyDescent="0.25">
      <c r="A110" s="817" t="s">
        <v>1331</v>
      </c>
      <c r="B110" s="817" t="s">
        <v>319</v>
      </c>
      <c r="C110" s="817" t="s">
        <v>1249</v>
      </c>
      <c r="D110" s="817" t="s">
        <v>1335</v>
      </c>
      <c r="E110" s="817" t="s">
        <v>1335</v>
      </c>
      <c r="F110" s="816" t="s">
        <v>1479</v>
      </c>
      <c r="G110" s="817" t="s">
        <v>303</v>
      </c>
      <c r="H110" s="817" t="s">
        <v>1337</v>
      </c>
      <c r="I110" s="817" t="s">
        <v>346</v>
      </c>
      <c r="J110" s="818">
        <v>2091.0300000000002</v>
      </c>
      <c r="K110" s="818">
        <v>1831.49</v>
      </c>
      <c r="L110" s="818">
        <v>1831.49</v>
      </c>
      <c r="M110" s="818">
        <v>0</v>
      </c>
      <c r="N110" s="818">
        <v>21.63</v>
      </c>
      <c r="O110" s="818">
        <v>21.63</v>
      </c>
      <c r="P110" s="818">
        <v>0</v>
      </c>
      <c r="Q110" s="818">
        <v>259.56</v>
      </c>
      <c r="R110" s="818">
        <v>259.56</v>
      </c>
      <c r="S110" s="818">
        <v>0</v>
      </c>
      <c r="T110" s="816" t="s">
        <v>1503</v>
      </c>
      <c r="U110" s="818">
        <v>259.54000000000002</v>
      </c>
      <c r="V110" s="816" t="s">
        <v>1253</v>
      </c>
      <c r="W110" s="816" t="s">
        <v>1207</v>
      </c>
      <c r="Y110" s="859">
        <f t="shared" si="4"/>
        <v>2091.0300000000002</v>
      </c>
      <c r="Z110" s="858">
        <f t="shared" si="5"/>
        <v>259.54000000000019</v>
      </c>
      <c r="AA110" s="859">
        <f t="shared" si="6"/>
        <v>21.63</v>
      </c>
      <c r="AC110" s="815">
        <f t="shared" si="8"/>
        <v>259.54000000000019</v>
      </c>
      <c r="AD110" s="815">
        <f>IF(($Z110-($AA110*12)-SUM($AC110:AC110))&gt;0,$AA110*12,$Z110-SUM($AC110:AC110))</f>
        <v>0</v>
      </c>
      <c r="AE110" s="815">
        <f>IF(($Z110-($AA110*12)-SUM($AC110:AD110))&gt;0,$AA110*12,$Z110-SUM($AC110:AD110))</f>
        <v>0</v>
      </c>
      <c r="AF110" s="815">
        <f>IF(($Z110-($AA110*12)-SUM($AC110:AE110))&gt;0,$AA110*12,$Z110-SUM($AC110:AE110))</f>
        <v>0</v>
      </c>
      <c r="AG110" s="815">
        <f>IF(($Z110-($AA110*12)-SUM($AC110:AF110))&gt;0,$AA110*12,$Z110-SUM($AC110:AF110))</f>
        <v>0</v>
      </c>
      <c r="AH110" s="815">
        <f>IF(($Z110-($AA110*12)-SUM($AC110:AG110))&gt;0,$AA110*12,$Z110-SUM($AC110:AG110))</f>
        <v>0</v>
      </c>
      <c r="AI110" s="815">
        <f>IF(($Z110-($AA110*12)-SUM($AC110:AH110))&gt;0,$AA110*12,$Z110-SUM($AC110:AH110))</f>
        <v>0</v>
      </c>
    </row>
    <row r="111" spans="1:35" x14ac:dyDescent="0.25">
      <c r="A111" s="817" t="s">
        <v>270</v>
      </c>
      <c r="B111" s="817" t="s">
        <v>1504</v>
      </c>
      <c r="C111" s="817" t="s">
        <v>1249</v>
      </c>
      <c r="D111" s="817" t="s">
        <v>1505</v>
      </c>
      <c r="E111" s="817" t="s">
        <v>1505</v>
      </c>
      <c r="F111" s="816" t="s">
        <v>1486</v>
      </c>
      <c r="G111" s="817" t="s">
        <v>306</v>
      </c>
      <c r="H111" s="817" t="s">
        <v>1506</v>
      </c>
      <c r="I111" s="817" t="s">
        <v>346</v>
      </c>
      <c r="J111" s="818">
        <v>24525.33</v>
      </c>
      <c r="K111" s="818">
        <v>18867.400000000001</v>
      </c>
      <c r="L111" s="818">
        <v>18867.400000000001</v>
      </c>
      <c r="M111" s="818">
        <v>0</v>
      </c>
      <c r="N111" s="818">
        <v>226.32</v>
      </c>
      <c r="O111" s="818">
        <v>226.32</v>
      </c>
      <c r="P111" s="818">
        <v>0</v>
      </c>
      <c r="Q111" s="818">
        <v>2715.84</v>
      </c>
      <c r="R111" s="818">
        <v>2715.84</v>
      </c>
      <c r="S111" s="818">
        <v>0</v>
      </c>
      <c r="T111" s="816" t="s">
        <v>1507</v>
      </c>
      <c r="U111" s="818">
        <v>5657.93</v>
      </c>
      <c r="V111" s="816" t="s">
        <v>1253</v>
      </c>
      <c r="W111" s="816" t="s">
        <v>1207</v>
      </c>
      <c r="Y111" s="859">
        <f t="shared" si="4"/>
        <v>24525.33</v>
      </c>
      <c r="Z111" s="858">
        <f t="shared" si="5"/>
        <v>5657.93</v>
      </c>
      <c r="AA111" s="859">
        <f t="shared" si="6"/>
        <v>226.32</v>
      </c>
      <c r="AC111" s="815">
        <f t="shared" si="8"/>
        <v>2715.84</v>
      </c>
      <c r="AD111" s="815">
        <f>IF(($Z111-($AA111*12)-SUM($AC111:AC111))&gt;0,$AA111*12,$Z111-SUM($AC111:AC111))</f>
        <v>2715.84</v>
      </c>
      <c r="AE111" s="815">
        <f>IF(($Z111-($AA111*12)-SUM($AC111:AD111))&gt;0,$AA111*12,$Z111-SUM($AC111:AD111))</f>
        <v>226.25</v>
      </c>
      <c r="AF111" s="815">
        <f>IF(($Z111-($AA111*12)-SUM($AC111:AE111))&gt;0,$AA111*12,$Z111-SUM($AC111:AE111))</f>
        <v>0</v>
      </c>
      <c r="AG111" s="815">
        <f>IF(($Z111-($AA111*12)-SUM($AC111:AF111))&gt;0,$AA111*12,$Z111-SUM($AC111:AF111))</f>
        <v>0</v>
      </c>
      <c r="AH111" s="815">
        <f>IF(($Z111-($AA111*12)-SUM($AC111:AG111))&gt;0,$AA111*12,$Z111-SUM($AC111:AG111))</f>
        <v>0</v>
      </c>
      <c r="AI111" s="815">
        <f>IF(($Z111-($AA111*12)-SUM($AC111:AH111))&gt;0,$AA111*12,$Z111-SUM($AC111:AH111))</f>
        <v>0</v>
      </c>
    </row>
    <row r="112" spans="1:35" x14ac:dyDescent="0.25">
      <c r="A112" s="817" t="s">
        <v>179</v>
      </c>
      <c r="B112" s="817" t="s">
        <v>341</v>
      </c>
      <c r="C112" s="817" t="s">
        <v>1249</v>
      </c>
      <c r="D112" s="817" t="s">
        <v>1352</v>
      </c>
      <c r="E112" s="817" t="s">
        <v>1352</v>
      </c>
      <c r="F112" s="816" t="s">
        <v>1471</v>
      </c>
      <c r="G112" s="817" t="s">
        <v>304</v>
      </c>
      <c r="H112" s="817" t="s">
        <v>721</v>
      </c>
      <c r="I112" s="817" t="s">
        <v>346</v>
      </c>
      <c r="J112" s="818">
        <v>4032</v>
      </c>
      <c r="K112" s="818">
        <v>4032</v>
      </c>
      <c r="L112" s="818">
        <v>4032</v>
      </c>
      <c r="M112" s="818">
        <v>0</v>
      </c>
      <c r="N112" s="818">
        <v>0</v>
      </c>
      <c r="O112" s="818">
        <v>0</v>
      </c>
      <c r="P112" s="818">
        <v>0</v>
      </c>
      <c r="Q112" s="818">
        <v>0</v>
      </c>
      <c r="R112" s="818">
        <v>0</v>
      </c>
      <c r="S112" s="818">
        <v>0</v>
      </c>
      <c r="T112" s="816" t="s">
        <v>1508</v>
      </c>
      <c r="U112" s="818">
        <v>0</v>
      </c>
      <c r="V112" s="816" t="s">
        <v>1253</v>
      </c>
      <c r="W112" s="816" t="s">
        <v>1207</v>
      </c>
      <c r="Y112" s="859">
        <f t="shared" si="4"/>
        <v>4032</v>
      </c>
      <c r="Z112" s="858">
        <f t="shared" si="5"/>
        <v>0</v>
      </c>
      <c r="AA112" s="859">
        <f t="shared" si="6"/>
        <v>0</v>
      </c>
    </row>
    <row r="113" spans="1:35" x14ac:dyDescent="0.25">
      <c r="A113" s="817" t="s">
        <v>338</v>
      </c>
      <c r="B113" s="817" t="s">
        <v>1509</v>
      </c>
      <c r="C113" s="817" t="s">
        <v>1249</v>
      </c>
      <c r="D113" s="817" t="s">
        <v>1352</v>
      </c>
      <c r="E113" s="817" t="s">
        <v>1352</v>
      </c>
      <c r="F113" s="816" t="s">
        <v>1471</v>
      </c>
      <c r="G113" s="817" t="s">
        <v>304</v>
      </c>
      <c r="H113" s="817" t="s">
        <v>721</v>
      </c>
      <c r="I113" s="817" t="s">
        <v>346</v>
      </c>
      <c r="J113" s="818">
        <v>4032</v>
      </c>
      <c r="K113" s="818">
        <v>4032</v>
      </c>
      <c r="L113" s="818">
        <v>4032</v>
      </c>
      <c r="M113" s="818">
        <v>0</v>
      </c>
      <c r="N113" s="818">
        <v>0</v>
      </c>
      <c r="O113" s="818">
        <v>0</v>
      </c>
      <c r="P113" s="818">
        <v>0</v>
      </c>
      <c r="Q113" s="818">
        <v>0</v>
      </c>
      <c r="R113" s="818">
        <v>0</v>
      </c>
      <c r="S113" s="818">
        <v>0</v>
      </c>
      <c r="T113" s="816" t="s">
        <v>1508</v>
      </c>
      <c r="U113" s="818">
        <v>0</v>
      </c>
      <c r="V113" s="816" t="s">
        <v>1253</v>
      </c>
      <c r="W113" s="816" t="s">
        <v>1207</v>
      </c>
      <c r="Y113" s="859">
        <f t="shared" si="4"/>
        <v>4032</v>
      </c>
      <c r="Z113" s="858">
        <f t="shared" si="5"/>
        <v>0</v>
      </c>
      <c r="AA113" s="859">
        <f t="shared" si="6"/>
        <v>0</v>
      </c>
    </row>
    <row r="114" spans="1:35" s="886" customFormat="1" x14ac:dyDescent="0.25">
      <c r="A114" s="883" t="s">
        <v>306</v>
      </c>
      <c r="B114" s="883" t="s">
        <v>1510</v>
      </c>
      <c r="C114" s="883" t="s">
        <v>1249</v>
      </c>
      <c r="D114" s="883" t="s">
        <v>1511</v>
      </c>
      <c r="E114" s="883" t="s">
        <v>1511</v>
      </c>
      <c r="F114" s="884" t="s">
        <v>1512</v>
      </c>
      <c r="G114" s="883" t="s">
        <v>247</v>
      </c>
      <c r="H114" s="883" t="s">
        <v>721</v>
      </c>
      <c r="I114" s="883" t="s">
        <v>346</v>
      </c>
      <c r="J114" s="885">
        <v>3630.13</v>
      </c>
      <c r="K114" s="885">
        <v>3630.13</v>
      </c>
      <c r="L114" s="885">
        <v>3630.13</v>
      </c>
      <c r="M114" s="885">
        <v>0</v>
      </c>
      <c r="N114" s="885">
        <v>0</v>
      </c>
      <c r="O114" s="885">
        <v>0</v>
      </c>
      <c r="P114" s="885">
        <v>0</v>
      </c>
      <c r="Q114" s="885">
        <v>0</v>
      </c>
      <c r="R114" s="885">
        <v>0</v>
      </c>
      <c r="S114" s="885">
        <v>0</v>
      </c>
      <c r="T114" s="884" t="s">
        <v>1513</v>
      </c>
      <c r="U114" s="885">
        <v>0</v>
      </c>
      <c r="V114" s="884" t="s">
        <v>1253</v>
      </c>
      <c r="W114" s="884" t="s">
        <v>1207</v>
      </c>
      <c r="Y114" s="887">
        <f t="shared" si="4"/>
        <v>3630.13</v>
      </c>
      <c r="Z114" s="888">
        <f t="shared" si="5"/>
        <v>0</v>
      </c>
      <c r="AA114" s="887">
        <f t="shared" si="6"/>
        <v>0</v>
      </c>
    </row>
    <row r="115" spans="1:35" x14ac:dyDescent="0.25">
      <c r="A115" s="817" t="s">
        <v>320</v>
      </c>
      <c r="B115" s="817" t="s">
        <v>1514</v>
      </c>
      <c r="C115" s="817" t="s">
        <v>1249</v>
      </c>
      <c r="D115" s="817" t="s">
        <v>1356</v>
      </c>
      <c r="E115" s="817" t="s">
        <v>1356</v>
      </c>
      <c r="F115" s="816" t="s">
        <v>1489</v>
      </c>
      <c r="G115" s="817" t="s">
        <v>304</v>
      </c>
      <c r="H115" s="817" t="s">
        <v>721</v>
      </c>
      <c r="I115" s="817" t="s">
        <v>346</v>
      </c>
      <c r="J115" s="818">
        <v>4898.5600000000004</v>
      </c>
      <c r="K115" s="818">
        <v>4898.5600000000004</v>
      </c>
      <c r="L115" s="818">
        <v>4898.5600000000004</v>
      </c>
      <c r="M115" s="818">
        <v>0</v>
      </c>
      <c r="N115" s="818">
        <v>0</v>
      </c>
      <c r="O115" s="818">
        <v>0</v>
      </c>
      <c r="P115" s="818">
        <v>0</v>
      </c>
      <c r="Q115" s="818">
        <v>0</v>
      </c>
      <c r="R115" s="818">
        <v>0</v>
      </c>
      <c r="S115" s="818">
        <v>0</v>
      </c>
      <c r="T115" s="816" t="s">
        <v>1515</v>
      </c>
      <c r="U115" s="818">
        <v>0</v>
      </c>
      <c r="V115" s="816" t="s">
        <v>1253</v>
      </c>
      <c r="W115" s="816" t="s">
        <v>1207</v>
      </c>
      <c r="Y115" s="859">
        <f t="shared" si="4"/>
        <v>4898.5600000000004</v>
      </c>
      <c r="Z115" s="858">
        <f t="shared" si="5"/>
        <v>0</v>
      </c>
      <c r="AA115" s="859">
        <f t="shared" si="6"/>
        <v>0</v>
      </c>
    </row>
    <row r="116" spans="1:35" s="886" customFormat="1" x14ac:dyDescent="0.25">
      <c r="A116" s="883" t="s">
        <v>319</v>
      </c>
      <c r="B116" s="883" t="s">
        <v>1516</v>
      </c>
      <c r="C116" s="883" t="s">
        <v>1249</v>
      </c>
      <c r="D116" s="883" t="s">
        <v>1517</v>
      </c>
      <c r="E116" s="883" t="s">
        <v>1517</v>
      </c>
      <c r="F116" s="884" t="s">
        <v>1512</v>
      </c>
      <c r="G116" s="883" t="s">
        <v>247</v>
      </c>
      <c r="H116" s="883" t="s">
        <v>721</v>
      </c>
      <c r="I116" s="883" t="s">
        <v>346</v>
      </c>
      <c r="J116" s="885">
        <v>2539.52</v>
      </c>
      <c r="K116" s="885">
        <v>2539.52</v>
      </c>
      <c r="L116" s="885">
        <v>2539.52</v>
      </c>
      <c r="M116" s="885">
        <v>0</v>
      </c>
      <c r="N116" s="885">
        <v>0</v>
      </c>
      <c r="O116" s="885">
        <v>0</v>
      </c>
      <c r="P116" s="885">
        <v>0</v>
      </c>
      <c r="Q116" s="885">
        <v>0</v>
      </c>
      <c r="R116" s="885">
        <v>0</v>
      </c>
      <c r="S116" s="885">
        <v>0</v>
      </c>
      <c r="T116" s="884" t="s">
        <v>1518</v>
      </c>
      <c r="U116" s="885">
        <v>0</v>
      </c>
      <c r="V116" s="884" t="s">
        <v>1253</v>
      </c>
      <c r="W116" s="884" t="s">
        <v>1207</v>
      </c>
      <c r="Y116" s="887">
        <f t="shared" si="4"/>
        <v>2539.52</v>
      </c>
      <c r="Z116" s="888">
        <f t="shared" si="5"/>
        <v>0</v>
      </c>
      <c r="AA116" s="887">
        <f t="shared" si="6"/>
        <v>0</v>
      </c>
    </row>
    <row r="117" spans="1:35" s="886" customFormat="1" x14ac:dyDescent="0.25">
      <c r="A117" s="883" t="s">
        <v>245</v>
      </c>
      <c r="B117" s="883" t="s">
        <v>1519</v>
      </c>
      <c r="C117" s="883" t="s">
        <v>1249</v>
      </c>
      <c r="D117" s="883" t="s">
        <v>1517</v>
      </c>
      <c r="E117" s="883" t="s">
        <v>1517</v>
      </c>
      <c r="F117" s="884" t="s">
        <v>1512</v>
      </c>
      <c r="G117" s="883" t="s">
        <v>247</v>
      </c>
      <c r="H117" s="883" t="s">
        <v>721</v>
      </c>
      <c r="I117" s="883" t="s">
        <v>346</v>
      </c>
      <c r="J117" s="885">
        <v>1974.8300000000002</v>
      </c>
      <c r="K117" s="885">
        <v>1974.8300000000002</v>
      </c>
      <c r="L117" s="885">
        <v>1974.8300000000002</v>
      </c>
      <c r="M117" s="885">
        <v>0</v>
      </c>
      <c r="N117" s="885">
        <v>0</v>
      </c>
      <c r="O117" s="885">
        <v>0</v>
      </c>
      <c r="P117" s="885">
        <v>0</v>
      </c>
      <c r="Q117" s="885">
        <v>0</v>
      </c>
      <c r="R117" s="885">
        <v>0</v>
      </c>
      <c r="S117" s="885">
        <v>0</v>
      </c>
      <c r="T117" s="884" t="s">
        <v>1520</v>
      </c>
      <c r="U117" s="885">
        <v>0</v>
      </c>
      <c r="V117" s="884" t="s">
        <v>1253</v>
      </c>
      <c r="W117" s="884" t="s">
        <v>1207</v>
      </c>
      <c r="Y117" s="887">
        <f t="shared" si="4"/>
        <v>1974.8300000000002</v>
      </c>
      <c r="Z117" s="888">
        <f t="shared" si="5"/>
        <v>0</v>
      </c>
      <c r="AA117" s="887">
        <f t="shared" si="6"/>
        <v>0</v>
      </c>
    </row>
    <row r="118" spans="1:35" x14ac:dyDescent="0.25">
      <c r="A118" s="817" t="s">
        <v>1504</v>
      </c>
      <c r="B118" s="817" t="s">
        <v>243</v>
      </c>
      <c r="C118" s="817" t="s">
        <v>1249</v>
      </c>
      <c r="D118" s="817" t="s">
        <v>1521</v>
      </c>
      <c r="E118" s="817" t="s">
        <v>1521</v>
      </c>
      <c r="F118" s="816" t="s">
        <v>1522</v>
      </c>
      <c r="G118" s="817" t="s">
        <v>304</v>
      </c>
      <c r="H118" s="817" t="s">
        <v>721</v>
      </c>
      <c r="I118" s="817" t="s">
        <v>346</v>
      </c>
      <c r="J118" s="818">
        <v>30904.3</v>
      </c>
      <c r="K118" s="818">
        <v>30904.3</v>
      </c>
      <c r="L118" s="818">
        <v>30904.3</v>
      </c>
      <c r="M118" s="818">
        <v>0</v>
      </c>
      <c r="N118" s="818">
        <v>0</v>
      </c>
      <c r="O118" s="818">
        <v>0</v>
      </c>
      <c r="P118" s="818">
        <v>0</v>
      </c>
      <c r="Q118" s="818">
        <v>0</v>
      </c>
      <c r="R118" s="818">
        <v>0</v>
      </c>
      <c r="S118" s="818">
        <v>0</v>
      </c>
      <c r="T118" s="816" t="s">
        <v>1523</v>
      </c>
      <c r="U118" s="818">
        <v>0</v>
      </c>
      <c r="V118" s="816" t="s">
        <v>1253</v>
      </c>
      <c r="W118" s="816" t="s">
        <v>1207</v>
      </c>
      <c r="Y118" s="859">
        <f t="shared" si="4"/>
        <v>30904.3</v>
      </c>
      <c r="Z118" s="858">
        <f t="shared" si="5"/>
        <v>0</v>
      </c>
      <c r="AA118" s="859">
        <f t="shared" si="6"/>
        <v>0</v>
      </c>
    </row>
    <row r="119" spans="1:35" x14ac:dyDescent="0.25">
      <c r="A119" s="817" t="s">
        <v>1340</v>
      </c>
      <c r="B119" s="817" t="s">
        <v>1524</v>
      </c>
      <c r="C119" s="817" t="s">
        <v>1249</v>
      </c>
      <c r="D119" s="817" t="s">
        <v>1525</v>
      </c>
      <c r="E119" s="817" t="s">
        <v>1525</v>
      </c>
      <c r="F119" s="816" t="s">
        <v>1479</v>
      </c>
      <c r="G119" s="817" t="s">
        <v>303</v>
      </c>
      <c r="H119" s="817" t="s">
        <v>1526</v>
      </c>
      <c r="I119" s="817" t="s">
        <v>346</v>
      </c>
      <c r="J119" s="818">
        <v>13052.93</v>
      </c>
      <c r="K119" s="818">
        <v>9120.9699999999993</v>
      </c>
      <c r="L119" s="818">
        <v>9120.9699999999993</v>
      </c>
      <c r="M119" s="818">
        <v>0</v>
      </c>
      <c r="N119" s="818">
        <v>135.59</v>
      </c>
      <c r="O119" s="818">
        <v>135.59</v>
      </c>
      <c r="P119" s="818">
        <v>0</v>
      </c>
      <c r="Q119" s="818">
        <v>1627</v>
      </c>
      <c r="R119" s="818">
        <v>1627</v>
      </c>
      <c r="S119" s="818">
        <v>0</v>
      </c>
      <c r="T119" s="816" t="s">
        <v>1527</v>
      </c>
      <c r="U119" s="818">
        <v>3931.96</v>
      </c>
      <c r="V119" s="816" t="s">
        <v>1253</v>
      </c>
      <c r="W119" s="816" t="s">
        <v>1207</v>
      </c>
      <c r="Y119" s="859">
        <f t="shared" si="4"/>
        <v>13052.93</v>
      </c>
      <c r="Z119" s="858">
        <f t="shared" si="5"/>
        <v>3931.9600000000009</v>
      </c>
      <c r="AA119" s="859">
        <f t="shared" si="6"/>
        <v>135.59</v>
      </c>
      <c r="AC119" s="815">
        <f>IF((Z119-(AA119*12))&gt;0,AA119*12,Z119)</f>
        <v>1627.08</v>
      </c>
      <c r="AD119" s="815">
        <f>IF(($Z119-($AA119*12)-SUM($AC119:AC119))&gt;0,$AA119*12,$Z119-SUM($AC119:AC119))</f>
        <v>1627.08</v>
      </c>
      <c r="AE119" s="815">
        <f>IF(($Z119-($AA119*12)-SUM($AC119:AD119))&gt;0,$AA119*12,$Z119-SUM($AC119:AD119))</f>
        <v>677.80000000000109</v>
      </c>
      <c r="AF119" s="815">
        <f>IF(($Z119-($AA119*12)-SUM($AC119:AE119))&gt;0,$AA119*12,$Z119-SUM($AC119:AE119))</f>
        <v>0</v>
      </c>
      <c r="AG119" s="815">
        <f>IF(($Z119-($AA119*12)-SUM($AC119:AF119))&gt;0,$AA119*12,$Z119-SUM($AC119:AF119))</f>
        <v>0</v>
      </c>
      <c r="AH119" s="815">
        <f>IF(($Z119-($AA119*12)-SUM($AC119:AG119))&gt;0,$AA119*12,$Z119-SUM($AC119:AG119))</f>
        <v>0</v>
      </c>
      <c r="AI119" s="815">
        <f>IF(($Z119-($AA119*12)-SUM($AC119:AH119))&gt;0,$AA119*12,$Z119-SUM($AC119:AH119))</f>
        <v>0</v>
      </c>
    </row>
    <row r="120" spans="1:35" x14ac:dyDescent="0.25">
      <c r="Y120" s="859">
        <f>SUM(Y7:Y119)</f>
        <v>2433790.7000000011</v>
      </c>
      <c r="Z120" s="815">
        <f>[6]Foaia1!$Z$120</f>
        <v>470282.7900000001</v>
      </c>
    </row>
    <row r="121" spans="1:35" x14ac:dyDescent="0.25">
      <c r="X121" s="820" t="s">
        <v>791</v>
      </c>
      <c r="Y121" s="640">
        <f>SUMIF($AB$7:$AB$119,X121,$Y$7:$Y$119)</f>
        <v>675583.70000000007</v>
      </c>
      <c r="Z121" s="819">
        <f>'HRC1218'!K29+'HRC1218'!K31</f>
        <v>1757193.0599999998</v>
      </c>
    </row>
    <row r="122" spans="1:35" x14ac:dyDescent="0.25">
      <c r="X122" s="820" t="s">
        <v>802</v>
      </c>
      <c r="Y122" s="640">
        <f>SUMIF($AB$7:$AB$119,X122,$Y$7:$Y$119)</f>
        <v>0</v>
      </c>
      <c r="Z122" s="819">
        <f>'HRC1218'!K34</f>
        <v>208177.71</v>
      </c>
    </row>
    <row r="123" spans="1:35" x14ac:dyDescent="0.25">
      <c r="Y123" s="640"/>
    </row>
    <row r="124" spans="1:35" x14ac:dyDescent="0.25">
      <c r="X124" s="820" t="s">
        <v>791</v>
      </c>
      <c r="Y124" s="640">
        <f>SUMIF($AB$7:$AB$119,X124,$Z$7:$Z$119)</f>
        <v>225764.81</v>
      </c>
    </row>
    <row r="125" spans="1:35" x14ac:dyDescent="0.25">
      <c r="X125" s="820" t="s">
        <v>802</v>
      </c>
      <c r="Y125" s="640">
        <f>SUMIF($AB$7:$AB$119,X125,$Z$7:$Z$119)</f>
        <v>0</v>
      </c>
    </row>
  </sheetData>
  <mergeCells count="9">
    <mergeCell ref="K5:M5"/>
    <mergeCell ref="N5:P5"/>
    <mergeCell ref="Q5:S5"/>
    <mergeCell ref="A1:T1"/>
    <mergeCell ref="U1:W1"/>
    <mergeCell ref="A2:W3"/>
    <mergeCell ref="K4:M4"/>
    <mergeCell ref="N4:P4"/>
    <mergeCell ref="Q4:S4"/>
  </mergeCells>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0">
    <tabColor theme="5" tint="-0.249977111117893"/>
    <outlinePr summaryBelow="0" summaryRight="0"/>
  </sheetPr>
  <dimension ref="A1:Z104"/>
  <sheetViews>
    <sheetView showGridLines="0" zoomScale="85" zoomScaleNormal="85" workbookViewId="0">
      <pane xSplit="9" ySplit="4" topLeftCell="J28" activePane="bottomRight" state="frozen"/>
      <selection activeCell="M46" sqref="M46"/>
      <selection pane="topRight" activeCell="M46" sqref="M46"/>
      <selection pane="bottomLeft" activeCell="M46" sqref="M46"/>
      <selection pane="bottomRight" activeCell="M63" sqref="M63"/>
    </sheetView>
  </sheetViews>
  <sheetFormatPr defaultColWidth="0" defaultRowHeight="12" customHeight="1" outlineLevelRow="2" outlineLevelCol="1" x14ac:dyDescent="0.25"/>
  <cols>
    <col min="1" max="1" width="2.6640625" style="9" customWidth="1"/>
    <col min="2" max="4" width="5.6640625" style="9" customWidth="1"/>
    <col min="5" max="5" width="2.6640625" style="9" customWidth="1"/>
    <col min="6" max="6" width="55.6640625" style="10" customWidth="1"/>
    <col min="7" max="7" width="10.6640625" style="10" customWidth="1"/>
    <col min="8" max="8" width="10.6640625" style="11" customWidth="1"/>
    <col min="9" max="9" width="2.6640625" style="10" customWidth="1"/>
    <col min="10" max="17" width="10.6640625" style="12" customWidth="1"/>
    <col min="18" max="18" width="10.6640625" style="12" customWidth="1" collapsed="1"/>
    <col min="19" max="20" width="10.6640625" style="12" hidden="1" customWidth="1" outlineLevel="1"/>
    <col min="21" max="21" width="2.6640625" style="12" customWidth="1"/>
    <col min="22" max="24" width="9.109375" style="13" customWidth="1"/>
    <col min="25" max="25" width="25.6640625" style="10" customWidth="1"/>
    <col min="26" max="16384" width="10.33203125" style="12" hidden="1"/>
  </cols>
  <sheetData>
    <row r="1" spans="1:25" s="6" customFormat="1" ht="12" customHeight="1" x14ac:dyDescent="0.25">
      <c r="A1" s="1" t="str">
        <f ca="1">MID(CELL("filename"),SEARCH("[",CELL("filename"))+1, SEARCH("]",CELL("filename"))-SEARCH("[",CELL("filename"))-1)</f>
        <v>Project Horeco_190409_1810.xlsm</v>
      </c>
      <c r="B1" s="1"/>
      <c r="C1" s="1"/>
      <c r="D1" s="1"/>
      <c r="E1" s="1"/>
      <c r="F1" s="1"/>
      <c r="G1" s="1"/>
      <c r="H1" s="2"/>
      <c r="I1" s="1"/>
      <c r="J1" s="3">
        <f>'1.0.Model timing'!J9</f>
        <v>42370</v>
      </c>
      <c r="K1" s="3">
        <f>'1.0.Model timing'!K9</f>
        <v>42736</v>
      </c>
      <c r="L1" s="3">
        <f>'1.0.Model timing'!L9</f>
        <v>43101</v>
      </c>
      <c r="M1" s="3">
        <f>'1.0.Model timing'!M9</f>
        <v>43466</v>
      </c>
      <c r="N1" s="3">
        <f>'1.0.Model timing'!N9</f>
        <v>43831</v>
      </c>
      <c r="O1" s="3">
        <f>'1.0.Model timing'!O9</f>
        <v>44197</v>
      </c>
      <c r="P1" s="3">
        <f>'1.0.Model timing'!P9</f>
        <v>44562</v>
      </c>
      <c r="Q1" s="3">
        <f>'1.0.Model timing'!Q9</f>
        <v>44927</v>
      </c>
      <c r="R1" s="3">
        <f>'1.0.Model timing'!R9</f>
        <v>45292</v>
      </c>
      <c r="S1" s="3">
        <f>'1.0.Model timing'!S9</f>
        <v>45658</v>
      </c>
      <c r="T1" s="3">
        <f>'1.0.Model timing'!T9</f>
        <v>46023</v>
      </c>
      <c r="U1" s="4"/>
      <c r="V1" s="5"/>
      <c r="W1" s="5"/>
      <c r="X1" s="5"/>
      <c r="Y1" s="1" t="s">
        <v>11</v>
      </c>
    </row>
    <row r="2" spans="1:25" s="6" customFormat="1" ht="12" customHeight="1" x14ac:dyDescent="0.25">
      <c r="A2" s="1" t="str">
        <f ca="1">RIGHT(CELL("filename",A2),LEN(CELL("filename",A2))-FIND("]",CELL("filename",A2)))</f>
        <v>2.1. Working LT assets</v>
      </c>
      <c r="B2" s="1"/>
      <c r="C2" s="1"/>
      <c r="D2" s="1"/>
      <c r="E2" s="1"/>
      <c r="F2" s="1"/>
      <c r="G2" s="1"/>
      <c r="H2" s="2"/>
      <c r="I2" s="1"/>
      <c r="J2" s="3">
        <f>'1.0.Model timing'!J10</f>
        <v>42735</v>
      </c>
      <c r="K2" s="3">
        <f>'1.0.Model timing'!K10</f>
        <v>43100</v>
      </c>
      <c r="L2" s="3">
        <f>'1.0.Model timing'!L10</f>
        <v>43465</v>
      </c>
      <c r="M2" s="3">
        <f>'1.0.Model timing'!M10</f>
        <v>43830</v>
      </c>
      <c r="N2" s="3">
        <f>'1.0.Model timing'!N10</f>
        <v>44196</v>
      </c>
      <c r="O2" s="3">
        <f>'1.0.Model timing'!O10</f>
        <v>44561</v>
      </c>
      <c r="P2" s="3">
        <f>'1.0.Model timing'!P10</f>
        <v>44926</v>
      </c>
      <c r="Q2" s="3">
        <f>'1.0.Model timing'!Q10</f>
        <v>45291</v>
      </c>
      <c r="R2" s="3">
        <f>'1.0.Model timing'!R10</f>
        <v>45657</v>
      </c>
      <c r="S2" s="3">
        <f>'1.0.Model timing'!S10</f>
        <v>46022</v>
      </c>
      <c r="T2" s="3">
        <f>'1.0.Model timing'!T10</f>
        <v>46387</v>
      </c>
      <c r="U2" s="4"/>
      <c r="V2" s="5"/>
      <c r="W2" s="5"/>
      <c r="X2" s="5"/>
      <c r="Y2" s="1"/>
    </row>
    <row r="3" spans="1:25" s="6" customFormat="1" ht="12" customHeight="1" x14ac:dyDescent="0.25">
      <c r="A3" s="1"/>
      <c r="B3" s="1"/>
      <c r="C3" s="1"/>
      <c r="D3" s="1"/>
      <c r="E3" s="1"/>
      <c r="F3" s="1"/>
      <c r="G3" s="1"/>
      <c r="H3" s="2"/>
      <c r="I3" s="1"/>
      <c r="J3" s="7">
        <f>'1.0.Model timing'!J11</f>
        <v>2016</v>
      </c>
      <c r="K3" s="7">
        <f>'1.0.Model timing'!K12</f>
        <v>2</v>
      </c>
      <c r="L3" s="7">
        <f>'1.0.Model timing'!L12</f>
        <v>3</v>
      </c>
      <c r="M3" s="7">
        <f>'1.0.Model timing'!M12</f>
        <v>4</v>
      </c>
      <c r="N3" s="7">
        <f>'1.0.Model timing'!N12</f>
        <v>5</v>
      </c>
      <c r="O3" s="7">
        <f>'1.0.Model timing'!O12</f>
        <v>6</v>
      </c>
      <c r="P3" s="7">
        <f>'1.0.Model timing'!P12</f>
        <v>7</v>
      </c>
      <c r="Q3" s="7">
        <f>'1.0.Model timing'!Q12</f>
        <v>8</v>
      </c>
      <c r="R3" s="7">
        <f>'1.0.Model timing'!R12</f>
        <v>9</v>
      </c>
      <c r="S3" s="7">
        <f>'1.0.Model timing'!S12</f>
        <v>10</v>
      </c>
      <c r="T3" s="7">
        <f>'1.0.Model timing'!T12</f>
        <v>11</v>
      </c>
      <c r="U3" s="4"/>
      <c r="V3" s="5" t="s">
        <v>9</v>
      </c>
      <c r="W3" s="5" t="s">
        <v>10</v>
      </c>
      <c r="X3" s="5" t="s">
        <v>9</v>
      </c>
      <c r="Y3" s="1"/>
    </row>
    <row r="4" spans="1:25" s="6" customFormat="1" ht="12" customHeight="1" x14ac:dyDescent="0.25">
      <c r="A4" s="1"/>
      <c r="B4" s="1"/>
      <c r="C4" s="1"/>
      <c r="D4" s="1"/>
      <c r="E4" s="1"/>
      <c r="F4" s="1"/>
      <c r="G4" s="1" t="s">
        <v>8</v>
      </c>
      <c r="H4" s="2" t="s">
        <v>7</v>
      </c>
      <c r="I4" s="1"/>
      <c r="J4" s="8" t="str">
        <f>'1.0.Model timing'!J15</f>
        <v>Actual</v>
      </c>
      <c r="K4" s="8" t="str">
        <f>'1.0.Model timing'!K15</f>
        <v>Actual</v>
      </c>
      <c r="L4" s="8" t="str">
        <f>'1.0.Model timing'!L15</f>
        <v>Actual</v>
      </c>
      <c r="M4" s="8" t="str">
        <f>'1.0.Model timing'!M15</f>
        <v>Forecast</v>
      </c>
      <c r="N4" s="8" t="str">
        <f>'1.0.Model timing'!N15</f>
        <v>Forecast</v>
      </c>
      <c r="O4" s="8" t="str">
        <f>'1.0.Model timing'!O15</f>
        <v>Forecast</v>
      </c>
      <c r="P4" s="8" t="str">
        <f>'1.0.Model timing'!P15</f>
        <v>Forecast</v>
      </c>
      <c r="Q4" s="8" t="str">
        <f>'1.0.Model timing'!Q15</f>
        <v>Forecast</v>
      </c>
      <c r="R4" s="8" t="str">
        <f>'1.0.Model timing'!R15</f>
        <v>Forecast</v>
      </c>
      <c r="S4" s="8" t="str">
        <f>'1.0.Model timing'!S15</f>
        <v>Forecast</v>
      </c>
      <c r="T4" s="8" t="str">
        <f>'1.0.Model timing'!T15</f>
        <v>Forecast</v>
      </c>
      <c r="U4" s="4"/>
      <c r="V4" s="5" t="s">
        <v>723</v>
      </c>
      <c r="W4" s="5" t="s">
        <v>724</v>
      </c>
      <c r="X4" s="5" t="s">
        <v>725</v>
      </c>
      <c r="Y4" s="1"/>
    </row>
    <row r="6" spans="1:25" ht="12" customHeight="1" x14ac:dyDescent="0.25">
      <c r="A6" s="14">
        <f ca="1">MAX($A$1:A5)+1</f>
        <v>1</v>
      </c>
      <c r="B6" s="15" t="s">
        <v>78</v>
      </c>
      <c r="C6" s="15"/>
      <c r="D6" s="15"/>
      <c r="E6" s="15"/>
      <c r="F6" s="16"/>
      <c r="G6" s="17"/>
      <c r="H6" s="18"/>
      <c r="I6" s="17"/>
      <c r="J6" s="19"/>
      <c r="K6" s="19"/>
      <c r="L6" s="19"/>
      <c r="M6" s="19"/>
      <c r="N6" s="19"/>
      <c r="O6" s="19"/>
      <c r="P6" s="19"/>
      <c r="Q6" s="19"/>
      <c r="R6" s="19"/>
      <c r="S6" s="19"/>
      <c r="T6" s="19"/>
      <c r="U6" s="19"/>
      <c r="V6" s="20"/>
      <c r="W6" s="20"/>
      <c r="X6" s="20"/>
      <c r="Y6" s="21"/>
    </row>
    <row r="7" spans="1:25" ht="12" customHeight="1" outlineLevel="1" x14ac:dyDescent="0.25">
      <c r="H7" s="22"/>
      <c r="J7" s="108"/>
      <c r="K7" s="108"/>
      <c r="L7" s="108"/>
      <c r="M7" s="287">
        <f>'1.1.Macroeconomic'!M10</f>
        <v>4.6638999999999999</v>
      </c>
      <c r="N7" s="287">
        <f>'1.1.Macroeconomic'!N10</f>
        <v>4.6535000000000002</v>
      </c>
      <c r="O7" s="287">
        <f>'1.1.Macroeconomic'!O10</f>
        <v>4.6535000000000002</v>
      </c>
      <c r="P7" s="287">
        <f>'1.1.Macroeconomic'!P10</f>
        <v>4.6535000000000002</v>
      </c>
      <c r="Q7" s="287">
        <f>'1.1.Macroeconomic'!Q10</f>
        <v>4.6535000000000002</v>
      </c>
      <c r="R7" s="287">
        <f>'1.1.Macroeconomic'!R10</f>
        <v>4.6535000000000002</v>
      </c>
      <c r="S7" s="287">
        <f>'1.1.Macroeconomic'!S10</f>
        <v>0</v>
      </c>
      <c r="T7" s="287">
        <f>'1.1.Macroeconomic'!T10</f>
        <v>0</v>
      </c>
      <c r="U7" s="118"/>
      <c r="V7" s="225"/>
      <c r="W7" s="225"/>
      <c r="X7" s="225"/>
      <c r="Y7" s="24"/>
    </row>
    <row r="8" spans="1:25" ht="12" customHeight="1" outlineLevel="1" x14ac:dyDescent="0.25">
      <c r="A8" s="39"/>
      <c r="G8" s="105"/>
      <c r="H8" s="127"/>
      <c r="J8" s="108"/>
      <c r="K8" s="108"/>
      <c r="L8" s="108"/>
      <c r="M8" s="108"/>
      <c r="N8" s="108"/>
      <c r="O8" s="108"/>
      <c r="P8" s="108"/>
      <c r="Q8" s="108"/>
      <c r="R8" s="108"/>
      <c r="S8" s="108"/>
      <c r="T8" s="108"/>
      <c r="U8" s="118"/>
      <c r="V8" s="225"/>
      <c r="W8" s="225"/>
      <c r="X8" s="225"/>
      <c r="Y8" s="24"/>
    </row>
    <row r="9" spans="1:25" ht="12" customHeight="1" outlineLevel="1" x14ac:dyDescent="0.25">
      <c r="A9" s="39"/>
      <c r="H9" s="22"/>
      <c r="J9" s="108"/>
      <c r="K9" s="108"/>
      <c r="L9" s="108"/>
      <c r="M9" s="108"/>
      <c r="N9" s="108"/>
      <c r="O9" s="108"/>
      <c r="P9" s="108"/>
      <c r="Q9" s="108"/>
      <c r="R9" s="108"/>
      <c r="S9" s="108"/>
      <c r="T9" s="108"/>
      <c r="U9" s="118"/>
      <c r="V9" s="220"/>
      <c r="W9" s="220"/>
      <c r="X9" s="220"/>
      <c r="Y9" s="24"/>
    </row>
    <row r="10" spans="1:25" ht="12" customHeight="1" outlineLevel="1" x14ac:dyDescent="0.25">
      <c r="A10" s="39"/>
      <c r="B10" s="25">
        <f ca="1">MAX($A$1:B7)+0.1</f>
        <v>1.1000000000000001</v>
      </c>
      <c r="C10" s="9" t="str">
        <f>'1.3.Historical BS'!D9</f>
        <v>Intangible assets</v>
      </c>
      <c r="D10" s="10"/>
      <c r="H10" s="22"/>
      <c r="J10" s="293"/>
      <c r="K10" s="293"/>
      <c r="L10" s="293"/>
      <c r="M10" s="293"/>
      <c r="N10" s="108"/>
      <c r="O10" s="108"/>
      <c r="P10" s="108"/>
      <c r="Q10" s="108"/>
      <c r="R10" s="108"/>
      <c r="S10" s="108"/>
      <c r="T10" s="108"/>
      <c r="U10" s="118"/>
      <c r="V10" s="220">
        <f t="shared" ref="V10:V36" si="0">IF(ISERROR((($L10/$J10)^(1/($L$3-$J$3))-1)),0,(($L10/$J10)^(1/($L$3-$J$3))-1))</f>
        <v>0</v>
      </c>
      <c r="W10" s="220">
        <f t="shared" ref="W10:W36" si="1">IF(ISERROR($M10/$L10-1),0,$M10/$L10-1)</f>
        <v>0</v>
      </c>
      <c r="X10" s="220">
        <f>IF(ISERROR((($P10/$M10)^(1/($P$3-$M$3))-1)),0,(($P10/$M10)^(1/($P$3-$M$3))-1))</f>
        <v>0</v>
      </c>
      <c r="Y10" s="504"/>
    </row>
    <row r="11" spans="1:25" ht="12" customHeight="1" outlineLevel="2" x14ac:dyDescent="0.25">
      <c r="A11" s="39"/>
      <c r="B11" s="25"/>
      <c r="D11" s="10" t="s">
        <v>84</v>
      </c>
      <c r="G11" s="10" t="str">
        <f>"EUR "&amp;Multiplier</f>
        <v>EUR thd</v>
      </c>
      <c r="H11" s="22"/>
      <c r="J11" s="117">
        <f t="shared" ref="J11:P11" si="2">I15</f>
        <v>0</v>
      </c>
      <c r="K11" s="117">
        <f t="shared" si="2"/>
        <v>2.3013631058554092</v>
      </c>
      <c r="L11" s="117">
        <f t="shared" si="2"/>
        <v>1.1124214005193462</v>
      </c>
      <c r="M11" s="117">
        <f t="shared" si="2"/>
        <v>1.1904886468406277</v>
      </c>
      <c r="N11" s="117">
        <f t="shared" si="2"/>
        <v>1.1904886468406277</v>
      </c>
      <c r="O11" s="117">
        <f t="shared" si="2"/>
        <v>1.1904886468406277</v>
      </c>
      <c r="P11" s="117">
        <f t="shared" si="2"/>
        <v>1.1904886468406277</v>
      </c>
      <c r="Q11" s="117">
        <f t="shared" ref="Q11" si="3">P15</f>
        <v>1.1904886468406277</v>
      </c>
      <c r="R11" s="117">
        <f t="shared" ref="R11" si="4">Q15</f>
        <v>1.1904886468406277</v>
      </c>
      <c r="S11" s="128"/>
      <c r="T11" s="128"/>
      <c r="U11" s="118"/>
      <c r="V11" s="220">
        <f t="shared" si="0"/>
        <v>0</v>
      </c>
      <c r="W11" s="220">
        <f t="shared" si="1"/>
        <v>7.0177763826581252E-2</v>
      </c>
      <c r="X11" s="220">
        <f t="shared" ref="X11:X30" si="5">IF(ISERROR((($P11/$M11)^(1/($P$3-$M$3))-1)),0,(($P11/$M11)^(1/($P$3-$M$3))-1))</f>
        <v>0</v>
      </c>
      <c r="Y11" s="504" t="s">
        <v>240</v>
      </c>
    </row>
    <row r="12" spans="1:25" ht="12" customHeight="1" outlineLevel="2" x14ac:dyDescent="0.25">
      <c r="A12" s="39"/>
      <c r="B12" s="25"/>
      <c r="D12" s="10" t="s">
        <v>75</v>
      </c>
      <c r="G12" s="10" t="str">
        <f>"EUR "&amp;Multiplier</f>
        <v>EUR thd</v>
      </c>
      <c r="H12" s="22"/>
      <c r="J12" s="128"/>
      <c r="K12" s="128"/>
      <c r="L12" s="128"/>
      <c r="M12" s="128"/>
      <c r="N12" s="128"/>
      <c r="O12" s="128"/>
      <c r="P12" s="128"/>
      <c r="Q12" s="128"/>
      <c r="R12" s="128"/>
      <c r="S12" s="128"/>
      <c r="T12" s="128"/>
      <c r="U12" s="118"/>
      <c r="V12" s="220">
        <f t="shared" si="0"/>
        <v>0</v>
      </c>
      <c r="W12" s="220">
        <f t="shared" si="1"/>
        <v>0</v>
      </c>
      <c r="X12" s="220">
        <f t="shared" si="5"/>
        <v>0</v>
      </c>
      <c r="Y12" s="504" t="s">
        <v>240</v>
      </c>
    </row>
    <row r="13" spans="1:25" ht="12" customHeight="1" outlineLevel="1" x14ac:dyDescent="0.25">
      <c r="A13" s="39"/>
      <c r="B13" s="25"/>
      <c r="D13" s="74" t="s">
        <v>77</v>
      </c>
      <c r="E13" s="50"/>
      <c r="F13" s="50"/>
      <c r="G13" s="50" t="str">
        <f>"EUR "&amp;Multiplier</f>
        <v>EUR thd</v>
      </c>
      <c r="H13" s="75"/>
      <c r="I13" s="50"/>
      <c r="J13" s="128"/>
      <c r="K13" s="128"/>
      <c r="L13" s="128"/>
      <c r="M13" s="294"/>
      <c r="N13" s="294"/>
      <c r="O13" s="294"/>
      <c r="P13" s="294"/>
      <c r="Q13" s="294"/>
      <c r="R13" s="294"/>
      <c r="S13" s="128"/>
      <c r="T13" s="128"/>
      <c r="U13" s="118"/>
      <c r="V13" s="220">
        <f t="shared" si="0"/>
        <v>0</v>
      </c>
      <c r="W13" s="220">
        <f t="shared" si="1"/>
        <v>0</v>
      </c>
      <c r="X13" s="220">
        <f t="shared" si="5"/>
        <v>0</v>
      </c>
      <c r="Y13" s="504" t="s">
        <v>240</v>
      </c>
    </row>
    <row r="14" spans="1:25" ht="12" customHeight="1" outlineLevel="1" x14ac:dyDescent="0.25">
      <c r="A14" s="39"/>
      <c r="B14" s="25"/>
      <c r="D14" s="74" t="s">
        <v>159</v>
      </c>
      <c r="E14" s="50"/>
      <c r="F14" s="50"/>
      <c r="G14" s="50" t="str">
        <f>"EUR "&amp;Multiplier</f>
        <v>EUR thd</v>
      </c>
      <c r="H14" s="75"/>
      <c r="I14" s="50"/>
      <c r="J14" s="128"/>
      <c r="K14" s="128"/>
      <c r="L14" s="128"/>
      <c r="M14" s="128"/>
      <c r="N14" s="128"/>
      <c r="O14" s="128"/>
      <c r="P14" s="128"/>
      <c r="Q14" s="128"/>
      <c r="R14" s="128"/>
      <c r="S14" s="128"/>
      <c r="T14" s="128"/>
      <c r="U14" s="118"/>
      <c r="V14" s="220">
        <f t="shared" si="0"/>
        <v>0</v>
      </c>
      <c r="W14" s="220">
        <f t="shared" si="1"/>
        <v>0</v>
      </c>
      <c r="X14" s="220">
        <f t="shared" si="5"/>
        <v>0</v>
      </c>
      <c r="Y14" s="504" t="s">
        <v>240</v>
      </c>
    </row>
    <row r="15" spans="1:25" ht="12" customHeight="1" outlineLevel="1" x14ac:dyDescent="0.25">
      <c r="A15" s="39"/>
      <c r="B15" s="25"/>
      <c r="D15" s="74" t="s">
        <v>74</v>
      </c>
      <c r="E15" s="50"/>
      <c r="F15" s="50"/>
      <c r="G15" s="50" t="str">
        <f>"EUR "&amp;Multiplier</f>
        <v>EUR thd</v>
      </c>
      <c r="H15" s="75"/>
      <c r="I15" s="129"/>
      <c r="J15" s="285">
        <f>'1.3.Historical BS'!O9</f>
        <v>2.3013631058554092</v>
      </c>
      <c r="K15" s="285">
        <f>'1.3.Historical BS'!P9</f>
        <v>1.1124214005193462</v>
      </c>
      <c r="L15" s="285">
        <f>'1.3.Historical BS'!Q9</f>
        <v>1.1904886468406277</v>
      </c>
      <c r="M15" s="295">
        <f>L15-M13</f>
        <v>1.1904886468406277</v>
      </c>
      <c r="N15" s="295">
        <f>M15-N13</f>
        <v>1.1904886468406277</v>
      </c>
      <c r="O15" s="295">
        <f>N15-O13</f>
        <v>1.1904886468406277</v>
      </c>
      <c r="P15" s="295">
        <f>O15-P13</f>
        <v>1.1904886468406277</v>
      </c>
      <c r="Q15" s="295">
        <f t="shared" ref="Q15:R15" si="6">P15-Q13</f>
        <v>1.1904886468406277</v>
      </c>
      <c r="R15" s="295">
        <f t="shared" si="6"/>
        <v>1.1904886468406277</v>
      </c>
      <c r="S15" s="128"/>
      <c r="T15" s="128"/>
      <c r="U15" s="118"/>
      <c r="V15" s="220">
        <f t="shared" si="0"/>
        <v>3.2749412699928371E-4</v>
      </c>
      <c r="W15" s="220">
        <f t="shared" si="1"/>
        <v>0</v>
      </c>
      <c r="X15" s="220">
        <f t="shared" si="5"/>
        <v>0</v>
      </c>
      <c r="Y15" s="504" t="s">
        <v>240</v>
      </c>
    </row>
    <row r="16" spans="1:25" ht="12" customHeight="1" outlineLevel="1" x14ac:dyDescent="0.25">
      <c r="A16" s="39"/>
      <c r="B16" s="25"/>
      <c r="D16" s="10"/>
      <c r="G16" s="91"/>
      <c r="H16" s="22"/>
      <c r="J16" s="296"/>
      <c r="K16" s="296"/>
      <c r="L16" s="296"/>
      <c r="M16" s="108"/>
      <c r="N16" s="108"/>
      <c r="O16" s="108"/>
      <c r="P16" s="108"/>
      <c r="Q16" s="108"/>
      <c r="R16" s="108"/>
      <c r="S16" s="108"/>
      <c r="T16" s="108"/>
      <c r="U16" s="118"/>
      <c r="V16" s="220">
        <f t="shared" si="0"/>
        <v>0</v>
      </c>
      <c r="W16" s="220">
        <f t="shared" si="1"/>
        <v>0</v>
      </c>
      <c r="X16" s="220">
        <f t="shared" si="5"/>
        <v>0</v>
      </c>
      <c r="Y16" s="122"/>
    </row>
    <row r="17" spans="2:25" ht="12" customHeight="1" outlineLevel="1" x14ac:dyDescent="0.25">
      <c r="B17" s="25">
        <f ca="1">MAX($A$1:B16)+0.1</f>
        <v>1.2000000000000002</v>
      </c>
      <c r="C17" s="9" t="str">
        <f>'1.3.Historical BS'!E16</f>
        <v>Plant, machinery and motor vehicles</v>
      </c>
      <c r="D17" s="10"/>
      <c r="F17" s="349" t="s">
        <v>791</v>
      </c>
      <c r="H17" s="22"/>
      <c r="J17" s="293"/>
      <c r="K17" s="293"/>
      <c r="L17" s="293"/>
      <c r="M17" s="293"/>
      <c r="N17" s="293"/>
      <c r="O17" s="108"/>
      <c r="P17" s="108"/>
      <c r="Q17" s="108"/>
      <c r="R17" s="108"/>
      <c r="S17" s="108"/>
      <c r="T17" s="108"/>
      <c r="U17" s="118"/>
      <c r="V17" s="220">
        <f t="shared" si="0"/>
        <v>0</v>
      </c>
      <c r="W17" s="220">
        <f t="shared" si="1"/>
        <v>0</v>
      </c>
      <c r="X17" s="220">
        <f t="shared" si="5"/>
        <v>0</v>
      </c>
      <c r="Y17" s="122"/>
    </row>
    <row r="18" spans="2:25" ht="12" customHeight="1" outlineLevel="2" x14ac:dyDescent="0.25">
      <c r="B18" s="25"/>
      <c r="D18" s="10" t="s">
        <v>84</v>
      </c>
      <c r="G18" s="10" t="str">
        <f>"EUR "&amp;Multiplier</f>
        <v>EUR thd</v>
      </c>
      <c r="H18" s="22"/>
      <c r="J18" s="117">
        <f t="shared" ref="J18:P18" si="7">I22</f>
        <v>0</v>
      </c>
      <c r="K18" s="117">
        <f t="shared" si="7"/>
        <v>117.98994076325121</v>
      </c>
      <c r="L18" s="117">
        <f t="shared" si="7"/>
        <v>66.778404189110901</v>
      </c>
      <c r="M18" s="894">
        <f t="shared" si="7"/>
        <v>33.480228992902873</v>
      </c>
      <c r="N18" s="894">
        <f t="shared" si="7"/>
        <v>0.71337721649256025</v>
      </c>
      <c r="O18" s="894">
        <f t="shared" si="7"/>
        <v>-12.17133536543502</v>
      </c>
      <c r="P18" s="894">
        <f t="shared" si="7"/>
        <v>-14.455095975728348</v>
      </c>
      <c r="Q18" s="894">
        <f t="shared" ref="Q18" si="8">P22</f>
        <v>-14.970318926195738</v>
      </c>
      <c r="R18" s="894">
        <f t="shared" ref="R18" si="9">Q22</f>
        <v>-15.093688433018558</v>
      </c>
      <c r="S18" s="128"/>
      <c r="T18" s="128"/>
      <c r="U18" s="118"/>
      <c r="V18" s="220">
        <f t="shared" si="0"/>
        <v>0</v>
      </c>
      <c r="W18" s="220">
        <f t="shared" si="1"/>
        <v>-0.49863688119755545</v>
      </c>
      <c r="X18" s="220">
        <f t="shared" si="5"/>
        <v>-1.7558069014876148</v>
      </c>
      <c r="Y18" s="504" t="s">
        <v>240</v>
      </c>
    </row>
    <row r="19" spans="2:25" ht="12" customHeight="1" outlineLevel="2" x14ac:dyDescent="0.25">
      <c r="B19" s="25"/>
      <c r="D19" s="10" t="s">
        <v>75</v>
      </c>
      <c r="G19" s="10" t="str">
        <f>"EUR "&amp;Multiplier</f>
        <v>EUR thd</v>
      </c>
      <c r="H19" s="22"/>
      <c r="J19" s="128"/>
      <c r="K19" s="128"/>
      <c r="L19" s="128"/>
      <c r="M19" s="128"/>
      <c r="N19" s="128"/>
      <c r="O19" s="128"/>
      <c r="P19" s="128"/>
      <c r="Q19" s="128"/>
      <c r="R19" s="128"/>
      <c r="S19" s="128"/>
      <c r="T19" s="128"/>
      <c r="U19" s="118"/>
      <c r="V19" s="220">
        <f t="shared" si="0"/>
        <v>0</v>
      </c>
      <c r="W19" s="220">
        <f t="shared" si="1"/>
        <v>0</v>
      </c>
      <c r="X19" s="220">
        <f t="shared" si="5"/>
        <v>0</v>
      </c>
      <c r="Y19" s="504" t="s">
        <v>240</v>
      </c>
    </row>
    <row r="20" spans="2:25" ht="12" customHeight="1" outlineLevel="1" x14ac:dyDescent="0.25">
      <c r="B20" s="25"/>
      <c r="D20" s="74" t="s">
        <v>77</v>
      </c>
      <c r="E20" s="50"/>
      <c r="F20" s="50"/>
      <c r="G20" s="50" t="str">
        <f>"EUR "&amp;Multiplier</f>
        <v>EUR thd</v>
      </c>
      <c r="H20" s="75"/>
      <c r="I20" s="50"/>
      <c r="J20" s="128"/>
      <c r="K20" s="128"/>
      <c r="L20" s="128"/>
      <c r="M20" s="294">
        <f>RMF_1218HRC!AC116/1000/'2.1. Working LT assets'!M7</f>
        <v>32.766851776410313</v>
      </c>
      <c r="N20" s="294">
        <f>RMF_1218HRC!AD116/1000/'2.1. Working LT assets'!N7</f>
        <v>12.88471258192758</v>
      </c>
      <c r="O20" s="294">
        <f>RMF_1218HRC!AE116/1000/'2.1. Working LT assets'!O7</f>
        <v>2.2837606102933279</v>
      </c>
      <c r="P20" s="294">
        <f>RMF_1218HRC!AF116/1000/'2.1. Working LT assets'!P7</f>
        <v>0.51522295046739008</v>
      </c>
      <c r="Q20" s="294">
        <f>RMF_1218HRC!AG116/1000/'2.1. Working LT assets'!Q7</f>
        <v>0.1233695068228212</v>
      </c>
      <c r="R20" s="294">
        <f>RMF_1218HRC!AH116/1000/'2.1. Working LT assets'!R7</f>
        <v>0</v>
      </c>
      <c r="S20" s="128"/>
      <c r="T20" s="128"/>
      <c r="U20" s="118"/>
      <c r="V20" s="220">
        <f t="shared" si="0"/>
        <v>0</v>
      </c>
      <c r="W20" s="220">
        <f t="shared" si="1"/>
        <v>0</v>
      </c>
      <c r="X20" s="220">
        <f t="shared" si="5"/>
        <v>-0.74947360182912326</v>
      </c>
      <c r="Y20" s="504" t="s">
        <v>240</v>
      </c>
    </row>
    <row r="21" spans="2:25" ht="12" customHeight="1" outlineLevel="1" x14ac:dyDescent="0.25">
      <c r="B21" s="25"/>
      <c r="D21" s="74" t="s">
        <v>159</v>
      </c>
      <c r="E21" s="50"/>
      <c r="F21" s="50"/>
      <c r="G21" s="50" t="str">
        <f>"EUR "&amp;Multiplier</f>
        <v>EUR thd</v>
      </c>
      <c r="H21" s="75"/>
      <c r="I21" s="50"/>
      <c r="J21" s="128"/>
      <c r="K21" s="128"/>
      <c r="L21" s="128"/>
      <c r="M21" s="128"/>
      <c r="N21" s="128"/>
      <c r="O21" s="128"/>
      <c r="P21" s="128"/>
      <c r="Q21" s="128"/>
      <c r="R21" s="128"/>
      <c r="S21" s="128"/>
      <c r="T21" s="128"/>
      <c r="U21" s="118"/>
      <c r="V21" s="220">
        <f t="shared" si="0"/>
        <v>0</v>
      </c>
      <c r="W21" s="220">
        <f t="shared" si="1"/>
        <v>0</v>
      </c>
      <c r="X21" s="220">
        <f t="shared" si="5"/>
        <v>0</v>
      </c>
      <c r="Y21" s="504" t="s">
        <v>240</v>
      </c>
    </row>
    <row r="22" spans="2:25" ht="12" customHeight="1" outlineLevel="1" x14ac:dyDescent="0.25">
      <c r="B22" s="25"/>
      <c r="D22" s="74" t="s">
        <v>74</v>
      </c>
      <c r="E22" s="50"/>
      <c r="F22" s="50"/>
      <c r="G22" s="50" t="str">
        <f>"EUR "&amp;Multiplier</f>
        <v>EUR thd</v>
      </c>
      <c r="H22" s="75"/>
      <c r="I22" s="129"/>
      <c r="J22" s="285">
        <f>'1.3.Historical BS'!O16</f>
        <v>117.98994076325121</v>
      </c>
      <c r="K22" s="285">
        <f>'1.3.Historical BS'!P16</f>
        <v>66.778404189110901</v>
      </c>
      <c r="L22" s="285">
        <f>'1.3.Historical BS'!Q16</f>
        <v>33.480228992902873</v>
      </c>
      <c r="M22" s="811">
        <f>L22-M20+M19</f>
        <v>0.71337721649256025</v>
      </c>
      <c r="N22" s="811">
        <f>M22-N20+N19</f>
        <v>-12.17133536543502</v>
      </c>
      <c r="O22" s="811">
        <f t="shared" ref="O22:P22" si="10">N22-O20</f>
        <v>-14.455095975728348</v>
      </c>
      <c r="P22" s="811">
        <f t="shared" si="10"/>
        <v>-14.970318926195738</v>
      </c>
      <c r="Q22" s="811">
        <f t="shared" ref="Q22" si="11">P22-Q20</f>
        <v>-15.093688433018558</v>
      </c>
      <c r="R22" s="811">
        <f t="shared" ref="R22" si="12">Q22-R20</f>
        <v>-15.093688433018558</v>
      </c>
      <c r="S22" s="128"/>
      <c r="T22" s="128"/>
      <c r="U22" s="118"/>
      <c r="V22" s="220">
        <f t="shared" si="0"/>
        <v>6.2595056342895639E-4</v>
      </c>
      <c r="W22" s="220">
        <f t="shared" si="1"/>
        <v>-0.9786925825195586</v>
      </c>
      <c r="X22" s="220">
        <f t="shared" si="5"/>
        <v>-3.7582731543774814</v>
      </c>
      <c r="Y22" s="504" t="s">
        <v>240</v>
      </c>
    </row>
    <row r="23" spans="2:25" ht="12" customHeight="1" outlineLevel="1" x14ac:dyDescent="0.25">
      <c r="B23" s="25"/>
      <c r="D23" s="10"/>
      <c r="G23" s="91"/>
      <c r="H23" s="22"/>
      <c r="J23" s="296"/>
      <c r="K23" s="296"/>
      <c r="L23" s="296"/>
      <c r="M23" s="296"/>
      <c r="N23" s="108"/>
      <c r="O23" s="108"/>
      <c r="P23" s="108"/>
      <c r="Q23" s="108"/>
      <c r="R23" s="108"/>
      <c r="S23" s="108"/>
      <c r="T23" s="108"/>
      <c r="U23" s="118"/>
      <c r="V23" s="220">
        <f t="shared" si="0"/>
        <v>0</v>
      </c>
      <c r="W23" s="220">
        <f t="shared" si="1"/>
        <v>0</v>
      </c>
      <c r="X23" s="220">
        <f t="shared" si="5"/>
        <v>0</v>
      </c>
      <c r="Y23" s="122"/>
    </row>
    <row r="24" spans="2:25" ht="12" customHeight="1" outlineLevel="1" x14ac:dyDescent="0.25">
      <c r="B24" s="25">
        <f ca="1">MAX($A$1:B23)+0.1</f>
        <v>1.3000000000000003</v>
      </c>
      <c r="C24" s="9" t="str">
        <f>'1.3.Historical BS'!E21</f>
        <v>Fixtures and fittings</v>
      </c>
      <c r="D24" s="10"/>
      <c r="F24" s="349" t="s">
        <v>802</v>
      </c>
      <c r="H24" s="22"/>
      <c r="J24" s="293"/>
      <c r="K24" s="293"/>
      <c r="L24" s="293"/>
      <c r="M24" s="293"/>
      <c r="N24" s="108"/>
      <c r="O24" s="108"/>
      <c r="P24" s="108"/>
      <c r="Q24" s="108"/>
      <c r="R24" s="108"/>
      <c r="S24" s="108"/>
      <c r="T24" s="108"/>
      <c r="U24" s="118"/>
      <c r="V24" s="220">
        <f t="shared" si="0"/>
        <v>0</v>
      </c>
      <c r="W24" s="220">
        <f t="shared" si="1"/>
        <v>0</v>
      </c>
      <c r="X24" s="220">
        <f t="shared" si="5"/>
        <v>0</v>
      </c>
      <c r="Y24" s="122"/>
    </row>
    <row r="25" spans="2:25" ht="12" customHeight="1" outlineLevel="2" x14ac:dyDescent="0.25">
      <c r="B25" s="25"/>
      <c r="D25" s="10" t="s">
        <v>84</v>
      </c>
      <c r="G25" s="10" t="str">
        <f>"EUR "&amp;Multiplier</f>
        <v>EUR thd</v>
      </c>
      <c r="H25" s="22"/>
      <c r="J25" s="117">
        <f t="shared" ref="J25:P25" si="13">I29</f>
        <v>0</v>
      </c>
      <c r="K25" s="117">
        <f t="shared" si="13"/>
        <v>45.672398758010175</v>
      </c>
      <c r="L25" s="117">
        <f t="shared" si="13"/>
        <v>44.509931969869307</v>
      </c>
      <c r="M25" s="117">
        <f t="shared" si="13"/>
        <v>44.635972040566905</v>
      </c>
      <c r="N25" s="117">
        <f t="shared" si="13"/>
        <v>42.645264692639202</v>
      </c>
      <c r="O25" s="117">
        <f t="shared" si="13"/>
        <v>41.348298967915873</v>
      </c>
      <c r="P25" s="117">
        <f t="shared" si="13"/>
        <v>41.142866497732143</v>
      </c>
      <c r="Q25" s="117">
        <f t="shared" ref="Q25" si="14">P29</f>
        <v>41.142866497732143</v>
      </c>
      <c r="R25" s="117">
        <f t="shared" ref="R25" si="15">Q29</f>
        <v>41.142866497732143</v>
      </c>
      <c r="S25" s="128"/>
      <c r="T25" s="128"/>
      <c r="U25" s="118"/>
      <c r="V25" s="220">
        <f t="shared" si="0"/>
        <v>0</v>
      </c>
      <c r="W25" s="220">
        <f t="shared" si="1"/>
        <v>2.8317291247024201E-3</v>
      </c>
      <c r="X25" s="220">
        <f t="shared" si="5"/>
        <v>-2.6797573245370798E-2</v>
      </c>
      <c r="Y25" s="504" t="s">
        <v>240</v>
      </c>
    </row>
    <row r="26" spans="2:25" ht="12" customHeight="1" outlineLevel="2" x14ac:dyDescent="0.25">
      <c r="B26" s="25"/>
      <c r="D26" s="10" t="s">
        <v>75</v>
      </c>
      <c r="G26" s="10" t="str">
        <f>"EUR "&amp;Multiplier</f>
        <v>EUR thd</v>
      </c>
      <c r="H26" s="22"/>
      <c r="J26" s="128"/>
      <c r="K26" s="128"/>
      <c r="L26" s="128"/>
      <c r="M26" s="128"/>
      <c r="N26" s="128"/>
      <c r="O26" s="128"/>
      <c r="P26" s="128"/>
      <c r="Q26" s="128"/>
      <c r="R26" s="128"/>
      <c r="S26" s="128"/>
      <c r="T26" s="128"/>
      <c r="U26" s="118"/>
      <c r="V26" s="220">
        <f t="shared" si="0"/>
        <v>0</v>
      </c>
      <c r="W26" s="220">
        <f t="shared" si="1"/>
        <v>0</v>
      </c>
      <c r="X26" s="220">
        <f t="shared" si="5"/>
        <v>0</v>
      </c>
      <c r="Y26" s="504" t="s">
        <v>240</v>
      </c>
    </row>
    <row r="27" spans="2:25" ht="12" customHeight="1" outlineLevel="1" x14ac:dyDescent="0.25">
      <c r="B27" s="25"/>
      <c r="D27" s="74" t="s">
        <v>77</v>
      </c>
      <c r="E27" s="50"/>
      <c r="F27" s="50"/>
      <c r="G27" s="50" t="str">
        <f>"EUR "&amp;Multiplier</f>
        <v>EUR thd</v>
      </c>
      <c r="H27" s="75"/>
      <c r="I27" s="50"/>
      <c r="J27" s="128"/>
      <c r="K27" s="128"/>
      <c r="L27" s="128"/>
      <c r="M27" s="294">
        <f>RMF_1218HRC!AC115/1000/'2.1. Working LT assets'!M7</f>
        <v>1.9907073479276998</v>
      </c>
      <c r="N27" s="294">
        <f>RMF_1218HRC!AD115/1000/'2.1. Working LT assets'!N7</f>
        <v>1.2969657247233264</v>
      </c>
      <c r="O27" s="294">
        <f>RMF_1218HRC!AE115/1000/'2.1. Working LT assets'!O7</f>
        <v>0.2054324701837329</v>
      </c>
      <c r="P27" s="294">
        <f>RMF_1218HRC!AF115/1000/'2.1. Working LT assets'!P7</f>
        <v>0</v>
      </c>
      <c r="Q27" s="294">
        <f>RMF_1218HRC!AG115/1000/'2.1. Working LT assets'!Q7</f>
        <v>0</v>
      </c>
      <c r="R27" s="294">
        <f>RMF_1218HRC!AH115/1000/'2.1. Working LT assets'!R7</f>
        <v>0</v>
      </c>
      <c r="S27" s="128"/>
      <c r="T27" s="128"/>
      <c r="U27" s="118"/>
      <c r="V27" s="220">
        <f t="shared" si="0"/>
        <v>0</v>
      </c>
      <c r="W27" s="220">
        <f t="shared" si="1"/>
        <v>0</v>
      </c>
      <c r="X27" s="220">
        <f t="shared" si="5"/>
        <v>-1</v>
      </c>
      <c r="Y27" s="504" t="s">
        <v>240</v>
      </c>
    </row>
    <row r="28" spans="2:25" ht="12" customHeight="1" outlineLevel="1" x14ac:dyDescent="0.25">
      <c r="B28" s="25"/>
      <c r="D28" s="74" t="s">
        <v>159</v>
      </c>
      <c r="E28" s="50"/>
      <c r="F28" s="50"/>
      <c r="G28" s="50" t="str">
        <f>"EUR "&amp;Multiplier</f>
        <v>EUR thd</v>
      </c>
      <c r="H28" s="75"/>
      <c r="I28" s="50"/>
      <c r="J28" s="128"/>
      <c r="K28" s="128"/>
      <c r="L28" s="128"/>
      <c r="M28" s="128"/>
      <c r="N28" s="128"/>
      <c r="O28" s="128"/>
      <c r="P28" s="128"/>
      <c r="Q28" s="128"/>
      <c r="R28" s="128"/>
      <c r="S28" s="128"/>
      <c r="T28" s="128"/>
      <c r="U28" s="118"/>
      <c r="V28" s="220">
        <f t="shared" si="0"/>
        <v>0</v>
      </c>
      <c r="W28" s="220">
        <f t="shared" si="1"/>
        <v>0</v>
      </c>
      <c r="X28" s="220">
        <f t="shared" si="5"/>
        <v>0</v>
      </c>
      <c r="Y28" s="504" t="s">
        <v>240</v>
      </c>
    </row>
    <row r="29" spans="2:25" ht="12" customHeight="1" outlineLevel="1" x14ac:dyDescent="0.25">
      <c r="B29" s="25"/>
      <c r="D29" s="74" t="s">
        <v>74</v>
      </c>
      <c r="E29" s="50"/>
      <c r="F29" s="50"/>
      <c r="G29" s="50" t="str">
        <f>"EUR "&amp;Multiplier</f>
        <v>EUR thd</v>
      </c>
      <c r="H29" s="75"/>
      <c r="I29" s="129"/>
      <c r="J29" s="285">
        <f>'1.3.Historical BS'!O21</f>
        <v>45.672398758010175</v>
      </c>
      <c r="K29" s="285">
        <f>'1.3.Historical BS'!P21</f>
        <v>44.509931969869307</v>
      </c>
      <c r="L29" s="285">
        <f>'1.3.Historical BS'!Q21</f>
        <v>44.635972040566905</v>
      </c>
      <c r="M29" s="227">
        <f>L29-M27</f>
        <v>42.645264692639202</v>
      </c>
      <c r="N29" s="227">
        <f>M29-N27</f>
        <v>41.348298967915873</v>
      </c>
      <c r="O29" s="227">
        <f t="shared" ref="O29:P29" si="16">N29-O27</f>
        <v>41.142866497732143</v>
      </c>
      <c r="P29" s="227">
        <f t="shared" si="16"/>
        <v>41.142866497732143</v>
      </c>
      <c r="Q29" s="227">
        <f t="shared" ref="Q29" si="17">P29-Q27</f>
        <v>41.142866497732143</v>
      </c>
      <c r="R29" s="227">
        <f t="shared" ref="R29" si="18">Q29-R27</f>
        <v>41.142866497732143</v>
      </c>
      <c r="S29" s="128"/>
      <c r="T29" s="128"/>
      <c r="U29" s="118"/>
      <c r="V29" s="220">
        <f t="shared" si="0"/>
        <v>1.1402979864794105E-5</v>
      </c>
      <c r="W29" s="220">
        <f t="shared" si="1"/>
        <v>-4.459872288920852E-2</v>
      </c>
      <c r="X29" s="220">
        <f t="shared" si="5"/>
        <v>-1.1884047602031322E-2</v>
      </c>
      <c r="Y29" s="504" t="s">
        <v>240</v>
      </c>
    </row>
    <row r="30" spans="2:25" ht="12" customHeight="1" outlineLevel="1" x14ac:dyDescent="0.25">
      <c r="B30" s="25"/>
      <c r="D30" s="10"/>
      <c r="G30" s="91"/>
      <c r="H30" s="22"/>
      <c r="J30" s="296"/>
      <c r="K30" s="296"/>
      <c r="L30" s="296"/>
      <c r="M30" s="297"/>
      <c r="N30" s="297"/>
      <c r="O30" s="297"/>
      <c r="P30" s="297"/>
      <c r="Q30" s="297"/>
      <c r="R30" s="297"/>
      <c r="S30" s="297"/>
      <c r="T30" s="297"/>
      <c r="U30" s="118"/>
      <c r="V30" s="220">
        <f t="shared" si="0"/>
        <v>0</v>
      </c>
      <c r="W30" s="220">
        <f t="shared" si="1"/>
        <v>0</v>
      </c>
      <c r="X30" s="220">
        <f t="shared" si="5"/>
        <v>0</v>
      </c>
      <c r="Y30" s="122"/>
    </row>
    <row r="31" spans="2:25" ht="12" customHeight="1" outlineLevel="1" x14ac:dyDescent="0.25">
      <c r="B31" s="25">
        <f ca="1">MAX($A$1:B30)+0.1</f>
        <v>1.4000000000000004</v>
      </c>
      <c r="C31" s="9" t="str">
        <f>'1.3.Historical BS'!E23</f>
        <v>Other tangible assets</v>
      </c>
      <c r="D31" s="10"/>
      <c r="H31" s="22"/>
      <c r="J31" s="293"/>
      <c r="K31" s="293"/>
      <c r="L31" s="293"/>
      <c r="M31" s="293"/>
      <c r="N31" s="108"/>
      <c r="O31" s="108"/>
      <c r="P31" s="108"/>
      <c r="Q31" s="108"/>
      <c r="R31" s="108"/>
      <c r="S31" s="108"/>
      <c r="T31" s="108"/>
      <c r="U31" s="118"/>
      <c r="V31" s="220">
        <f t="shared" si="0"/>
        <v>0</v>
      </c>
      <c r="W31" s="220">
        <f t="shared" si="1"/>
        <v>0</v>
      </c>
      <c r="X31" s="220">
        <f t="shared" ref="X31:X36" si="19">IF(ISERROR((($P31/$M31)^(1/($P$3-$M$3))-1)),0,(($P31/$M31)^(1/($P$3-$M$3))-1))</f>
        <v>0</v>
      </c>
      <c r="Y31" s="122"/>
    </row>
    <row r="32" spans="2:25" ht="12" customHeight="1" outlineLevel="2" x14ac:dyDescent="0.25">
      <c r="B32" s="25"/>
      <c r="D32" s="10" t="s">
        <v>84</v>
      </c>
      <c r="G32" s="10" t="str">
        <f>"EUR "&amp;Multiplier</f>
        <v>EUR thd</v>
      </c>
      <c r="H32" s="22"/>
      <c r="J32" s="117">
        <f t="shared" ref="J32:P32" si="20">I36</f>
        <v>0</v>
      </c>
      <c r="K32" s="117">
        <f t="shared" si="20"/>
        <v>9.9006892603113794</v>
      </c>
      <c r="L32" s="117">
        <f t="shared" si="20"/>
        <v>3.08142155074361</v>
      </c>
      <c r="M32" s="117">
        <f t="shared" si="20"/>
        <v>0</v>
      </c>
      <c r="N32" s="117">
        <f t="shared" si="20"/>
        <v>0</v>
      </c>
      <c r="O32" s="117">
        <f t="shared" si="20"/>
        <v>0</v>
      </c>
      <c r="P32" s="117">
        <f t="shared" si="20"/>
        <v>0</v>
      </c>
      <c r="Q32" s="117">
        <f t="shared" ref="Q32" si="21">P36</f>
        <v>0</v>
      </c>
      <c r="R32" s="117">
        <f t="shared" ref="R32" si="22">Q36</f>
        <v>0</v>
      </c>
      <c r="S32" s="128"/>
      <c r="T32" s="128"/>
      <c r="U32" s="118"/>
      <c r="V32" s="220">
        <f t="shared" si="0"/>
        <v>0</v>
      </c>
      <c r="W32" s="220">
        <f t="shared" si="1"/>
        <v>-1</v>
      </c>
      <c r="X32" s="220">
        <f t="shared" si="19"/>
        <v>0</v>
      </c>
      <c r="Y32" s="504" t="s">
        <v>240</v>
      </c>
    </row>
    <row r="33" spans="1:25" ht="12" customHeight="1" outlineLevel="2" x14ac:dyDescent="0.25">
      <c r="B33" s="25"/>
      <c r="D33" s="10" t="s">
        <v>75</v>
      </c>
      <c r="G33" s="10" t="str">
        <f>"EUR "&amp;Multiplier</f>
        <v>EUR thd</v>
      </c>
      <c r="H33" s="22"/>
      <c r="J33" s="128"/>
      <c r="K33" s="128"/>
      <c r="L33" s="128"/>
      <c r="M33" s="128"/>
      <c r="N33" s="128"/>
      <c r="O33" s="128"/>
      <c r="P33" s="128"/>
      <c r="Q33" s="128"/>
      <c r="R33" s="128"/>
      <c r="S33" s="128"/>
      <c r="T33" s="128"/>
      <c r="U33" s="118"/>
      <c r="V33" s="220">
        <f t="shared" si="0"/>
        <v>0</v>
      </c>
      <c r="W33" s="220">
        <f t="shared" si="1"/>
        <v>0</v>
      </c>
      <c r="X33" s="220">
        <f t="shared" si="19"/>
        <v>0</v>
      </c>
      <c r="Y33" s="504" t="s">
        <v>240</v>
      </c>
    </row>
    <row r="34" spans="1:25" ht="12" customHeight="1" outlineLevel="1" x14ac:dyDescent="0.25">
      <c r="A34" s="105"/>
      <c r="B34" s="25"/>
      <c r="D34" s="74" t="s">
        <v>77</v>
      </c>
      <c r="E34" s="50"/>
      <c r="F34" s="50"/>
      <c r="G34" s="50" t="str">
        <f>"EUR "&amp;Multiplier</f>
        <v>EUR thd</v>
      </c>
      <c r="H34" s="75"/>
      <c r="I34" s="50"/>
      <c r="J34" s="128"/>
      <c r="K34" s="128"/>
      <c r="L34" s="128"/>
      <c r="M34" s="294"/>
      <c r="N34" s="294"/>
      <c r="O34" s="294"/>
      <c r="P34" s="294"/>
      <c r="Q34" s="294"/>
      <c r="R34" s="294"/>
      <c r="S34" s="128"/>
      <c r="T34" s="128"/>
      <c r="U34" s="118"/>
      <c r="V34" s="220">
        <f t="shared" si="0"/>
        <v>0</v>
      </c>
      <c r="W34" s="220">
        <f t="shared" si="1"/>
        <v>0</v>
      </c>
      <c r="X34" s="220">
        <f t="shared" si="19"/>
        <v>0</v>
      </c>
      <c r="Y34" s="504" t="s">
        <v>240</v>
      </c>
    </row>
    <row r="35" spans="1:25" ht="12" customHeight="1" outlineLevel="1" x14ac:dyDescent="0.25">
      <c r="B35" s="25"/>
      <c r="D35" s="74" t="s">
        <v>159</v>
      </c>
      <c r="E35" s="50"/>
      <c r="F35" s="50"/>
      <c r="G35" s="50" t="str">
        <f>"EUR "&amp;Multiplier</f>
        <v>EUR thd</v>
      </c>
      <c r="H35" s="75"/>
      <c r="I35" s="50"/>
      <c r="J35" s="128"/>
      <c r="K35" s="128"/>
      <c r="L35" s="128"/>
      <c r="M35" s="128"/>
      <c r="N35" s="128"/>
      <c r="O35" s="128"/>
      <c r="P35" s="128"/>
      <c r="Q35" s="128"/>
      <c r="R35" s="128"/>
      <c r="S35" s="128"/>
      <c r="T35" s="128"/>
      <c r="U35" s="118"/>
      <c r="V35" s="220">
        <f t="shared" si="0"/>
        <v>0</v>
      </c>
      <c r="W35" s="220">
        <f t="shared" si="1"/>
        <v>0</v>
      </c>
      <c r="X35" s="220">
        <f t="shared" si="19"/>
        <v>0</v>
      </c>
      <c r="Y35" s="504" t="s">
        <v>240</v>
      </c>
    </row>
    <row r="36" spans="1:25" ht="12" customHeight="1" outlineLevel="1" x14ac:dyDescent="0.25">
      <c r="B36" s="25"/>
      <c r="D36" s="74" t="s">
        <v>74</v>
      </c>
      <c r="E36" s="50"/>
      <c r="F36" s="50"/>
      <c r="G36" s="50" t="str">
        <f>"EUR "&amp;Multiplier</f>
        <v>EUR thd</v>
      </c>
      <c r="H36" s="75"/>
      <c r="I36" s="129"/>
      <c r="J36" s="285">
        <f>'1.3.Historical BS'!O23</f>
        <v>9.9006892603113794</v>
      </c>
      <c r="K36" s="285">
        <f>'1.3.Historical BS'!P23</f>
        <v>3.08142155074361</v>
      </c>
      <c r="L36" s="285">
        <f>'1.3.Historical BS'!Q23</f>
        <v>0</v>
      </c>
      <c r="M36" s="227">
        <f>L36-M34</f>
        <v>0</v>
      </c>
      <c r="N36" s="227">
        <f>M36-N34</f>
        <v>0</v>
      </c>
      <c r="O36" s="227">
        <f t="shared" ref="O36:P36" si="23">N36-O34</f>
        <v>0</v>
      </c>
      <c r="P36" s="227">
        <f t="shared" si="23"/>
        <v>0</v>
      </c>
      <c r="Q36" s="227">
        <f t="shared" ref="Q36" si="24">P36-Q34</f>
        <v>0</v>
      </c>
      <c r="R36" s="227">
        <f t="shared" ref="R36" si="25">Q36-R34</f>
        <v>0</v>
      </c>
      <c r="S36" s="128"/>
      <c r="T36" s="128"/>
      <c r="U36" s="118"/>
      <c r="V36" s="220">
        <f t="shared" si="0"/>
        <v>0</v>
      </c>
      <c r="W36" s="220">
        <f t="shared" si="1"/>
        <v>0</v>
      </c>
      <c r="X36" s="220">
        <f t="shared" si="19"/>
        <v>0</v>
      </c>
      <c r="Y36" s="504" t="s">
        <v>240</v>
      </c>
    </row>
    <row r="37" spans="1:25" ht="12" customHeight="1" x14ac:dyDescent="0.25">
      <c r="B37" s="25"/>
      <c r="D37" s="10"/>
      <c r="G37" s="91"/>
      <c r="H37" s="22"/>
      <c r="J37" s="296"/>
      <c r="K37" s="296"/>
      <c r="L37" s="296"/>
      <c r="M37" s="108"/>
      <c r="N37" s="108"/>
      <c r="O37" s="108"/>
      <c r="P37" s="108"/>
      <c r="Q37" s="108"/>
      <c r="R37" s="108"/>
      <c r="S37" s="108"/>
      <c r="T37" s="108"/>
      <c r="U37" s="118"/>
      <c r="V37" s="219"/>
      <c r="W37" s="219"/>
      <c r="X37" s="219"/>
      <c r="Y37" s="122"/>
    </row>
    <row r="38" spans="1:25" ht="12" customHeight="1" x14ac:dyDescent="0.25">
      <c r="A38" s="14">
        <f ca="1">MAX($A$1:A37)+1</f>
        <v>2</v>
      </c>
      <c r="B38" s="15" t="s">
        <v>121</v>
      </c>
      <c r="C38" s="15"/>
      <c r="D38" s="16"/>
      <c r="E38" s="17"/>
      <c r="F38" s="17"/>
      <c r="G38" s="17"/>
      <c r="H38" s="18"/>
      <c r="I38" s="17"/>
      <c r="J38" s="299"/>
      <c r="K38" s="299"/>
      <c r="L38" s="299"/>
      <c r="M38" s="299"/>
      <c r="N38" s="299"/>
      <c r="O38" s="299"/>
      <c r="P38" s="299"/>
      <c r="Q38" s="299"/>
      <c r="R38" s="299"/>
      <c r="S38" s="299"/>
      <c r="T38" s="299"/>
      <c r="U38" s="300"/>
      <c r="V38" s="301"/>
      <c r="W38" s="301"/>
      <c r="X38" s="301"/>
      <c r="Y38" s="21"/>
    </row>
    <row r="39" spans="1:25" ht="12" customHeight="1" outlineLevel="1" x14ac:dyDescent="0.25">
      <c r="D39" s="10"/>
      <c r="H39" s="22"/>
      <c r="J39" s="108"/>
      <c r="K39" s="108"/>
      <c r="L39" s="108"/>
      <c r="M39" s="108"/>
      <c r="N39" s="108"/>
      <c r="O39" s="108"/>
      <c r="P39" s="108"/>
      <c r="Q39" s="108"/>
      <c r="R39" s="108"/>
      <c r="S39" s="108"/>
      <c r="T39" s="108"/>
      <c r="U39" s="118"/>
      <c r="V39" s="219"/>
      <c r="W39" s="219"/>
      <c r="X39" s="219"/>
      <c r="Y39" s="122"/>
    </row>
    <row r="40" spans="1:25" ht="12" customHeight="1" outlineLevel="1" x14ac:dyDescent="0.25">
      <c r="B40" s="25">
        <f ca="1">MAX($A$1:B39)+0.1</f>
        <v>2.1</v>
      </c>
      <c r="C40" s="9" t="str">
        <f>C10</f>
        <v>Intangible assets</v>
      </c>
      <c r="D40" s="10"/>
      <c r="G40" s="124">
        <f>'0.2.Parameters'!$H$189</f>
        <v>5</v>
      </c>
      <c r="H40" s="22"/>
      <c r="J40" s="302"/>
      <c r="K40" s="108"/>
      <c r="L40" s="108"/>
      <c r="M40" s="108"/>
      <c r="N40" s="108"/>
      <c r="O40" s="108"/>
      <c r="P40" s="108"/>
      <c r="Q40" s="108"/>
      <c r="R40" s="108"/>
      <c r="S40" s="108"/>
      <c r="T40" s="108"/>
      <c r="U40" s="118"/>
      <c r="V40" s="219"/>
      <c r="W40" s="219"/>
      <c r="X40" s="219"/>
      <c r="Y40" s="122"/>
    </row>
    <row r="41" spans="1:25" ht="12" customHeight="1" outlineLevel="2" x14ac:dyDescent="0.25">
      <c r="B41" s="25"/>
      <c r="D41" s="10" t="s">
        <v>76</v>
      </c>
      <c r="G41" s="10" t="str">
        <f>"EUR "&amp;Multiplier</f>
        <v>EUR thd</v>
      </c>
      <c r="H41" s="22"/>
      <c r="J41" s="117">
        <f t="shared" ref="J41:P41" si="26">I45</f>
        <v>0</v>
      </c>
      <c r="K41" s="117">
        <f t="shared" ca="1" si="26"/>
        <v>0</v>
      </c>
      <c r="L41" s="117">
        <f t="shared" ca="1" si="26"/>
        <v>0</v>
      </c>
      <c r="M41" s="117">
        <f t="shared" ca="1" si="26"/>
        <v>0</v>
      </c>
      <c r="N41" s="117">
        <f t="shared" ca="1" si="26"/>
        <v>0</v>
      </c>
      <c r="O41" s="117">
        <f t="shared" ca="1" si="26"/>
        <v>0</v>
      </c>
      <c r="P41" s="117">
        <f t="shared" ca="1" si="26"/>
        <v>0</v>
      </c>
      <c r="Q41" s="117">
        <f t="shared" ref="Q41" ca="1" si="27">P45</f>
        <v>0</v>
      </c>
      <c r="R41" s="117">
        <f t="shared" ref="R41" ca="1" si="28">Q45</f>
        <v>0</v>
      </c>
      <c r="S41" s="128"/>
      <c r="T41" s="128"/>
      <c r="U41" s="118"/>
      <c r="V41" s="220">
        <f t="shared" ref="V41:V45" ca="1" si="29">IF(ISERROR((($L41/$J41)^(1/($L$3-$J$3))-1)),0,(($L41/$J41)^(1/($L$3-$J$3))-1))</f>
        <v>0</v>
      </c>
      <c r="W41" s="220">
        <f t="shared" ref="W41:W45" ca="1" si="30">IF(ISERROR($M41/$L41-1),0,$M41/$L41-1)</f>
        <v>0</v>
      </c>
      <c r="X41" s="220">
        <f t="shared" ref="X41:X45" ca="1" si="31">IF(ISERROR((($P41/$M41)^(1/($P$3-$M$3))-1)),0,(($P41/$M41)^(1/($P$3-$M$3))-1))</f>
        <v>0</v>
      </c>
      <c r="Y41" s="504" t="s">
        <v>240</v>
      </c>
    </row>
    <row r="42" spans="1:25" ht="12" customHeight="1" outlineLevel="2" x14ac:dyDescent="0.25">
      <c r="B42" s="25"/>
      <c r="D42" s="10" t="s">
        <v>75</v>
      </c>
      <c r="G42" s="10" t="str">
        <f>"EUR "&amp;Multiplier</f>
        <v>EUR thd</v>
      </c>
      <c r="H42" s="22"/>
      <c r="J42" s="128"/>
      <c r="K42" s="128"/>
      <c r="L42" s="128"/>
      <c r="M42" s="128"/>
      <c r="N42" s="128"/>
      <c r="O42" s="128"/>
      <c r="P42" s="128"/>
      <c r="Q42" s="128"/>
      <c r="R42" s="128"/>
      <c r="S42" s="128"/>
      <c r="T42" s="128"/>
      <c r="U42" s="118"/>
      <c r="V42" s="220">
        <f t="shared" si="29"/>
        <v>0</v>
      </c>
      <c r="W42" s="220">
        <f t="shared" si="30"/>
        <v>0</v>
      </c>
      <c r="X42" s="220">
        <f t="shared" si="31"/>
        <v>0</v>
      </c>
      <c r="Y42" s="504" t="s">
        <v>240</v>
      </c>
    </row>
    <row r="43" spans="1:25" ht="12" customHeight="1" outlineLevel="2" x14ac:dyDescent="0.25">
      <c r="B43" s="25"/>
      <c r="D43" s="10" t="s">
        <v>83</v>
      </c>
      <c r="G43" s="10" t="str">
        <f>"EUR "&amp;Multiplier</f>
        <v>EUR thd</v>
      </c>
      <c r="H43" s="22"/>
      <c r="J43" s="117">
        <f>SUM($J42:J42)</f>
        <v>0</v>
      </c>
      <c r="K43" s="117">
        <f>SUM($J42:K42)</f>
        <v>0</v>
      </c>
      <c r="L43" s="117">
        <f>SUM($J42:L42)</f>
        <v>0</v>
      </c>
      <c r="M43" s="117">
        <f>SUM($J42:M42)</f>
        <v>0</v>
      </c>
      <c r="N43" s="117">
        <f>SUM($J42:N42)</f>
        <v>0</v>
      </c>
      <c r="O43" s="117">
        <f>SUM($J42:O42)</f>
        <v>0</v>
      </c>
      <c r="P43" s="117">
        <f>SUM($J42:P42)</f>
        <v>0</v>
      </c>
      <c r="Q43" s="117">
        <f>SUM($J42:Q42)</f>
        <v>0</v>
      </c>
      <c r="R43" s="117">
        <f>SUM($J42:R42)</f>
        <v>0</v>
      </c>
      <c r="S43" s="128"/>
      <c r="T43" s="128"/>
      <c r="U43" s="118"/>
      <c r="V43" s="220">
        <f t="shared" si="29"/>
        <v>0</v>
      </c>
      <c r="W43" s="220">
        <f t="shared" si="30"/>
        <v>0</v>
      </c>
      <c r="X43" s="220">
        <f t="shared" si="31"/>
        <v>0</v>
      </c>
      <c r="Y43" s="504" t="s">
        <v>240</v>
      </c>
    </row>
    <row r="44" spans="1:25" ht="12" customHeight="1" outlineLevel="1" x14ac:dyDescent="0.25">
      <c r="B44" s="25"/>
      <c r="D44" s="74" t="s">
        <v>77</v>
      </c>
      <c r="E44" s="50"/>
      <c r="F44" s="50"/>
      <c r="G44" s="50" t="str">
        <f>"EUR "&amp;Multiplier</f>
        <v>EUR thd</v>
      </c>
      <c r="H44" s="75"/>
      <c r="I44" s="50"/>
      <c r="J44" s="303">
        <f t="shared" ref="J44:P44" ca="1" si="32">IF(ISERROR(SUM(OFFSET(J42,,,1,-MIN(J$3,$G40)))/$G40),0,SUM(OFFSET(J42,,,1,-MIN(J$3,$G40)))/$G40)</f>
        <v>0</v>
      </c>
      <c r="K44" s="227">
        <f t="shared" ca="1" si="32"/>
        <v>0</v>
      </c>
      <c r="L44" s="227">
        <f t="shared" ca="1" si="32"/>
        <v>0</v>
      </c>
      <c r="M44" s="227">
        <f t="shared" ca="1" si="32"/>
        <v>0</v>
      </c>
      <c r="N44" s="227">
        <f t="shared" ca="1" si="32"/>
        <v>0</v>
      </c>
      <c r="O44" s="227">
        <f t="shared" ca="1" si="32"/>
        <v>0</v>
      </c>
      <c r="P44" s="227">
        <f t="shared" ca="1" si="32"/>
        <v>0</v>
      </c>
      <c r="Q44" s="227">
        <f t="shared" ref="Q44:R44" ca="1" si="33">IF(ISERROR(SUM(OFFSET(Q42,,,1,-MIN(Q$3,$G40)))/$G40),0,SUM(OFFSET(Q42,,,1,-MIN(Q$3,$G40)))/$G40)</f>
        <v>0</v>
      </c>
      <c r="R44" s="227">
        <f t="shared" ca="1" si="33"/>
        <v>0</v>
      </c>
      <c r="S44" s="128"/>
      <c r="T44" s="128"/>
      <c r="U44" s="118"/>
      <c r="V44" s="220">
        <f t="shared" ca="1" si="29"/>
        <v>0</v>
      </c>
      <c r="W44" s="220">
        <f t="shared" ca="1" si="30"/>
        <v>0</v>
      </c>
      <c r="X44" s="220">
        <f t="shared" ca="1" si="31"/>
        <v>0</v>
      </c>
      <c r="Y44" s="504" t="s">
        <v>240</v>
      </c>
    </row>
    <row r="45" spans="1:25" ht="12" customHeight="1" outlineLevel="1" x14ac:dyDescent="0.25">
      <c r="B45" s="25"/>
      <c r="D45" s="74" t="str">
        <f>"Closing balance "&amp;C40</f>
        <v>Closing balance Intangible assets</v>
      </c>
      <c r="E45" s="50"/>
      <c r="F45" s="50"/>
      <c r="G45" s="50" t="str">
        <f>"EUR "&amp;Multiplier</f>
        <v>EUR thd</v>
      </c>
      <c r="H45" s="75"/>
      <c r="I45" s="129"/>
      <c r="J45" s="303">
        <f t="shared" ref="J45:P45" ca="1" si="34">IF(J41+J42-J44&lt;0,0,J41+J42-J44)</f>
        <v>0</v>
      </c>
      <c r="K45" s="227">
        <f t="shared" ca="1" si="34"/>
        <v>0</v>
      </c>
      <c r="L45" s="227">
        <f t="shared" ca="1" si="34"/>
        <v>0</v>
      </c>
      <c r="M45" s="227">
        <f t="shared" ca="1" si="34"/>
        <v>0</v>
      </c>
      <c r="N45" s="227">
        <f t="shared" ca="1" si="34"/>
        <v>0</v>
      </c>
      <c r="O45" s="227">
        <f t="shared" ca="1" si="34"/>
        <v>0</v>
      </c>
      <c r="P45" s="227">
        <f t="shared" ca="1" si="34"/>
        <v>0</v>
      </c>
      <c r="Q45" s="227">
        <f t="shared" ref="Q45:R45" ca="1" si="35">IF(Q41+Q42-Q44&lt;0,0,Q41+Q42-Q44)</f>
        <v>0</v>
      </c>
      <c r="R45" s="227">
        <f t="shared" ca="1" si="35"/>
        <v>0</v>
      </c>
      <c r="S45" s="128"/>
      <c r="T45" s="128"/>
      <c r="U45" s="118"/>
      <c r="V45" s="220">
        <f t="shared" ca="1" si="29"/>
        <v>0</v>
      </c>
      <c r="W45" s="220">
        <f t="shared" ca="1" si="30"/>
        <v>0</v>
      </c>
      <c r="X45" s="220">
        <f t="shared" ca="1" si="31"/>
        <v>0</v>
      </c>
      <c r="Y45" s="504" t="s">
        <v>240</v>
      </c>
    </row>
    <row r="46" spans="1:25" ht="12" customHeight="1" x14ac:dyDescent="0.25">
      <c r="D46" s="10"/>
      <c r="J46" s="108"/>
      <c r="K46" s="108"/>
      <c r="L46" s="108"/>
      <c r="M46" s="108"/>
      <c r="N46" s="108"/>
      <c r="O46" s="108"/>
      <c r="P46" s="108"/>
      <c r="Q46" s="108"/>
      <c r="R46" s="108"/>
      <c r="S46" s="108"/>
      <c r="T46" s="108"/>
      <c r="U46" s="118"/>
      <c r="V46" s="219"/>
      <c r="W46" s="219"/>
      <c r="X46" s="219"/>
    </row>
    <row r="47" spans="1:25" ht="12" customHeight="1" x14ac:dyDescent="0.25">
      <c r="A47" s="14">
        <f ca="1">MAX($A$1:A46)+1</f>
        <v>3</v>
      </c>
      <c r="B47" s="15" t="s">
        <v>122</v>
      </c>
      <c r="C47" s="15"/>
      <c r="D47" s="16"/>
      <c r="E47" s="17"/>
      <c r="F47" s="17"/>
      <c r="G47" s="17"/>
      <c r="H47" s="18"/>
      <c r="I47" s="17"/>
      <c r="J47" s="299"/>
      <c r="K47" s="299"/>
      <c r="L47" s="299"/>
      <c r="M47" s="299"/>
      <c r="N47" s="299"/>
      <c r="O47" s="299"/>
      <c r="P47" s="299"/>
      <c r="Q47" s="299"/>
      <c r="R47" s="299"/>
      <c r="S47" s="299"/>
      <c r="T47" s="299"/>
      <c r="U47" s="300"/>
      <c r="V47" s="301"/>
      <c r="W47" s="301"/>
      <c r="X47" s="301"/>
      <c r="Y47" s="21"/>
    </row>
    <row r="48" spans="1:25" ht="12" customHeight="1" outlineLevel="1" x14ac:dyDescent="0.25">
      <c r="D48" s="10"/>
      <c r="H48" s="22"/>
      <c r="J48" s="108"/>
      <c r="K48" s="108"/>
      <c r="L48" s="108"/>
      <c r="M48" s="108"/>
      <c r="N48" s="108"/>
      <c r="O48" s="108"/>
      <c r="P48" s="108"/>
      <c r="Q48" s="108"/>
      <c r="R48" s="108"/>
      <c r="S48" s="108"/>
      <c r="T48" s="108"/>
      <c r="U48" s="118"/>
      <c r="V48" s="219"/>
      <c r="W48" s="219"/>
      <c r="X48" s="219"/>
      <c r="Y48" s="122"/>
    </row>
    <row r="49" spans="1:25" ht="12" customHeight="1" outlineLevel="1" x14ac:dyDescent="0.25">
      <c r="B49" s="25">
        <f ca="1">MAX($A$1:B48)+0.1</f>
        <v>3.1</v>
      </c>
      <c r="C49" s="9" t="str">
        <f>C17</f>
        <v>Plant, machinery and motor vehicles</v>
      </c>
      <c r="D49" s="10"/>
      <c r="G49" s="124">
        <f>'0.2.Parameters'!$H$191</f>
        <v>9</v>
      </c>
      <c r="H49" s="22"/>
      <c r="J49" s="302"/>
      <c r="K49" s="108"/>
      <c r="L49" s="108"/>
      <c r="M49" s="108"/>
      <c r="N49" s="108"/>
      <c r="O49" s="108"/>
      <c r="P49" s="108"/>
      <c r="Q49" s="108"/>
      <c r="R49" s="108"/>
      <c r="S49" s="108"/>
      <c r="T49" s="108"/>
      <c r="U49" s="118"/>
      <c r="V49" s="219"/>
      <c r="W49" s="219"/>
      <c r="X49" s="219"/>
      <c r="Y49" s="122"/>
    </row>
    <row r="50" spans="1:25" ht="12" customHeight="1" outlineLevel="2" x14ac:dyDescent="0.25">
      <c r="B50" s="25"/>
      <c r="D50" s="10" t="s">
        <v>76</v>
      </c>
      <c r="G50" s="10" t="str">
        <f>"EUR "&amp;Multiplier</f>
        <v>EUR thd</v>
      </c>
      <c r="H50" s="22"/>
      <c r="J50" s="117">
        <f t="shared" ref="J50:P50" si="36">I54</f>
        <v>0</v>
      </c>
      <c r="K50" s="117">
        <f t="shared" ca="1" si="36"/>
        <v>0</v>
      </c>
      <c r="L50" s="117">
        <f t="shared" ca="1" si="36"/>
        <v>0</v>
      </c>
      <c r="M50" s="117">
        <f t="shared" ca="1" si="36"/>
        <v>0</v>
      </c>
      <c r="N50" s="117">
        <f t="shared" ca="1" si="36"/>
        <v>0</v>
      </c>
      <c r="O50" s="117">
        <f t="shared" ca="1" si="36"/>
        <v>0</v>
      </c>
      <c r="P50" s="117">
        <f t="shared" ca="1" si="36"/>
        <v>0</v>
      </c>
      <c r="Q50" s="117">
        <f t="shared" ref="Q50" ca="1" si="37">P54</f>
        <v>0</v>
      </c>
      <c r="R50" s="117">
        <f t="shared" ref="R50" ca="1" si="38">Q54</f>
        <v>0</v>
      </c>
      <c r="S50" s="128"/>
      <c r="T50" s="128"/>
      <c r="U50" s="118"/>
      <c r="V50" s="220">
        <f t="shared" ref="V50:V54" ca="1" si="39">IF(ISERROR((($L50/$J50)^(1/($L$3-$J$3))-1)),0,(($L50/$J50)^(1/($L$3-$J$3))-1))</f>
        <v>0</v>
      </c>
      <c r="W50" s="220">
        <f t="shared" ref="W50:W54" ca="1" si="40">IF(ISERROR($M50/$L50-1),0,$M50/$L50-1)</f>
        <v>0</v>
      </c>
      <c r="X50" s="220">
        <f t="shared" ref="X50:X54" ca="1" si="41">IF(ISERROR((($P50/$M50)^(1/($P$3-$M$3))-1)),0,(($P50/$M50)^(1/($P$3-$M$3))-1))</f>
        <v>0</v>
      </c>
      <c r="Y50" s="504" t="s">
        <v>240</v>
      </c>
    </row>
    <row r="51" spans="1:25" ht="12" customHeight="1" outlineLevel="2" x14ac:dyDescent="0.25">
      <c r="B51" s="25"/>
      <c r="D51" s="10" t="s">
        <v>75</v>
      </c>
      <c r="G51" s="10" t="str">
        <f>"EUR "&amp;Multiplier</f>
        <v>EUR thd</v>
      </c>
      <c r="H51" s="22"/>
      <c r="J51" s="128"/>
      <c r="K51" s="128"/>
      <c r="L51" s="128"/>
      <c r="M51" s="107">
        <f>'1.4. CAPEX'!M8</f>
        <v>0</v>
      </c>
      <c r="N51" s="107">
        <f>'1.4. CAPEX'!N8</f>
        <v>0</v>
      </c>
      <c r="O51" s="107">
        <f>'1.4. CAPEX'!O8</f>
        <v>0</v>
      </c>
      <c r="P51" s="107">
        <v>0</v>
      </c>
      <c r="Q51" s="107">
        <v>0</v>
      </c>
      <c r="R51" s="107">
        <v>0</v>
      </c>
      <c r="S51" s="128"/>
      <c r="T51" s="128"/>
      <c r="U51" s="118"/>
      <c r="V51" s="220">
        <f t="shared" si="39"/>
        <v>0</v>
      </c>
      <c r="W51" s="220">
        <f t="shared" si="40"/>
        <v>0</v>
      </c>
      <c r="X51" s="220">
        <f t="shared" si="41"/>
        <v>0</v>
      </c>
      <c r="Y51" s="504" t="s">
        <v>240</v>
      </c>
    </row>
    <row r="52" spans="1:25" ht="12" customHeight="1" outlineLevel="2" x14ac:dyDescent="0.25">
      <c r="B52" s="25"/>
      <c r="D52" s="10" t="s">
        <v>83</v>
      </c>
      <c r="G52" s="10" t="str">
        <f>"EUR "&amp;Multiplier</f>
        <v>EUR thd</v>
      </c>
      <c r="H52" s="22"/>
      <c r="J52" s="117">
        <f>SUM($J51:J51)</f>
        <v>0</v>
      </c>
      <c r="K52" s="117">
        <f>SUM($J51:K51)</f>
        <v>0</v>
      </c>
      <c r="L52" s="117">
        <f>SUM($J51:L51)</f>
        <v>0</v>
      </c>
      <c r="M52" s="117">
        <f>SUM($J51:M51)</f>
        <v>0</v>
      </c>
      <c r="N52" s="117">
        <f>SUM($J51:N51)</f>
        <v>0</v>
      </c>
      <c r="O52" s="117">
        <f>SUM($J51:O51)</f>
        <v>0</v>
      </c>
      <c r="P52" s="117">
        <f>SUM($J51:P51)</f>
        <v>0</v>
      </c>
      <c r="Q52" s="117">
        <f>SUM($J51:Q51)</f>
        <v>0</v>
      </c>
      <c r="R52" s="117">
        <f>SUM($J51:R51)</f>
        <v>0</v>
      </c>
      <c r="S52" s="128"/>
      <c r="T52" s="128"/>
      <c r="U52" s="118"/>
      <c r="V52" s="220">
        <f t="shared" si="39"/>
        <v>0</v>
      </c>
      <c r="W52" s="220">
        <f t="shared" si="40"/>
        <v>0</v>
      </c>
      <c r="X52" s="220">
        <f t="shared" si="41"/>
        <v>0</v>
      </c>
      <c r="Y52" s="504" t="s">
        <v>240</v>
      </c>
    </row>
    <row r="53" spans="1:25" ht="12" customHeight="1" outlineLevel="1" x14ac:dyDescent="0.25">
      <c r="B53" s="25"/>
      <c r="D53" s="74" t="s">
        <v>77</v>
      </c>
      <c r="E53" s="50"/>
      <c r="F53" s="50"/>
      <c r="G53" s="50" t="str">
        <f>"EUR "&amp;Multiplier</f>
        <v>EUR thd</v>
      </c>
      <c r="H53" s="75"/>
      <c r="I53" s="50"/>
      <c r="J53" s="303">
        <f t="shared" ref="J53:P53" ca="1" si="42">IF(ISERROR(SUM(OFFSET(J51,,,1,-MIN(J$3,$G49)))/$G49),0,SUM(OFFSET(J51,,,1,-MIN(J$3,$G49)))/$G49)</f>
        <v>0</v>
      </c>
      <c r="K53" s="227">
        <f t="shared" ca="1" si="42"/>
        <v>0</v>
      </c>
      <c r="L53" s="227">
        <f t="shared" ca="1" si="42"/>
        <v>0</v>
      </c>
      <c r="M53" s="227">
        <f t="shared" ca="1" si="42"/>
        <v>0</v>
      </c>
      <c r="N53" s="227">
        <f t="shared" ca="1" si="42"/>
        <v>0</v>
      </c>
      <c r="O53" s="227">
        <f t="shared" ca="1" si="42"/>
        <v>0</v>
      </c>
      <c r="P53" s="227">
        <f t="shared" ca="1" si="42"/>
        <v>0</v>
      </c>
      <c r="Q53" s="227">
        <f t="shared" ref="Q53:R53" ca="1" si="43">IF(ISERROR(SUM(OFFSET(Q51,,,1,-MIN(Q$3,$G49)))/$G49),0,SUM(OFFSET(Q51,,,1,-MIN(Q$3,$G49)))/$G49)</f>
        <v>0</v>
      </c>
      <c r="R53" s="227">
        <f t="shared" ca="1" si="43"/>
        <v>0</v>
      </c>
      <c r="S53" s="128"/>
      <c r="T53" s="128"/>
      <c r="U53" s="118"/>
      <c r="V53" s="220">
        <f t="shared" ca="1" si="39"/>
        <v>0</v>
      </c>
      <c r="W53" s="220">
        <f t="shared" ca="1" si="40"/>
        <v>0</v>
      </c>
      <c r="X53" s="220">
        <f t="shared" ca="1" si="41"/>
        <v>0</v>
      </c>
      <c r="Y53" s="504" t="s">
        <v>240</v>
      </c>
    </row>
    <row r="54" spans="1:25" ht="12" customHeight="1" outlineLevel="1" x14ac:dyDescent="0.25">
      <c r="B54" s="25"/>
      <c r="D54" s="74" t="str">
        <f>"Closing balance "&amp;C49</f>
        <v>Closing balance Plant, machinery and motor vehicles</v>
      </c>
      <c r="E54" s="50"/>
      <c r="F54" s="50"/>
      <c r="G54" s="50" t="str">
        <f>"EUR "&amp;Multiplier</f>
        <v>EUR thd</v>
      </c>
      <c r="H54" s="75"/>
      <c r="I54" s="129"/>
      <c r="J54" s="303">
        <f t="shared" ref="J54:P54" ca="1" si="44">IF(J50+J51-J53&lt;0,0,J50+J51-J53)</f>
        <v>0</v>
      </c>
      <c r="K54" s="227">
        <f t="shared" ca="1" si="44"/>
        <v>0</v>
      </c>
      <c r="L54" s="227">
        <f t="shared" ca="1" si="44"/>
        <v>0</v>
      </c>
      <c r="M54" s="227">
        <f ca="1">IF(M50+M51-M53&lt;0,0,M50+M51-M53)</f>
        <v>0</v>
      </c>
      <c r="N54" s="227">
        <f t="shared" ca="1" si="44"/>
        <v>0</v>
      </c>
      <c r="O54" s="227">
        <f t="shared" ca="1" si="44"/>
        <v>0</v>
      </c>
      <c r="P54" s="227">
        <f t="shared" ca="1" si="44"/>
        <v>0</v>
      </c>
      <c r="Q54" s="227">
        <f t="shared" ref="Q54:R54" ca="1" si="45">IF(Q50+Q51-Q53&lt;0,0,Q50+Q51-Q53)</f>
        <v>0</v>
      </c>
      <c r="R54" s="227">
        <f t="shared" ca="1" si="45"/>
        <v>0</v>
      </c>
      <c r="S54" s="128"/>
      <c r="T54" s="128"/>
      <c r="U54" s="118"/>
      <c r="V54" s="220">
        <f t="shared" ca="1" si="39"/>
        <v>0</v>
      </c>
      <c r="W54" s="220">
        <f t="shared" ca="1" si="40"/>
        <v>0</v>
      </c>
      <c r="X54" s="220">
        <f t="shared" ca="1" si="41"/>
        <v>0</v>
      </c>
      <c r="Y54" s="504" t="s">
        <v>240</v>
      </c>
    </row>
    <row r="55" spans="1:25" ht="12" customHeight="1" x14ac:dyDescent="0.25">
      <c r="D55" s="10"/>
      <c r="J55" s="108"/>
      <c r="K55" s="108"/>
      <c r="L55" s="108"/>
      <c r="M55" s="108"/>
      <c r="N55" s="108"/>
      <c r="O55" s="108"/>
      <c r="P55" s="108"/>
      <c r="Q55" s="108"/>
      <c r="R55" s="108"/>
      <c r="S55" s="108"/>
      <c r="T55" s="108"/>
      <c r="U55" s="118"/>
      <c r="V55" s="219"/>
      <c r="W55" s="219"/>
      <c r="X55" s="219"/>
    </row>
    <row r="56" spans="1:25" ht="12" customHeight="1" x14ac:dyDescent="0.25">
      <c r="A56" s="14">
        <f ca="1">MAX($A$1:A55)+1</f>
        <v>4</v>
      </c>
      <c r="B56" s="15" t="s">
        <v>426</v>
      </c>
      <c r="C56" s="15"/>
      <c r="D56" s="16"/>
      <c r="E56" s="17"/>
      <c r="F56" s="17"/>
      <c r="G56" s="17"/>
      <c r="H56" s="18"/>
      <c r="I56" s="17"/>
      <c r="J56" s="299"/>
      <c r="K56" s="299"/>
      <c r="L56" s="299"/>
      <c r="M56" s="299"/>
      <c r="N56" s="299"/>
      <c r="O56" s="299"/>
      <c r="P56" s="299"/>
      <c r="Q56" s="299"/>
      <c r="R56" s="299"/>
      <c r="S56" s="299"/>
      <c r="T56" s="299"/>
      <c r="U56" s="300"/>
      <c r="V56" s="301"/>
      <c r="W56" s="301"/>
      <c r="X56" s="301"/>
      <c r="Y56" s="21"/>
    </row>
    <row r="57" spans="1:25" ht="12" customHeight="1" x14ac:dyDescent="0.25">
      <c r="D57" s="10"/>
      <c r="H57" s="22"/>
      <c r="J57" s="108"/>
      <c r="K57" s="108"/>
      <c r="L57" s="108"/>
      <c r="M57" s="108"/>
      <c r="N57" s="108"/>
      <c r="O57" s="108"/>
      <c r="P57" s="108"/>
      <c r="Q57" s="108"/>
      <c r="R57" s="108"/>
      <c r="S57" s="108"/>
      <c r="T57" s="108"/>
      <c r="U57" s="118"/>
      <c r="V57" s="219"/>
      <c r="W57" s="219"/>
      <c r="X57" s="219"/>
      <c r="Y57" s="122"/>
    </row>
    <row r="58" spans="1:25" ht="12" customHeight="1" x14ac:dyDescent="0.25">
      <c r="B58" s="25">
        <f ca="1">MAX($A$1:B57)+0.1</f>
        <v>4.0999999999999996</v>
      </c>
      <c r="C58" s="9" t="s">
        <v>113</v>
      </c>
      <c r="D58" s="10"/>
      <c r="G58" s="124">
        <f>'0.2.Parameters'!$H$191</f>
        <v>9</v>
      </c>
      <c r="H58" s="22"/>
      <c r="J58" s="302"/>
      <c r="K58" s="108"/>
      <c r="L58" s="108"/>
      <c r="M58" s="108"/>
      <c r="N58" s="108"/>
      <c r="O58" s="108"/>
      <c r="P58" s="108"/>
      <c r="Q58" s="108"/>
      <c r="R58" s="108"/>
      <c r="S58" s="108"/>
      <c r="T58" s="108"/>
      <c r="U58" s="118"/>
      <c r="V58" s="219"/>
      <c r="W58" s="219"/>
      <c r="X58" s="219"/>
      <c r="Y58" s="122"/>
    </row>
    <row r="59" spans="1:25" ht="12" customHeight="1" x14ac:dyDescent="0.25">
      <c r="B59" s="25"/>
      <c r="D59" s="10" t="s">
        <v>76</v>
      </c>
      <c r="G59" s="10" t="str">
        <f t="shared" ref="G59:G63" si="46">"EUR "&amp;Multiplier</f>
        <v>EUR thd</v>
      </c>
      <c r="H59" s="22"/>
      <c r="J59" s="117">
        <f t="shared" ref="J59:K59" si="47">I63</f>
        <v>0</v>
      </c>
      <c r="K59" s="117">
        <f t="shared" si="47"/>
        <v>9.5782717843694254</v>
      </c>
      <c r="L59" s="117">
        <f t="shared" ref="L59" si="48">K63</f>
        <v>5.2338262119878971</v>
      </c>
      <c r="M59" s="117">
        <f t="shared" ref="M59" si="49">L63</f>
        <v>3.2024207208559359</v>
      </c>
      <c r="N59" s="117">
        <f t="shared" ref="N59" ca="1" si="50">M63</f>
        <v>0</v>
      </c>
      <c r="O59" s="117">
        <f t="shared" ref="O59" ca="1" si="51">N63</f>
        <v>0</v>
      </c>
      <c r="P59" s="117">
        <f t="shared" ref="P59" ca="1" si="52">O63</f>
        <v>0</v>
      </c>
      <c r="Q59" s="809">
        <f t="shared" ref="Q59" ca="1" si="53">P63</f>
        <v>0</v>
      </c>
      <c r="R59" s="117">
        <f t="shared" ref="R59" ca="1" si="54">Q63</f>
        <v>0</v>
      </c>
      <c r="S59" s="128"/>
      <c r="T59" s="128"/>
      <c r="U59" s="118"/>
      <c r="V59" s="220">
        <f t="shared" ref="V59:V63" si="55">IF(ISERROR((($L59/$J59)^(1/($L$3-$J$3))-1)),0,(($L59/$J59)^(1/($L$3-$J$3))-1))</f>
        <v>0</v>
      </c>
      <c r="W59" s="220">
        <f t="shared" ref="W59:W63" si="56">IF(ISERROR($M59/$L59-1),0,$M59/$L59-1)</f>
        <v>-0.38813010001728709</v>
      </c>
      <c r="X59" s="220">
        <f t="shared" ref="X59:X63" ca="1" si="57">IF(ISERROR((($P59/$M59)^(1/($P$3-$M$3))-1)),0,(($P59/$M59)^(1/($P$3-$M$3))-1))</f>
        <v>-1</v>
      </c>
      <c r="Y59" s="504" t="s">
        <v>240</v>
      </c>
    </row>
    <row r="60" spans="1:25" ht="12" customHeight="1" x14ac:dyDescent="0.25">
      <c r="B60" s="25"/>
      <c r="D60" s="10" t="s">
        <v>75</v>
      </c>
      <c r="G60" s="10" t="str">
        <f t="shared" si="46"/>
        <v>EUR thd</v>
      </c>
      <c r="H60" s="22"/>
      <c r="J60" s="128"/>
      <c r="K60" s="128"/>
      <c r="L60" s="128"/>
      <c r="M60" s="107">
        <f>'1.4. CAPEX'!M13</f>
        <v>0</v>
      </c>
      <c r="N60" s="107">
        <f>'1.4. CAPEX'!N13</f>
        <v>0</v>
      </c>
      <c r="O60" s="107">
        <f>'1.4. CAPEX'!O13</f>
        <v>0</v>
      </c>
      <c r="P60" s="107">
        <f>'1.4. CAPEX'!P13</f>
        <v>0</v>
      </c>
      <c r="Q60" s="810">
        <f>'1.4. CAPEX'!Q13</f>
        <v>0</v>
      </c>
      <c r="R60" s="107">
        <f>'1.4. CAPEX'!R13</f>
        <v>0</v>
      </c>
      <c r="S60" s="128"/>
      <c r="T60" s="128"/>
      <c r="U60" s="118"/>
      <c r="V60" s="220">
        <f t="shared" si="55"/>
        <v>0</v>
      </c>
      <c r="W60" s="220">
        <f t="shared" si="56"/>
        <v>0</v>
      </c>
      <c r="X60" s="220">
        <f t="shared" si="57"/>
        <v>0</v>
      </c>
      <c r="Y60" s="504" t="s">
        <v>240</v>
      </c>
    </row>
    <row r="61" spans="1:25" ht="12" customHeight="1" x14ac:dyDescent="0.25">
      <c r="B61" s="25"/>
      <c r="D61" s="74" t="s">
        <v>428</v>
      </c>
      <c r="E61" s="50"/>
      <c r="F61" s="50"/>
      <c r="G61" s="50" t="str">
        <f t="shared" si="46"/>
        <v>EUR thd</v>
      </c>
      <c r="H61" s="75"/>
      <c r="I61" s="50"/>
      <c r="J61" s="303">
        <f t="shared" ref="J61:P61" ca="1" si="58">IF(ISERROR(SUM(OFFSET(J60,,,1,-MIN(J$3,$G58)))/$G58),0,SUM(OFFSET(J60,,,1,-MIN(J$3,$G58)))/$G58)</f>
        <v>0</v>
      </c>
      <c r="K61" s="227">
        <f t="shared" ca="1" si="58"/>
        <v>0</v>
      </c>
      <c r="L61" s="227">
        <f t="shared" ca="1" si="58"/>
        <v>0</v>
      </c>
      <c r="M61" s="227">
        <f t="shared" ca="1" si="58"/>
        <v>0</v>
      </c>
      <c r="N61" s="227">
        <f t="shared" ca="1" si="58"/>
        <v>0</v>
      </c>
      <c r="O61" s="227">
        <f t="shared" ca="1" si="58"/>
        <v>0</v>
      </c>
      <c r="P61" s="227">
        <f t="shared" ca="1" si="58"/>
        <v>0</v>
      </c>
      <c r="Q61" s="227">
        <f t="shared" ref="Q61:R61" ca="1" si="59">IF(ISERROR(SUM(OFFSET(Q60,,,1,-MIN(Q$3,$G58)))/$G58),0,SUM(OFFSET(Q60,,,1,-MIN(Q$3,$G58)))/$G58)</f>
        <v>0</v>
      </c>
      <c r="R61" s="613">
        <f t="shared" ca="1" si="59"/>
        <v>0</v>
      </c>
      <c r="S61" s="128"/>
      <c r="T61" s="128"/>
      <c r="U61" s="118"/>
      <c r="V61" s="220">
        <f t="shared" ca="1" si="55"/>
        <v>0</v>
      </c>
      <c r="W61" s="220">
        <f t="shared" ca="1" si="56"/>
        <v>0</v>
      </c>
      <c r="X61" s="220">
        <f t="shared" ca="1" si="57"/>
        <v>0</v>
      </c>
      <c r="Y61" s="504" t="s">
        <v>240</v>
      </c>
    </row>
    <row r="62" spans="1:25" ht="12" customHeight="1" x14ac:dyDescent="0.25">
      <c r="B62" s="25"/>
      <c r="D62" s="74" t="s">
        <v>1198</v>
      </c>
      <c r="E62" s="50"/>
      <c r="F62" s="50"/>
      <c r="G62" s="50" t="str">
        <f t="shared" si="46"/>
        <v>EUR thd</v>
      </c>
      <c r="H62" s="75"/>
      <c r="I62" s="50"/>
      <c r="J62" s="303"/>
      <c r="K62" s="227"/>
      <c r="L62" s="227"/>
      <c r="M62" s="227">
        <f>L63</f>
        <v>3.2024207208559359</v>
      </c>
      <c r="N62" s="227"/>
      <c r="O62" s="227"/>
      <c r="P62" s="227"/>
      <c r="Q62" s="227"/>
      <c r="R62" s="227"/>
      <c r="S62" s="128"/>
      <c r="T62" s="128"/>
      <c r="U62" s="118"/>
      <c r="V62" s="220"/>
      <c r="W62" s="220"/>
      <c r="X62" s="220"/>
      <c r="Y62" s="504"/>
    </row>
    <row r="63" spans="1:25" ht="12" customHeight="1" x14ac:dyDescent="0.25">
      <c r="B63" s="25"/>
      <c r="D63" s="74" t="str">
        <f>"Closing balance "&amp;C58</f>
        <v>Closing balance Subsidies</v>
      </c>
      <c r="E63" s="50"/>
      <c r="F63" s="50"/>
      <c r="G63" s="50" t="str">
        <f t="shared" si="46"/>
        <v>EUR thd</v>
      </c>
      <c r="H63" s="75"/>
      <c r="I63" s="129"/>
      <c r="J63" s="285">
        <f>'1.3.Historical BS'!AD70</f>
        <v>9.5782717843694254</v>
      </c>
      <c r="K63" s="285">
        <f>'1.3.Historical BS'!AE70</f>
        <v>5.2338262119878971</v>
      </c>
      <c r="L63" s="285">
        <f>'1.3.Historical BS'!AF70</f>
        <v>3.2024207208559359</v>
      </c>
      <c r="M63" s="227">
        <f ca="1">IF(M59+M60-M61-M62&lt;0,0,M59+M60-M61-M62)</f>
        <v>0</v>
      </c>
      <c r="N63" s="227">
        <f t="shared" ref="N63:R63" ca="1" si="60">IF(N59+N60-N61-N62&lt;0,0,N59+N60-N61-N62)</f>
        <v>0</v>
      </c>
      <c r="O63" s="227">
        <f t="shared" ca="1" si="60"/>
        <v>0</v>
      </c>
      <c r="P63" s="227">
        <f t="shared" ca="1" si="60"/>
        <v>0</v>
      </c>
      <c r="Q63" s="227">
        <f t="shared" ca="1" si="60"/>
        <v>0</v>
      </c>
      <c r="R63" s="227">
        <f t="shared" ca="1" si="60"/>
        <v>0</v>
      </c>
      <c r="S63" s="128"/>
      <c r="T63" s="128"/>
      <c r="U63" s="118"/>
      <c r="V63" s="220">
        <f t="shared" si="55"/>
        <v>5.444055509007395E-4</v>
      </c>
      <c r="W63" s="220">
        <f t="shared" ca="1" si="56"/>
        <v>-1</v>
      </c>
      <c r="X63" s="220">
        <f t="shared" ca="1" si="57"/>
        <v>0</v>
      </c>
      <c r="Y63" s="504" t="s">
        <v>240</v>
      </c>
    </row>
    <row r="64" spans="1:25" ht="12" customHeight="1" x14ac:dyDescent="0.25">
      <c r="D64" s="10"/>
      <c r="J64" s="108"/>
      <c r="K64" s="108"/>
      <c r="L64" s="108"/>
      <c r="M64" s="108"/>
      <c r="N64" s="108"/>
      <c r="O64" s="108"/>
      <c r="P64" s="108"/>
      <c r="Q64" s="108"/>
      <c r="R64" s="108"/>
      <c r="S64" s="108"/>
      <c r="T64" s="108"/>
      <c r="U64" s="118"/>
      <c r="V64" s="219"/>
      <c r="W64" s="219"/>
      <c r="X64" s="219"/>
    </row>
    <row r="65" spans="1:25" ht="12" customHeight="1" x14ac:dyDescent="0.25">
      <c r="A65" s="14">
        <f ca="1">MAX($A$1:A57)+1</f>
        <v>5</v>
      </c>
      <c r="B65" s="15" t="s">
        <v>82</v>
      </c>
      <c r="C65" s="15"/>
      <c r="D65" s="16"/>
      <c r="E65" s="16"/>
      <c r="F65" s="16"/>
      <c r="G65" s="17"/>
      <c r="H65" s="18"/>
      <c r="I65" s="17"/>
      <c r="J65" s="299"/>
      <c r="K65" s="299"/>
      <c r="L65" s="299"/>
      <c r="M65" s="299"/>
      <c r="N65" s="299"/>
      <c r="O65" s="299"/>
      <c r="P65" s="299"/>
      <c r="Q65" s="299"/>
      <c r="R65" s="299"/>
      <c r="S65" s="299"/>
      <c r="T65" s="299"/>
      <c r="U65" s="300"/>
      <c r="V65" s="301"/>
      <c r="W65" s="301"/>
      <c r="X65" s="301"/>
      <c r="Y65" s="21"/>
    </row>
    <row r="66" spans="1:25" ht="12" customHeight="1" x14ac:dyDescent="0.25">
      <c r="D66" s="10"/>
      <c r="H66" s="22"/>
      <c r="J66" s="108"/>
      <c r="K66" s="108"/>
      <c r="L66" s="108"/>
      <c r="M66" s="108"/>
      <c r="N66" s="108"/>
      <c r="O66" s="108"/>
      <c r="P66" s="108"/>
      <c r="Q66" s="108"/>
      <c r="R66" s="108"/>
      <c r="S66" s="108"/>
      <c r="T66" s="108"/>
      <c r="U66" s="118"/>
      <c r="V66" s="219"/>
      <c r="W66" s="219"/>
      <c r="X66" s="219"/>
      <c r="Y66" s="122"/>
    </row>
    <row r="67" spans="1:25" ht="12" customHeight="1" x14ac:dyDescent="0.25">
      <c r="B67" s="25">
        <f ca="1">MAX($A$1:B65)+0.1</f>
        <v>5.0999999999999996</v>
      </c>
      <c r="C67" s="9" t="s">
        <v>81</v>
      </c>
      <c r="D67" s="10"/>
      <c r="J67" s="304"/>
      <c r="K67" s="304"/>
      <c r="L67" s="304"/>
      <c r="M67" s="304"/>
      <c r="N67" s="304"/>
      <c r="O67" s="304"/>
      <c r="P67" s="304"/>
      <c r="Q67" s="304"/>
      <c r="R67" s="304"/>
      <c r="S67" s="304"/>
      <c r="T67" s="304"/>
      <c r="U67" s="118"/>
      <c r="V67" s="219"/>
      <c r="W67" s="219"/>
      <c r="X67" s="219"/>
      <c r="Y67" s="122"/>
    </row>
    <row r="68" spans="1:25" ht="12" customHeight="1" x14ac:dyDescent="0.25">
      <c r="B68" s="88"/>
      <c r="C68" s="86" t="s">
        <v>78</v>
      </c>
      <c r="D68" s="131"/>
      <c r="E68" s="91"/>
      <c r="F68" s="91"/>
      <c r="G68" s="131"/>
      <c r="H68" s="132"/>
      <c r="I68" s="131"/>
      <c r="J68" s="304"/>
      <c r="K68" s="304"/>
      <c r="L68" s="304"/>
      <c r="M68" s="304"/>
      <c r="N68" s="304"/>
      <c r="O68" s="304"/>
      <c r="P68" s="304"/>
      <c r="Q68" s="304"/>
      <c r="R68" s="304"/>
      <c r="S68" s="304"/>
      <c r="T68" s="304"/>
      <c r="U68" s="306"/>
      <c r="V68" s="110"/>
      <c r="W68" s="110"/>
      <c r="X68" s="110"/>
      <c r="Y68" s="122"/>
    </row>
    <row r="69" spans="1:25" ht="12" customHeight="1" x14ac:dyDescent="0.25">
      <c r="B69" s="25"/>
      <c r="D69" s="74" t="str">
        <f>$C$10</f>
        <v>Intangible assets</v>
      </c>
      <c r="E69" s="50"/>
      <c r="F69" s="50"/>
      <c r="G69" s="50" t="str">
        <f t="shared" ref="G69:G72" si="61">"EUR "&amp;Multiplier</f>
        <v>EUR thd</v>
      </c>
      <c r="H69" s="75"/>
      <c r="I69" s="50"/>
      <c r="J69" s="134"/>
      <c r="K69" s="135"/>
      <c r="L69" s="135"/>
      <c r="M69" s="135"/>
      <c r="N69" s="135"/>
      <c r="O69" s="135"/>
      <c r="P69" s="135"/>
      <c r="Q69" s="135"/>
      <c r="R69" s="135"/>
      <c r="S69" s="128"/>
      <c r="T69" s="128"/>
      <c r="U69" s="118"/>
      <c r="V69" s="220">
        <f t="shared" ref="V69:V71" si="62">IF(ISERROR((($L69/$J69)^(1/($L$3-$J$3))-1)),0,(($L69/$J69)^(1/($L$3-$J$3))-1))</f>
        <v>0</v>
      </c>
      <c r="W69" s="220">
        <f t="shared" ref="W69:W71" si="63">IF(ISERROR($M69/$L69-1),0,$M69/$L69-1)</f>
        <v>0</v>
      </c>
      <c r="X69" s="220">
        <f t="shared" ref="X69:X71" si="64">IF(ISERROR((($P69/$M69)^(1/($P$3-$M$3))-1)),0,(($P69/$M69)^(1/($P$3-$M$3))-1))</f>
        <v>0</v>
      </c>
      <c r="Y69" s="122"/>
    </row>
    <row r="70" spans="1:25" ht="12" customHeight="1" x14ac:dyDescent="0.25">
      <c r="D70" s="74" t="str">
        <f>$C$17</f>
        <v>Plant, machinery and motor vehicles</v>
      </c>
      <c r="E70" s="50"/>
      <c r="F70" s="50"/>
      <c r="G70" s="50" t="str">
        <f t="shared" si="61"/>
        <v>EUR thd</v>
      </c>
      <c r="H70" s="75"/>
      <c r="I70" s="50"/>
      <c r="J70" s="134"/>
      <c r="K70" s="135"/>
      <c r="L70" s="135"/>
      <c r="M70" s="135"/>
      <c r="N70" s="135"/>
      <c r="O70" s="135"/>
      <c r="P70" s="135"/>
      <c r="Q70" s="135"/>
      <c r="R70" s="135"/>
      <c r="S70" s="128"/>
      <c r="T70" s="128"/>
      <c r="U70" s="118"/>
      <c r="V70" s="220">
        <f t="shared" si="62"/>
        <v>0</v>
      </c>
      <c r="W70" s="220">
        <f t="shared" si="63"/>
        <v>0</v>
      </c>
      <c r="X70" s="220">
        <f t="shared" si="64"/>
        <v>0</v>
      </c>
      <c r="Y70" s="122"/>
    </row>
    <row r="71" spans="1:25" ht="12" customHeight="1" x14ac:dyDescent="0.25">
      <c r="D71" s="74" t="str">
        <f>$C$24</f>
        <v>Fixtures and fittings</v>
      </c>
      <c r="E71" s="50"/>
      <c r="F71" s="50"/>
      <c r="G71" s="50" t="str">
        <f t="shared" si="61"/>
        <v>EUR thd</v>
      </c>
      <c r="H71" s="75"/>
      <c r="I71" s="50"/>
      <c r="J71" s="134"/>
      <c r="K71" s="135"/>
      <c r="L71" s="135"/>
      <c r="M71" s="135"/>
      <c r="N71" s="135"/>
      <c r="O71" s="135"/>
      <c r="P71" s="135"/>
      <c r="Q71" s="135"/>
      <c r="R71" s="135"/>
      <c r="S71" s="128"/>
      <c r="T71" s="128"/>
      <c r="U71" s="118"/>
      <c r="V71" s="220">
        <f t="shared" si="62"/>
        <v>0</v>
      </c>
      <c r="W71" s="220">
        <f t="shared" si="63"/>
        <v>0</v>
      </c>
      <c r="X71" s="220">
        <f t="shared" si="64"/>
        <v>0</v>
      </c>
      <c r="Y71" s="122"/>
    </row>
    <row r="72" spans="1:25" ht="12" customHeight="1" x14ac:dyDescent="0.25">
      <c r="D72" s="74" t="str">
        <f>$C$31</f>
        <v>Other tangible assets</v>
      </c>
      <c r="E72" s="50"/>
      <c r="F72" s="50"/>
      <c r="G72" s="50" t="str">
        <f t="shared" si="61"/>
        <v>EUR thd</v>
      </c>
      <c r="H72" s="75"/>
      <c r="I72" s="50"/>
      <c r="J72" s="134"/>
      <c r="K72" s="135"/>
      <c r="L72" s="135"/>
      <c r="M72" s="135"/>
      <c r="N72" s="135"/>
      <c r="O72" s="135"/>
      <c r="P72" s="135"/>
      <c r="Q72" s="135"/>
      <c r="R72" s="135"/>
      <c r="S72" s="128"/>
      <c r="T72" s="128"/>
      <c r="U72" s="118"/>
      <c r="V72" s="220"/>
      <c r="W72" s="220"/>
      <c r="X72" s="220"/>
      <c r="Y72" s="122"/>
    </row>
    <row r="73" spans="1:25" ht="12" customHeight="1" x14ac:dyDescent="0.25">
      <c r="B73" s="25"/>
      <c r="C73" s="86" t="s">
        <v>79</v>
      </c>
      <c r="D73" s="131"/>
      <c r="G73" s="131"/>
      <c r="H73" s="132"/>
      <c r="I73" s="131"/>
      <c r="J73" s="304"/>
      <c r="K73" s="304"/>
      <c r="L73" s="304"/>
      <c r="M73" s="304"/>
      <c r="N73" s="304"/>
      <c r="O73" s="304"/>
      <c r="P73" s="304"/>
      <c r="Q73" s="304"/>
      <c r="R73" s="304"/>
      <c r="S73" s="304"/>
      <c r="T73" s="304"/>
      <c r="U73" s="118"/>
      <c r="V73" s="219"/>
      <c r="W73" s="219"/>
      <c r="X73" s="219"/>
      <c r="Y73" s="122"/>
    </row>
    <row r="74" spans="1:25" ht="12" customHeight="1" x14ac:dyDescent="0.25">
      <c r="B74" s="25"/>
      <c r="D74" s="74" t="str">
        <f>$C$10</f>
        <v>Intangible assets</v>
      </c>
      <c r="E74" s="50"/>
      <c r="F74" s="50"/>
      <c r="G74" s="50" t="str">
        <f t="shared" ref="G74:G77" si="65">"EUR "&amp;Multiplier</f>
        <v>EUR thd</v>
      </c>
      <c r="H74" s="75"/>
      <c r="I74" s="50"/>
      <c r="J74" s="134"/>
      <c r="K74" s="135"/>
      <c r="L74" s="135"/>
      <c r="M74" s="135"/>
      <c r="N74" s="135"/>
      <c r="O74" s="135"/>
      <c r="P74" s="135"/>
      <c r="Q74" s="135"/>
      <c r="R74" s="135"/>
      <c r="S74" s="128"/>
      <c r="T74" s="128"/>
      <c r="U74" s="118"/>
      <c r="V74" s="220">
        <f t="shared" ref="V74:V76" si="66">IF(ISERROR((($L74/$J74)^(1/($L$3-$J$3))-1)),0,(($L74/$J74)^(1/($L$3-$J$3))-1))</f>
        <v>0</v>
      </c>
      <c r="W74" s="220">
        <f t="shared" ref="W74:W76" si="67">IF(ISERROR($M74/$L74-1),0,$M74/$L74-1)</f>
        <v>0</v>
      </c>
      <c r="X74" s="220">
        <f t="shared" ref="X74:X76" si="68">IF(ISERROR((($P74/$M74)^(1/($P$3-$M$3))-1)),0,(($P74/$M74)^(1/($P$3-$M$3))-1))</f>
        <v>0</v>
      </c>
      <c r="Y74" s="122"/>
    </row>
    <row r="75" spans="1:25" ht="12" customHeight="1" x14ac:dyDescent="0.25">
      <c r="D75" s="74" t="str">
        <f>$C$17</f>
        <v>Plant, machinery and motor vehicles</v>
      </c>
      <c r="E75" s="50"/>
      <c r="F75" s="50"/>
      <c r="G75" s="50" t="str">
        <f t="shared" si="65"/>
        <v>EUR thd</v>
      </c>
      <c r="H75" s="75"/>
      <c r="I75" s="50"/>
      <c r="J75" s="134"/>
      <c r="K75" s="135"/>
      <c r="L75" s="135"/>
      <c r="M75" s="303">
        <f t="shared" ref="M75:R75" si="69">M51</f>
        <v>0</v>
      </c>
      <c r="N75" s="303">
        <f t="shared" si="69"/>
        <v>0</v>
      </c>
      <c r="O75" s="303">
        <f t="shared" si="69"/>
        <v>0</v>
      </c>
      <c r="P75" s="303">
        <f t="shared" si="69"/>
        <v>0</v>
      </c>
      <c r="Q75" s="303">
        <f t="shared" si="69"/>
        <v>0</v>
      </c>
      <c r="R75" s="303">
        <f t="shared" si="69"/>
        <v>0</v>
      </c>
      <c r="S75" s="128"/>
      <c r="T75" s="128"/>
      <c r="U75" s="118"/>
      <c r="V75" s="220">
        <f t="shared" si="66"/>
        <v>0</v>
      </c>
      <c r="W75" s="220">
        <f t="shared" si="67"/>
        <v>0</v>
      </c>
      <c r="X75" s="220">
        <f t="shared" si="68"/>
        <v>0</v>
      </c>
      <c r="Y75" s="122"/>
    </row>
    <row r="76" spans="1:25" ht="12" customHeight="1" x14ac:dyDescent="0.25">
      <c r="D76" s="74" t="str">
        <f>$C$24</f>
        <v>Fixtures and fittings</v>
      </c>
      <c r="E76" s="50"/>
      <c r="F76" s="50"/>
      <c r="G76" s="50" t="str">
        <f t="shared" si="65"/>
        <v>EUR thd</v>
      </c>
      <c r="H76" s="75"/>
      <c r="I76" s="50"/>
      <c r="J76" s="134"/>
      <c r="K76" s="135"/>
      <c r="L76" s="135"/>
      <c r="M76" s="135"/>
      <c r="N76" s="135"/>
      <c r="O76" s="135"/>
      <c r="P76" s="135"/>
      <c r="Q76" s="135"/>
      <c r="R76" s="135"/>
      <c r="S76" s="128"/>
      <c r="T76" s="128"/>
      <c r="U76" s="118"/>
      <c r="V76" s="220">
        <f t="shared" si="66"/>
        <v>0</v>
      </c>
      <c r="W76" s="220">
        <f t="shared" si="67"/>
        <v>0</v>
      </c>
      <c r="X76" s="220">
        <f t="shared" si="68"/>
        <v>0</v>
      </c>
      <c r="Y76" s="122"/>
    </row>
    <row r="77" spans="1:25" ht="12" customHeight="1" x14ac:dyDescent="0.25">
      <c r="D77" s="74" t="str">
        <f>$C$31</f>
        <v>Other tangible assets</v>
      </c>
      <c r="E77" s="50"/>
      <c r="F77" s="50"/>
      <c r="G77" s="50" t="str">
        <f t="shared" si="65"/>
        <v>EUR thd</v>
      </c>
      <c r="H77" s="75"/>
      <c r="I77" s="50"/>
      <c r="J77" s="134"/>
      <c r="K77" s="135"/>
      <c r="L77" s="135"/>
      <c r="M77" s="135"/>
      <c r="N77" s="135"/>
      <c r="O77" s="135"/>
      <c r="P77" s="135"/>
      <c r="Q77" s="135"/>
      <c r="R77" s="135"/>
      <c r="S77" s="128"/>
      <c r="T77" s="128"/>
      <c r="U77" s="118"/>
      <c r="V77" s="220"/>
      <c r="W77" s="220"/>
      <c r="X77" s="220"/>
      <c r="Y77" s="122"/>
    </row>
    <row r="78" spans="1:25" ht="12" customHeight="1" x14ac:dyDescent="0.25">
      <c r="D78" s="10"/>
      <c r="H78" s="22"/>
      <c r="J78" s="108"/>
      <c r="K78" s="108"/>
      <c r="L78" s="108"/>
      <c r="M78" s="108"/>
      <c r="N78" s="108"/>
      <c r="O78" s="108"/>
      <c r="P78" s="108"/>
      <c r="Q78" s="108"/>
      <c r="R78" s="108"/>
      <c r="S78" s="108"/>
      <c r="T78" s="108"/>
      <c r="U78" s="118"/>
      <c r="V78" s="219"/>
      <c r="W78" s="219"/>
      <c r="X78" s="219"/>
      <c r="Y78" s="122"/>
    </row>
    <row r="79" spans="1:25" ht="12" customHeight="1" x14ac:dyDescent="0.25">
      <c r="B79" s="25">
        <f ca="1">MAX($A$1:B68)+0.1</f>
        <v>5.1999999999999993</v>
      </c>
      <c r="C79" s="9" t="s">
        <v>81</v>
      </c>
      <c r="D79" s="10"/>
      <c r="J79" s="304"/>
      <c r="K79" s="304"/>
      <c r="L79" s="304"/>
      <c r="M79" s="304"/>
      <c r="N79" s="304"/>
      <c r="O79" s="304"/>
      <c r="P79" s="304"/>
      <c r="Q79" s="304"/>
      <c r="R79" s="304"/>
      <c r="S79" s="304"/>
      <c r="T79" s="304"/>
      <c r="U79" s="118"/>
      <c r="V79" s="219"/>
      <c r="W79" s="219"/>
      <c r="X79" s="219"/>
    </row>
    <row r="80" spans="1:25" ht="12" customHeight="1" x14ac:dyDescent="0.25">
      <c r="B80" s="25"/>
      <c r="D80" s="74" t="s">
        <v>123</v>
      </c>
      <c r="E80" s="50"/>
      <c r="F80" s="50"/>
      <c r="G80" s="50" t="str">
        <f>"EUR "&amp;Multiplier</f>
        <v>EUR thd</v>
      </c>
      <c r="H80" s="75"/>
      <c r="I80" s="50"/>
      <c r="J80" s="305"/>
      <c r="K80" s="130"/>
      <c r="L80" s="130"/>
      <c r="M80" s="130"/>
      <c r="N80" s="130"/>
      <c r="O80" s="130"/>
      <c r="P80" s="130"/>
      <c r="Q80" s="130"/>
      <c r="R80" s="130"/>
      <c r="S80" s="128"/>
      <c r="T80" s="128"/>
      <c r="U80" s="118"/>
      <c r="V80" s="220">
        <f t="shared" ref="V80" si="70">IF(ISERROR((($L80/$J80)^(1/($L$3-$J$3))-1)),0,(($L80/$J80)^(1/($L$3-$J$3))-1))</f>
        <v>0</v>
      </c>
      <c r="W80" s="220">
        <f t="shared" ref="W80" si="71">IF(ISERROR($M80/$L80-1),0,$M80/$L80-1)</f>
        <v>0</v>
      </c>
      <c r="X80" s="220">
        <f t="shared" ref="X80" si="72">IF(ISERROR((($P80/$M80)^(1/($P$3-$M$3))-1)),0,(($P80/$M80)^(1/($P$3-$M$3))-1))</f>
        <v>0</v>
      </c>
    </row>
    <row r="81" spans="1:25" s="91" customFormat="1" ht="12" customHeight="1" x14ac:dyDescent="0.25">
      <c r="A81" s="86"/>
      <c r="B81" s="88"/>
      <c r="C81" s="86" t="s">
        <v>78</v>
      </c>
      <c r="D81" s="131"/>
      <c r="G81" s="131"/>
      <c r="H81" s="132"/>
      <c r="I81" s="131"/>
      <c r="J81" s="304"/>
      <c r="K81" s="304"/>
      <c r="L81" s="304"/>
      <c r="M81" s="304"/>
      <c r="N81" s="304"/>
      <c r="O81" s="304"/>
      <c r="P81" s="304"/>
      <c r="Q81" s="304"/>
      <c r="R81" s="304"/>
      <c r="S81" s="304"/>
      <c r="T81" s="304"/>
      <c r="U81" s="306"/>
      <c r="V81" s="110"/>
      <c r="W81" s="110"/>
      <c r="X81" s="110"/>
      <c r="Y81" s="133"/>
    </row>
    <row r="82" spans="1:25" ht="12" customHeight="1" x14ac:dyDescent="0.25">
      <c r="B82" s="25"/>
      <c r="D82" s="74" t="str">
        <f>$C$10</f>
        <v>Intangible assets</v>
      </c>
      <c r="E82" s="50"/>
      <c r="F82" s="50"/>
      <c r="G82" s="50" t="str">
        <f t="shared" ref="G82:G85" si="73">"EUR "&amp;Multiplier</f>
        <v>EUR thd</v>
      </c>
      <c r="H82" s="75"/>
      <c r="I82" s="50"/>
      <c r="J82" s="303">
        <f t="shared" ref="J82:R82" si="74">J15</f>
        <v>2.3013631058554092</v>
      </c>
      <c r="K82" s="303">
        <f t="shared" si="74"/>
        <v>1.1124214005193462</v>
      </c>
      <c r="L82" s="303">
        <f t="shared" si="74"/>
        <v>1.1904886468406277</v>
      </c>
      <c r="M82" s="303">
        <f t="shared" si="74"/>
        <v>1.1904886468406277</v>
      </c>
      <c r="N82" s="303">
        <f t="shared" si="74"/>
        <v>1.1904886468406277</v>
      </c>
      <c r="O82" s="303">
        <f t="shared" si="74"/>
        <v>1.1904886468406277</v>
      </c>
      <c r="P82" s="303">
        <f t="shared" si="74"/>
        <v>1.1904886468406277</v>
      </c>
      <c r="Q82" s="303">
        <f t="shared" si="74"/>
        <v>1.1904886468406277</v>
      </c>
      <c r="R82" s="303">
        <f t="shared" si="74"/>
        <v>1.1904886468406277</v>
      </c>
      <c r="S82" s="128"/>
      <c r="T82" s="128"/>
      <c r="U82" s="118"/>
      <c r="V82" s="220">
        <f t="shared" ref="V82:V84" si="75">IF(ISERROR((($L82/$J82)^(1/($L$3-$J$3))-1)),0,(($L82/$J82)^(1/($L$3-$J$3))-1))</f>
        <v>3.2749412699928371E-4</v>
      </c>
      <c r="W82" s="220">
        <f t="shared" ref="W82:W84" si="76">IF(ISERROR($M82/$L82-1),0,$M82/$L82-1)</f>
        <v>0</v>
      </c>
      <c r="X82" s="220">
        <f t="shared" ref="X82:X84" si="77">IF(ISERROR((($P82/$M82)^(1/($P$3-$M$3))-1)),0,(($P82/$M82)^(1/($P$3-$M$3))-1))</f>
        <v>0</v>
      </c>
      <c r="Y82" s="122"/>
    </row>
    <row r="83" spans="1:25" ht="12" customHeight="1" x14ac:dyDescent="0.25">
      <c r="D83" s="74" t="str">
        <f>$C$17</f>
        <v>Plant, machinery and motor vehicles</v>
      </c>
      <c r="E83" s="50"/>
      <c r="F83" s="50"/>
      <c r="G83" s="50" t="str">
        <f t="shared" si="73"/>
        <v>EUR thd</v>
      </c>
      <c r="H83" s="75"/>
      <c r="I83" s="50"/>
      <c r="J83" s="303">
        <f t="shared" ref="J83:R83" si="78">J22</f>
        <v>117.98994076325121</v>
      </c>
      <c r="K83" s="303">
        <f t="shared" si="78"/>
        <v>66.778404189110901</v>
      </c>
      <c r="L83" s="303">
        <f t="shared" si="78"/>
        <v>33.480228992902873</v>
      </c>
      <c r="M83" s="303">
        <f t="shared" si="78"/>
        <v>0.71337721649256025</v>
      </c>
      <c r="N83" s="303">
        <f t="shared" si="78"/>
        <v>-12.17133536543502</v>
      </c>
      <c r="O83" s="303">
        <f t="shared" si="78"/>
        <v>-14.455095975728348</v>
      </c>
      <c r="P83" s="303">
        <f t="shared" si="78"/>
        <v>-14.970318926195738</v>
      </c>
      <c r="Q83" s="303">
        <f t="shared" si="78"/>
        <v>-15.093688433018558</v>
      </c>
      <c r="R83" s="303">
        <f t="shared" si="78"/>
        <v>-15.093688433018558</v>
      </c>
      <c r="S83" s="128"/>
      <c r="T83" s="128"/>
      <c r="U83" s="118"/>
      <c r="V83" s="220">
        <f t="shared" si="75"/>
        <v>6.2595056342895639E-4</v>
      </c>
      <c r="W83" s="220">
        <f t="shared" si="76"/>
        <v>-0.9786925825195586</v>
      </c>
      <c r="X83" s="220">
        <f t="shared" si="77"/>
        <v>-3.7582731543774814</v>
      </c>
    </row>
    <row r="84" spans="1:25" ht="12" customHeight="1" x14ac:dyDescent="0.25">
      <c r="D84" s="74" t="str">
        <f>$C$24</f>
        <v>Fixtures and fittings</v>
      </c>
      <c r="E84" s="50"/>
      <c r="F84" s="50"/>
      <c r="G84" s="50" t="str">
        <f t="shared" si="73"/>
        <v>EUR thd</v>
      </c>
      <c r="H84" s="75"/>
      <c r="I84" s="50"/>
      <c r="J84" s="303">
        <f t="shared" ref="J84:R84" si="79">J29</f>
        <v>45.672398758010175</v>
      </c>
      <c r="K84" s="303">
        <f t="shared" si="79"/>
        <v>44.509931969869307</v>
      </c>
      <c r="L84" s="303">
        <f t="shared" si="79"/>
        <v>44.635972040566905</v>
      </c>
      <c r="M84" s="303">
        <f t="shared" si="79"/>
        <v>42.645264692639202</v>
      </c>
      <c r="N84" s="303">
        <f t="shared" si="79"/>
        <v>41.348298967915873</v>
      </c>
      <c r="O84" s="303">
        <f t="shared" si="79"/>
        <v>41.142866497732143</v>
      </c>
      <c r="P84" s="303">
        <f t="shared" si="79"/>
        <v>41.142866497732143</v>
      </c>
      <c r="Q84" s="303">
        <f t="shared" si="79"/>
        <v>41.142866497732143</v>
      </c>
      <c r="R84" s="303">
        <f t="shared" si="79"/>
        <v>41.142866497732143</v>
      </c>
      <c r="S84" s="128"/>
      <c r="T84" s="128"/>
      <c r="U84" s="118"/>
      <c r="V84" s="220">
        <f t="shared" si="75"/>
        <v>1.1402979864794105E-5</v>
      </c>
      <c r="W84" s="220">
        <f t="shared" si="76"/>
        <v>-4.459872288920852E-2</v>
      </c>
      <c r="X84" s="220">
        <f t="shared" si="77"/>
        <v>-1.1884047602031322E-2</v>
      </c>
    </row>
    <row r="85" spans="1:25" ht="12" customHeight="1" x14ac:dyDescent="0.25">
      <c r="D85" s="74" t="str">
        <f>$C$31</f>
        <v>Other tangible assets</v>
      </c>
      <c r="E85" s="50"/>
      <c r="F85" s="50"/>
      <c r="G85" s="50" t="str">
        <f t="shared" si="73"/>
        <v>EUR thd</v>
      </c>
      <c r="H85" s="75"/>
      <c r="I85" s="50"/>
      <c r="J85" s="303">
        <f t="shared" ref="J85:R85" si="80">J36</f>
        <v>9.9006892603113794</v>
      </c>
      <c r="K85" s="303">
        <f t="shared" si="80"/>
        <v>3.08142155074361</v>
      </c>
      <c r="L85" s="303">
        <f t="shared" si="80"/>
        <v>0</v>
      </c>
      <c r="M85" s="303">
        <f t="shared" si="80"/>
        <v>0</v>
      </c>
      <c r="N85" s="303">
        <f t="shared" si="80"/>
        <v>0</v>
      </c>
      <c r="O85" s="303">
        <f t="shared" si="80"/>
        <v>0</v>
      </c>
      <c r="P85" s="303">
        <f t="shared" si="80"/>
        <v>0</v>
      </c>
      <c r="Q85" s="303">
        <f t="shared" si="80"/>
        <v>0</v>
      </c>
      <c r="R85" s="303">
        <f t="shared" si="80"/>
        <v>0</v>
      </c>
      <c r="S85" s="128"/>
      <c r="T85" s="128"/>
      <c r="U85" s="118"/>
      <c r="V85" s="220"/>
      <c r="W85" s="220"/>
      <c r="X85" s="220"/>
    </row>
    <row r="86" spans="1:25" ht="12" customHeight="1" x14ac:dyDescent="0.25">
      <c r="B86" s="25"/>
      <c r="C86" s="86" t="s">
        <v>79</v>
      </c>
      <c r="D86" s="131"/>
      <c r="G86" s="131"/>
      <c r="H86" s="132"/>
      <c r="I86" s="131"/>
      <c r="J86" s="304"/>
      <c r="K86" s="304"/>
      <c r="L86" s="304"/>
      <c r="M86" s="304"/>
      <c r="N86" s="304"/>
      <c r="O86" s="304"/>
      <c r="P86" s="304"/>
      <c r="Q86" s="304"/>
      <c r="R86" s="304"/>
      <c r="S86" s="304"/>
      <c r="T86" s="304"/>
      <c r="U86" s="118"/>
      <c r="V86" s="219"/>
      <c r="W86" s="219"/>
      <c r="X86" s="219"/>
      <c r="Y86" s="122"/>
    </row>
    <row r="87" spans="1:25" ht="12" customHeight="1" x14ac:dyDescent="0.25">
      <c r="B87" s="25"/>
      <c r="D87" s="74" t="str">
        <f>D82</f>
        <v>Intangible assets</v>
      </c>
      <c r="E87" s="50"/>
      <c r="F87" s="50"/>
      <c r="G87" s="50" t="str">
        <f t="shared" ref="G87:G90" si="81">"EUR "&amp;Multiplier</f>
        <v>EUR thd</v>
      </c>
      <c r="H87" s="75"/>
      <c r="I87" s="50"/>
      <c r="J87" s="134"/>
      <c r="K87" s="135"/>
      <c r="L87" s="135"/>
      <c r="M87" s="135"/>
      <c r="N87" s="135"/>
      <c r="O87" s="135"/>
      <c r="P87" s="135"/>
      <c r="Q87" s="135"/>
      <c r="R87" s="135"/>
      <c r="S87" s="128"/>
      <c r="T87" s="128"/>
      <c r="U87" s="118"/>
      <c r="V87" s="220">
        <f t="shared" ref="V87:V89" si="82">IF(ISERROR((($L87/$J87)^(1/($L$3-$J$3))-1)),0,(($L87/$J87)^(1/($L$3-$J$3))-1))</f>
        <v>0</v>
      </c>
      <c r="W87" s="220">
        <f t="shared" ref="W87:W89" si="83">IF(ISERROR($M87/$L87-1),0,$M87/$L87-1)</f>
        <v>0</v>
      </c>
      <c r="X87" s="220">
        <f t="shared" ref="X87:X89" si="84">IF(ISERROR((($P87/$M87)^(1/($P$3-$M$3))-1)),0,(($P87/$M87)^(1/($P$3-$M$3))-1))</f>
        <v>0</v>
      </c>
      <c r="Y87" s="122"/>
    </row>
    <row r="88" spans="1:25" ht="12" customHeight="1" x14ac:dyDescent="0.25">
      <c r="D88" s="74" t="str">
        <f>D83</f>
        <v>Plant, machinery and motor vehicles</v>
      </c>
      <c r="E88" s="50"/>
      <c r="F88" s="50"/>
      <c r="G88" s="50" t="str">
        <f t="shared" si="81"/>
        <v>EUR thd</v>
      </c>
      <c r="H88" s="75"/>
      <c r="I88" s="50"/>
      <c r="J88" s="303">
        <f t="shared" ref="J88:R88" ca="1" si="85">J54</f>
        <v>0</v>
      </c>
      <c r="K88" s="303">
        <f t="shared" ca="1" si="85"/>
        <v>0</v>
      </c>
      <c r="L88" s="303">
        <f t="shared" ca="1" si="85"/>
        <v>0</v>
      </c>
      <c r="M88" s="303">
        <f t="shared" ca="1" si="85"/>
        <v>0</v>
      </c>
      <c r="N88" s="303">
        <f t="shared" ca="1" si="85"/>
        <v>0</v>
      </c>
      <c r="O88" s="303">
        <f t="shared" ca="1" si="85"/>
        <v>0</v>
      </c>
      <c r="P88" s="303">
        <f t="shared" ca="1" si="85"/>
        <v>0</v>
      </c>
      <c r="Q88" s="303">
        <f t="shared" ca="1" si="85"/>
        <v>0</v>
      </c>
      <c r="R88" s="303">
        <f t="shared" ca="1" si="85"/>
        <v>0</v>
      </c>
      <c r="S88" s="128"/>
      <c r="T88" s="128"/>
      <c r="U88" s="118"/>
      <c r="V88" s="220">
        <f t="shared" ca="1" si="82"/>
        <v>0</v>
      </c>
      <c r="W88" s="220">
        <f t="shared" ca="1" si="83"/>
        <v>0</v>
      </c>
      <c r="X88" s="220">
        <f t="shared" ca="1" si="84"/>
        <v>0</v>
      </c>
    </row>
    <row r="89" spans="1:25" ht="12" customHeight="1" x14ac:dyDescent="0.25">
      <c r="D89" s="74" t="str">
        <f>D84</f>
        <v>Fixtures and fittings</v>
      </c>
      <c r="E89" s="50"/>
      <c r="F89" s="50"/>
      <c r="G89" s="50" t="str">
        <f t="shared" si="81"/>
        <v>EUR thd</v>
      </c>
      <c r="H89" s="75"/>
      <c r="I89" s="50"/>
      <c r="J89" s="134"/>
      <c r="K89" s="135"/>
      <c r="L89" s="135"/>
      <c r="M89" s="135"/>
      <c r="N89" s="135"/>
      <c r="O89" s="135"/>
      <c r="P89" s="135"/>
      <c r="Q89" s="135"/>
      <c r="R89" s="135"/>
      <c r="S89" s="128"/>
      <c r="T89" s="128"/>
      <c r="U89" s="118"/>
      <c r="V89" s="220">
        <f t="shared" si="82"/>
        <v>0</v>
      </c>
      <c r="W89" s="220">
        <f t="shared" si="83"/>
        <v>0</v>
      </c>
      <c r="X89" s="220">
        <f t="shared" si="84"/>
        <v>0</v>
      </c>
    </row>
    <row r="90" spans="1:25" ht="12" customHeight="1" x14ac:dyDescent="0.25">
      <c r="D90" s="74" t="str">
        <f>D85</f>
        <v>Other tangible assets</v>
      </c>
      <c r="E90" s="50"/>
      <c r="F90" s="50"/>
      <c r="G90" s="50" t="str">
        <f t="shared" si="81"/>
        <v>EUR thd</v>
      </c>
      <c r="H90" s="75"/>
      <c r="I90" s="50"/>
      <c r="J90" s="134"/>
      <c r="K90" s="135"/>
      <c r="L90" s="135"/>
      <c r="M90" s="135"/>
      <c r="N90" s="135"/>
      <c r="O90" s="135"/>
      <c r="P90" s="135"/>
      <c r="Q90" s="135"/>
      <c r="R90" s="135"/>
      <c r="S90" s="128"/>
      <c r="T90" s="128"/>
      <c r="U90" s="118"/>
      <c r="V90" s="220"/>
      <c r="W90" s="220"/>
      <c r="X90" s="220"/>
    </row>
    <row r="91" spans="1:25" ht="12" customHeight="1" x14ac:dyDescent="0.25">
      <c r="B91" s="25"/>
      <c r="D91" s="10"/>
      <c r="J91" s="108"/>
      <c r="K91" s="108"/>
      <c r="L91" s="108"/>
      <c r="M91" s="108"/>
      <c r="N91" s="108"/>
      <c r="O91" s="108"/>
      <c r="P91" s="108"/>
      <c r="Q91" s="108"/>
      <c r="R91" s="108"/>
      <c r="S91" s="108"/>
      <c r="T91" s="108"/>
      <c r="U91" s="118"/>
      <c r="V91" s="219"/>
      <c r="W91" s="219"/>
      <c r="X91" s="219"/>
    </row>
    <row r="92" spans="1:25" ht="12" customHeight="1" x14ac:dyDescent="0.25">
      <c r="B92" s="25">
        <f ca="1">MAX($A$1:B91)+0.1</f>
        <v>5.2999999999999989</v>
      </c>
      <c r="C92" s="9" t="s">
        <v>80</v>
      </c>
      <c r="D92" s="10"/>
      <c r="J92" s="108"/>
      <c r="K92" s="108"/>
      <c r="L92" s="108"/>
      <c r="M92" s="108"/>
      <c r="N92" s="108"/>
      <c r="O92" s="108"/>
      <c r="P92" s="108"/>
      <c r="Q92" s="108"/>
      <c r="R92" s="108"/>
      <c r="S92" s="108"/>
      <c r="T92" s="108"/>
      <c r="U92" s="118"/>
      <c r="V92" s="219"/>
      <c r="W92" s="219"/>
      <c r="X92" s="219"/>
    </row>
    <row r="93" spans="1:25" s="91" customFormat="1" ht="12" customHeight="1" x14ac:dyDescent="0.25">
      <c r="A93" s="86"/>
      <c r="B93" s="88"/>
      <c r="C93" s="86" t="s">
        <v>78</v>
      </c>
      <c r="D93" s="131"/>
      <c r="G93" s="131"/>
      <c r="H93" s="132"/>
      <c r="I93" s="131"/>
      <c r="J93" s="308"/>
      <c r="K93" s="309"/>
      <c r="L93" s="309"/>
      <c r="M93" s="309"/>
      <c r="N93" s="309"/>
      <c r="O93" s="309"/>
      <c r="P93" s="309"/>
      <c r="Q93" s="309"/>
      <c r="R93" s="309"/>
      <c r="S93" s="309"/>
      <c r="T93" s="309"/>
      <c r="U93" s="306"/>
      <c r="V93" s="110"/>
      <c r="W93" s="110"/>
      <c r="X93" s="110"/>
      <c r="Y93" s="133"/>
    </row>
    <row r="94" spans="1:25" ht="12" customHeight="1" x14ac:dyDescent="0.25">
      <c r="B94" s="25"/>
      <c r="D94" s="74" t="str">
        <f>D82</f>
        <v>Intangible assets</v>
      </c>
      <c r="E94" s="50"/>
      <c r="F94" s="50"/>
      <c r="G94" s="50" t="str">
        <f t="shared" ref="G94:G97" si="86">"EUR "&amp;Multiplier</f>
        <v>EUR thd</v>
      </c>
      <c r="H94" s="75"/>
      <c r="I94" s="50"/>
      <c r="J94" s="303">
        <f t="shared" ref="J94:R94" si="87">J13</f>
        <v>0</v>
      </c>
      <c r="K94" s="303">
        <f t="shared" si="87"/>
        <v>0</v>
      </c>
      <c r="L94" s="303">
        <f t="shared" si="87"/>
        <v>0</v>
      </c>
      <c r="M94" s="303">
        <f t="shared" si="87"/>
        <v>0</v>
      </c>
      <c r="N94" s="303">
        <f t="shared" si="87"/>
        <v>0</v>
      </c>
      <c r="O94" s="303">
        <f t="shared" si="87"/>
        <v>0</v>
      </c>
      <c r="P94" s="303">
        <f t="shared" si="87"/>
        <v>0</v>
      </c>
      <c r="Q94" s="303">
        <f t="shared" si="87"/>
        <v>0</v>
      </c>
      <c r="R94" s="303">
        <f t="shared" si="87"/>
        <v>0</v>
      </c>
      <c r="S94" s="128"/>
      <c r="T94" s="128"/>
      <c r="U94" s="118"/>
      <c r="V94" s="220">
        <f t="shared" ref="V94:V97" si="88">IF(ISERROR((($L94/$J94)^(1/($L$3-$J$3))-1)),0,(($L94/$J94)^(1/($L$3-$J$3))-1))</f>
        <v>0</v>
      </c>
      <c r="W94" s="220">
        <f t="shared" ref="W94:W97" si="89">IF(ISERROR($M94/$L94-1),0,$M94/$L94-1)</f>
        <v>0</v>
      </c>
      <c r="X94" s="220">
        <f t="shared" ref="X94:X97" si="90">IF(ISERROR((($P94/$M94)^(1/($P$3-$M$3))-1)),0,(($P94/$M94)^(1/($P$3-$M$3))-1))</f>
        <v>0</v>
      </c>
      <c r="Y94" s="122"/>
    </row>
    <row r="95" spans="1:25" ht="12" customHeight="1" x14ac:dyDescent="0.25">
      <c r="D95" s="74" t="str">
        <f>D83</f>
        <v>Plant, machinery and motor vehicles</v>
      </c>
      <c r="E95" s="50"/>
      <c r="F95" s="50"/>
      <c r="G95" s="50" t="str">
        <f t="shared" si="86"/>
        <v>EUR thd</v>
      </c>
      <c r="H95" s="75"/>
      <c r="I95" s="50"/>
      <c r="J95" s="307">
        <f t="shared" ref="J95:R95" si="91">J20</f>
        <v>0</v>
      </c>
      <c r="K95" s="307">
        <f t="shared" si="91"/>
        <v>0</v>
      </c>
      <c r="L95" s="307">
        <f t="shared" si="91"/>
        <v>0</v>
      </c>
      <c r="M95" s="307">
        <f t="shared" si="91"/>
        <v>32.766851776410313</v>
      </c>
      <c r="N95" s="307">
        <f t="shared" si="91"/>
        <v>12.88471258192758</v>
      </c>
      <c r="O95" s="307">
        <f t="shared" si="91"/>
        <v>2.2837606102933279</v>
      </c>
      <c r="P95" s="307">
        <f t="shared" si="91"/>
        <v>0.51522295046739008</v>
      </c>
      <c r="Q95" s="307">
        <f t="shared" si="91"/>
        <v>0.1233695068228212</v>
      </c>
      <c r="R95" s="307">
        <f t="shared" si="91"/>
        <v>0</v>
      </c>
      <c r="S95" s="128"/>
      <c r="T95" s="128"/>
      <c r="U95" s="118"/>
      <c r="V95" s="220">
        <f t="shared" si="88"/>
        <v>0</v>
      </c>
      <c r="W95" s="220">
        <f t="shared" si="89"/>
        <v>0</v>
      </c>
      <c r="X95" s="220">
        <f t="shared" si="90"/>
        <v>-0.74947360182912326</v>
      </c>
    </row>
    <row r="96" spans="1:25" ht="12" customHeight="1" x14ac:dyDescent="0.25">
      <c r="D96" s="74" t="str">
        <f>D84</f>
        <v>Fixtures and fittings</v>
      </c>
      <c r="E96" s="50"/>
      <c r="F96" s="50"/>
      <c r="G96" s="50" t="str">
        <f t="shared" si="86"/>
        <v>EUR thd</v>
      </c>
      <c r="H96" s="75"/>
      <c r="I96" s="50"/>
      <c r="J96" s="307">
        <f t="shared" ref="J96:R96" si="92">J27</f>
        <v>0</v>
      </c>
      <c r="K96" s="307">
        <f t="shared" si="92"/>
        <v>0</v>
      </c>
      <c r="L96" s="307">
        <f t="shared" si="92"/>
        <v>0</v>
      </c>
      <c r="M96" s="307">
        <f t="shared" si="92"/>
        <v>1.9907073479276998</v>
      </c>
      <c r="N96" s="307">
        <f t="shared" si="92"/>
        <v>1.2969657247233264</v>
      </c>
      <c r="O96" s="307">
        <f t="shared" si="92"/>
        <v>0.2054324701837329</v>
      </c>
      <c r="P96" s="307">
        <f t="shared" si="92"/>
        <v>0</v>
      </c>
      <c r="Q96" s="307">
        <f t="shared" si="92"/>
        <v>0</v>
      </c>
      <c r="R96" s="307">
        <f t="shared" si="92"/>
        <v>0</v>
      </c>
      <c r="S96" s="128"/>
      <c r="T96" s="128"/>
      <c r="U96" s="118"/>
      <c r="V96" s="220">
        <f t="shared" si="88"/>
        <v>0</v>
      </c>
      <c r="W96" s="220">
        <f t="shared" si="89"/>
        <v>0</v>
      </c>
      <c r="X96" s="220">
        <f t="shared" si="90"/>
        <v>-1</v>
      </c>
    </row>
    <row r="97" spans="1:26" ht="12" customHeight="1" x14ac:dyDescent="0.25">
      <c r="D97" s="74" t="str">
        <f>D85</f>
        <v>Other tangible assets</v>
      </c>
      <c r="E97" s="50"/>
      <c r="F97" s="50"/>
      <c r="G97" s="50" t="str">
        <f t="shared" si="86"/>
        <v>EUR thd</v>
      </c>
      <c r="H97" s="75"/>
      <c r="I97" s="50"/>
      <c r="J97" s="307">
        <f t="shared" ref="J97:R97" si="93">J34</f>
        <v>0</v>
      </c>
      <c r="K97" s="307">
        <f t="shared" si="93"/>
        <v>0</v>
      </c>
      <c r="L97" s="307">
        <f t="shared" si="93"/>
        <v>0</v>
      </c>
      <c r="M97" s="307">
        <f t="shared" si="93"/>
        <v>0</v>
      </c>
      <c r="N97" s="307">
        <f t="shared" si="93"/>
        <v>0</v>
      </c>
      <c r="O97" s="307">
        <f t="shared" si="93"/>
        <v>0</v>
      </c>
      <c r="P97" s="307">
        <f t="shared" si="93"/>
        <v>0</v>
      </c>
      <c r="Q97" s="307">
        <f t="shared" si="93"/>
        <v>0</v>
      </c>
      <c r="R97" s="307">
        <f t="shared" si="93"/>
        <v>0</v>
      </c>
      <c r="S97" s="128"/>
      <c r="T97" s="128"/>
      <c r="U97" s="118"/>
      <c r="V97" s="220">
        <f t="shared" si="88"/>
        <v>0</v>
      </c>
      <c r="W97" s="220">
        <f t="shared" si="89"/>
        <v>0</v>
      </c>
      <c r="X97" s="220">
        <f t="shared" si="90"/>
        <v>0</v>
      </c>
    </row>
    <row r="98" spans="1:26" ht="12" customHeight="1" x14ac:dyDescent="0.25">
      <c r="B98" s="25"/>
      <c r="C98" s="86" t="s">
        <v>79</v>
      </c>
      <c r="D98" s="131"/>
      <c r="G98" s="131"/>
      <c r="H98" s="132"/>
      <c r="I98" s="131"/>
      <c r="J98" s="308"/>
      <c r="K98" s="309"/>
      <c r="L98" s="309"/>
      <c r="M98" s="309"/>
      <c r="N98" s="309"/>
      <c r="O98" s="309"/>
      <c r="P98" s="309"/>
      <c r="Q98" s="309"/>
      <c r="R98" s="309"/>
      <c r="S98" s="309"/>
      <c r="T98" s="309"/>
      <c r="U98" s="118"/>
      <c r="V98" s="219"/>
      <c r="W98" s="219"/>
      <c r="X98" s="219"/>
      <c r="Y98" s="122"/>
    </row>
    <row r="99" spans="1:26" ht="12" customHeight="1" x14ac:dyDescent="0.25">
      <c r="B99" s="25"/>
      <c r="D99" s="74" t="str">
        <f>D94</f>
        <v>Intangible assets</v>
      </c>
      <c r="E99" s="50"/>
      <c r="F99" s="50"/>
      <c r="G99" s="50" t="str">
        <f t="shared" ref="G99:G102" si="94">"EUR "&amp;Multiplier</f>
        <v>EUR thd</v>
      </c>
      <c r="H99" s="75"/>
      <c r="I99" s="50"/>
      <c r="J99" s="134"/>
      <c r="K99" s="135"/>
      <c r="L99" s="135"/>
      <c r="M99" s="135"/>
      <c r="N99" s="135"/>
      <c r="O99" s="135"/>
      <c r="P99" s="135"/>
      <c r="Q99" s="135"/>
      <c r="R99" s="135"/>
      <c r="S99" s="128"/>
      <c r="T99" s="128"/>
      <c r="U99" s="118"/>
      <c r="V99" s="220">
        <f t="shared" ref="V99:V102" si="95">IF(ISERROR((($L99/$J99)^(1/($L$3-$J$3))-1)),0,(($L99/$J99)^(1/($L$3-$J$3))-1))</f>
        <v>0</v>
      </c>
      <c r="W99" s="220">
        <f t="shared" ref="W99:W102" si="96">IF(ISERROR($M99/$L99-1),0,$M99/$L99-1)</f>
        <v>0</v>
      </c>
      <c r="X99" s="220">
        <f t="shared" ref="X99:X102" si="97">IF(ISERROR((($P99/$M99)^(1/($P$3-$M$3))-1)),0,(($P99/$M99)^(1/($P$3-$M$3))-1))</f>
        <v>0</v>
      </c>
      <c r="Y99" s="122"/>
    </row>
    <row r="100" spans="1:26" ht="12" customHeight="1" x14ac:dyDescent="0.25">
      <c r="D100" s="74" t="str">
        <f>D95</f>
        <v>Plant, machinery and motor vehicles</v>
      </c>
      <c r="E100" s="50"/>
      <c r="F100" s="50"/>
      <c r="G100" s="50" t="str">
        <f t="shared" si="94"/>
        <v>EUR thd</v>
      </c>
      <c r="H100" s="75"/>
      <c r="I100" s="50"/>
      <c r="J100" s="303">
        <f t="shared" ref="J100:P100" ca="1" si="98">J53</f>
        <v>0</v>
      </c>
      <c r="K100" s="303">
        <f t="shared" ca="1" si="98"/>
        <v>0</v>
      </c>
      <c r="L100" s="303">
        <f t="shared" ca="1" si="98"/>
        <v>0</v>
      </c>
      <c r="M100" s="303">
        <f t="shared" ca="1" si="98"/>
        <v>0</v>
      </c>
      <c r="N100" s="303">
        <f t="shared" ca="1" si="98"/>
        <v>0</v>
      </c>
      <c r="O100" s="303">
        <f t="shared" ca="1" si="98"/>
        <v>0</v>
      </c>
      <c r="P100" s="303">
        <f t="shared" ca="1" si="98"/>
        <v>0</v>
      </c>
      <c r="Q100" s="303">
        <f t="shared" ref="Q100:R100" ca="1" si="99">Q53</f>
        <v>0</v>
      </c>
      <c r="R100" s="303">
        <f t="shared" ca="1" si="99"/>
        <v>0</v>
      </c>
      <c r="S100" s="128"/>
      <c r="T100" s="128"/>
      <c r="U100" s="118"/>
      <c r="V100" s="220">
        <f t="shared" ca="1" si="95"/>
        <v>0</v>
      </c>
      <c r="W100" s="220">
        <f t="shared" ca="1" si="96"/>
        <v>0</v>
      </c>
      <c r="X100" s="220">
        <f t="shared" ca="1" si="97"/>
        <v>0</v>
      </c>
    </row>
    <row r="101" spans="1:26" ht="12" customHeight="1" x14ac:dyDescent="0.25">
      <c r="D101" s="74" t="str">
        <f>D96</f>
        <v>Fixtures and fittings</v>
      </c>
      <c r="E101" s="50"/>
      <c r="F101" s="50"/>
      <c r="G101" s="50" t="str">
        <f t="shared" si="94"/>
        <v>EUR thd</v>
      </c>
      <c r="H101" s="75"/>
      <c r="I101" s="50"/>
      <c r="J101" s="134"/>
      <c r="K101" s="135"/>
      <c r="L101" s="135"/>
      <c r="M101" s="135"/>
      <c r="N101" s="135"/>
      <c r="O101" s="135"/>
      <c r="P101" s="135"/>
      <c r="Q101" s="135"/>
      <c r="R101" s="135"/>
      <c r="S101" s="128"/>
      <c r="T101" s="128"/>
      <c r="U101" s="118"/>
      <c r="V101" s="220">
        <f t="shared" si="95"/>
        <v>0</v>
      </c>
      <c r="W101" s="220">
        <f t="shared" si="96"/>
        <v>0</v>
      </c>
      <c r="X101" s="220">
        <f t="shared" si="97"/>
        <v>0</v>
      </c>
    </row>
    <row r="102" spans="1:26" ht="12" customHeight="1" x14ac:dyDescent="0.25">
      <c r="D102" s="74" t="str">
        <f t="shared" ref="D102" si="100">D97</f>
        <v>Other tangible assets</v>
      </c>
      <c r="E102" s="50"/>
      <c r="F102" s="50"/>
      <c r="G102" s="50" t="str">
        <f t="shared" si="94"/>
        <v>EUR thd</v>
      </c>
      <c r="H102" s="75"/>
      <c r="I102" s="50"/>
      <c r="J102" s="134"/>
      <c r="K102" s="134"/>
      <c r="L102" s="134"/>
      <c r="M102" s="134"/>
      <c r="N102" s="134"/>
      <c r="O102" s="134"/>
      <c r="P102" s="134"/>
      <c r="Q102" s="134"/>
      <c r="R102" s="134"/>
      <c r="S102" s="128"/>
      <c r="T102" s="128"/>
      <c r="U102" s="118"/>
      <c r="V102" s="220">
        <f t="shared" si="95"/>
        <v>0</v>
      </c>
      <c r="W102" s="220">
        <f t="shared" si="96"/>
        <v>0</v>
      </c>
      <c r="X102" s="220">
        <f t="shared" si="97"/>
        <v>0</v>
      </c>
    </row>
    <row r="103" spans="1:26" ht="12" customHeight="1" x14ac:dyDescent="0.25">
      <c r="Y103" s="12"/>
    </row>
    <row r="104" spans="1:26" ht="12" customHeight="1" x14ac:dyDescent="0.25">
      <c r="A104" s="63" t="s">
        <v>0</v>
      </c>
      <c r="B104" s="63"/>
      <c r="C104" s="64"/>
      <c r="D104" s="64"/>
      <c r="E104" s="63"/>
      <c r="F104" s="63"/>
      <c r="G104" s="65"/>
      <c r="H104" s="66"/>
      <c r="I104" s="65"/>
      <c r="J104" s="67"/>
      <c r="K104" s="67"/>
      <c r="L104" s="67"/>
      <c r="M104" s="67"/>
      <c r="N104" s="67"/>
      <c r="O104" s="67"/>
      <c r="P104" s="67"/>
      <c r="Q104" s="98"/>
      <c r="R104" s="98"/>
      <c r="S104" s="67"/>
      <c r="T104" s="67"/>
      <c r="U104" s="67"/>
      <c r="V104" s="69"/>
      <c r="W104" s="69"/>
      <c r="X104" s="69"/>
      <c r="Y104" s="67"/>
      <c r="Z104" s="68"/>
    </row>
  </sheetData>
  <conditionalFormatting sqref="A3">
    <cfRule type="containsText" dxfId="13" priority="1" operator="containsText" text="OK">
      <formula>NOT(ISERROR(SEARCH("OK",A3)))</formula>
    </cfRule>
    <cfRule type="containsText" dxfId="12" priority="2" operator="containsText" text="Error">
      <formula>NOT(ISERROR(SEARCH("Error",A3)))</formula>
    </cfRule>
  </conditionalFormatting>
  <pageMargins left="0.7" right="0.7" top="0.75" bottom="0.75" header="0.3" footer="0.3"/>
  <pageSetup paperSize="9" orientation="portrait" r:id="rId1"/>
  <headerFooter>
    <oddFooter>&amp;C&amp;7&amp;B&amp;"Arial"Document Classification: KPMG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27457" r:id="rId4" name="Button 1">
              <controlPr defaultSize="0" autoFill="0" autoPict="0" macro="[0]!scenario1">
                <anchor moveWithCells="1" sizeWithCells="1">
                  <from>
                    <xdr:col>6</xdr:col>
                    <xdr:colOff>510540</xdr:colOff>
                    <xdr:row>1</xdr:row>
                    <xdr:rowOff>0</xdr:rowOff>
                  </from>
                  <to>
                    <xdr:col>7</xdr:col>
                    <xdr:colOff>91440</xdr:colOff>
                    <xdr:row>2</xdr:row>
                    <xdr:rowOff>91440</xdr:rowOff>
                  </to>
                </anchor>
              </controlPr>
            </control>
          </mc:Choice>
        </mc:AlternateContent>
        <mc:AlternateContent xmlns:mc="http://schemas.openxmlformats.org/markup-compatibility/2006">
          <mc:Choice Requires="x14">
            <control shapeId="1427458" r:id="rId5" name="Button 2">
              <controlPr defaultSize="0" autoFill="0" autoPict="0" macro="[0]!scenario2">
                <anchor moveWithCells="1" sizeWithCells="1">
                  <from>
                    <xdr:col>7</xdr:col>
                    <xdr:colOff>99060</xdr:colOff>
                    <xdr:row>1</xdr:row>
                    <xdr:rowOff>0</xdr:rowOff>
                  </from>
                  <to>
                    <xdr:col>7</xdr:col>
                    <xdr:colOff>411480</xdr:colOff>
                    <xdr:row>2</xdr:row>
                    <xdr:rowOff>91440</xdr:rowOff>
                  </to>
                </anchor>
              </controlPr>
            </control>
          </mc:Choice>
        </mc:AlternateContent>
        <mc:AlternateContent xmlns:mc="http://schemas.openxmlformats.org/markup-compatibility/2006">
          <mc:Choice Requires="x14">
            <control shapeId="1427459" r:id="rId6" name="Button 3">
              <controlPr defaultSize="0" autoFill="0" autoPict="0" macro="[0]!scenario3">
                <anchor moveWithCells="1" sizeWithCells="1">
                  <from>
                    <xdr:col>7</xdr:col>
                    <xdr:colOff>419100</xdr:colOff>
                    <xdr:row>1</xdr:row>
                    <xdr:rowOff>0</xdr:rowOff>
                  </from>
                  <to>
                    <xdr:col>8</xdr:col>
                    <xdr:colOff>0</xdr:colOff>
                    <xdr:row>2</xdr:row>
                    <xdr:rowOff>91440</xdr:rowOff>
                  </to>
                </anchor>
              </controlPr>
            </control>
          </mc:Choice>
        </mc:AlternateContent>
        <mc:AlternateContent xmlns:mc="http://schemas.openxmlformats.org/markup-compatibility/2006">
          <mc:Choice Requires="x14">
            <control shapeId="1427460" r:id="rId7" name="Button 4">
              <controlPr defaultSize="0" print="0" autoFill="0" autoPict="0" macro="[0]!Module3.ModelMap">
                <anchor moveWithCells="1" sizeWithCells="1">
                  <from>
                    <xdr:col>5</xdr:col>
                    <xdr:colOff>3337560</xdr:colOff>
                    <xdr:row>1</xdr:row>
                    <xdr:rowOff>0</xdr:rowOff>
                  </from>
                  <to>
                    <xdr:col>6</xdr:col>
                    <xdr:colOff>502920</xdr:colOff>
                    <xdr:row>2</xdr:row>
                    <xdr:rowOff>91440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6">
    <tabColor theme="5" tint="-0.249977111117893"/>
    <outlinePr summaryBelow="0" summaryRight="0"/>
  </sheetPr>
  <dimension ref="A1:Z151"/>
  <sheetViews>
    <sheetView showGridLines="0" zoomScale="85" zoomScaleNormal="85" workbookViewId="0">
      <pane xSplit="9" ySplit="4" topLeftCell="J123" activePane="bottomRight" state="frozen"/>
      <selection activeCell="M46" sqref="M46"/>
      <selection pane="topRight" activeCell="M46" sqref="M46"/>
      <selection pane="bottomLeft" activeCell="M46" sqref="M46"/>
      <selection pane="bottomRight" activeCell="R148" sqref="R148"/>
    </sheetView>
  </sheetViews>
  <sheetFormatPr defaultColWidth="0" defaultRowHeight="12" customHeight="1" outlineLevelRow="4" outlineLevelCol="1" x14ac:dyDescent="0.25"/>
  <cols>
    <col min="1" max="1" width="3.6640625" style="9" customWidth="1"/>
    <col min="2" max="2" width="5.6640625" style="9" customWidth="1"/>
    <col min="3" max="4" width="6.33203125" style="9" customWidth="1"/>
    <col min="5" max="5" width="2.6640625" style="9" customWidth="1"/>
    <col min="6" max="6" width="40.6640625" style="10" customWidth="1"/>
    <col min="7" max="7" width="10.6640625" style="10" customWidth="1"/>
    <col min="8" max="8" width="10.6640625" style="11" customWidth="1"/>
    <col min="9" max="9" width="2.6640625" style="10" customWidth="1"/>
    <col min="10" max="17" width="10.6640625" style="12" customWidth="1"/>
    <col min="18" max="18" width="10.6640625" style="12" customWidth="1" collapsed="1"/>
    <col min="19" max="21" width="10.6640625" style="12" hidden="1" customWidth="1" outlineLevel="1"/>
    <col min="22" max="22" width="2.6640625" style="12" customWidth="1"/>
    <col min="23" max="23" width="9.6640625" style="13" bestFit="1" customWidth="1"/>
    <col min="24" max="24" width="11.6640625" style="13" bestFit="1" customWidth="1"/>
    <col min="25" max="25" width="10.44140625" style="13" bestFit="1" customWidth="1"/>
    <col min="26" max="26" width="25.6640625" style="10" customWidth="1"/>
    <col min="27" max="16384" width="0" style="12" hidden="1"/>
  </cols>
  <sheetData>
    <row r="1" spans="1:26" s="6" customFormat="1" ht="12" customHeight="1" x14ac:dyDescent="0.25">
      <c r="A1" s="1" t="str">
        <f ca="1">MID(CELL("filename"),SEARCH("[",CELL("filename"))+1, SEARCH("]",CELL("filename"))-SEARCH("[",CELL("filename"))-1)</f>
        <v>Project Horeco_190409_1810.xlsm</v>
      </c>
      <c r="B1" s="1"/>
      <c r="C1" s="1"/>
      <c r="D1" s="1"/>
      <c r="E1" s="1"/>
      <c r="F1" s="1"/>
      <c r="G1" s="1"/>
      <c r="H1" s="2"/>
      <c r="I1" s="1"/>
      <c r="J1" s="3">
        <f>'1.0.Model timing'!J9</f>
        <v>42370</v>
      </c>
      <c r="K1" s="3">
        <f>'1.0.Model timing'!K9</f>
        <v>42736</v>
      </c>
      <c r="L1" s="3">
        <f>'1.0.Model timing'!L9</f>
        <v>43101</v>
      </c>
      <c r="M1" s="3">
        <f>'1.0.Model timing'!M9</f>
        <v>43466</v>
      </c>
      <c r="N1" s="3">
        <f>'1.0.Model timing'!N9</f>
        <v>43831</v>
      </c>
      <c r="O1" s="3">
        <f>'1.0.Model timing'!O9</f>
        <v>44197</v>
      </c>
      <c r="P1" s="3">
        <f>'1.0.Model timing'!P9</f>
        <v>44562</v>
      </c>
      <c r="Q1" s="3">
        <f>'1.0.Model timing'!Q9</f>
        <v>44927</v>
      </c>
      <c r="R1" s="3">
        <f>'1.0.Model timing'!R9</f>
        <v>45292</v>
      </c>
      <c r="S1" s="3">
        <f>'1.0.Model timing'!S9</f>
        <v>45658</v>
      </c>
      <c r="T1" s="3">
        <f>'1.0.Model timing'!T9</f>
        <v>46023</v>
      </c>
      <c r="U1" s="3">
        <f>'1.0.Model timing'!U9</f>
        <v>0</v>
      </c>
      <c r="V1" s="4"/>
      <c r="W1" s="5"/>
      <c r="X1" s="5"/>
      <c r="Y1" s="5"/>
      <c r="Z1" s="1" t="s">
        <v>11</v>
      </c>
    </row>
    <row r="2" spans="1:26" s="6" customFormat="1" ht="12" customHeight="1" x14ac:dyDescent="0.25">
      <c r="A2" s="1" t="str">
        <f ca="1">RIGHT(CELL("filename",A2),LEN(CELL("filename",A2))-FIND("]",CELL("filename",A2)))</f>
        <v>2.2. OPEX</v>
      </c>
      <c r="B2" s="1"/>
      <c r="C2" s="1"/>
      <c r="D2" s="1"/>
      <c r="E2" s="1"/>
      <c r="F2" s="1"/>
      <c r="G2" s="1"/>
      <c r="H2" s="2"/>
      <c r="I2" s="1"/>
      <c r="J2" s="3">
        <f>'1.0.Model timing'!J10</f>
        <v>42735</v>
      </c>
      <c r="K2" s="3">
        <f>'1.0.Model timing'!K10</f>
        <v>43100</v>
      </c>
      <c r="L2" s="3">
        <f>'1.0.Model timing'!L10</f>
        <v>43465</v>
      </c>
      <c r="M2" s="3">
        <f>'1.0.Model timing'!M10</f>
        <v>43830</v>
      </c>
      <c r="N2" s="3">
        <f>'1.0.Model timing'!N10</f>
        <v>44196</v>
      </c>
      <c r="O2" s="3">
        <f>'1.0.Model timing'!O10</f>
        <v>44561</v>
      </c>
      <c r="P2" s="3">
        <f>'1.0.Model timing'!P10</f>
        <v>44926</v>
      </c>
      <c r="Q2" s="3">
        <f>'1.0.Model timing'!Q10</f>
        <v>45291</v>
      </c>
      <c r="R2" s="3">
        <f>'1.0.Model timing'!R10</f>
        <v>45657</v>
      </c>
      <c r="S2" s="3">
        <f>'1.0.Model timing'!S10</f>
        <v>46022</v>
      </c>
      <c r="T2" s="3">
        <f>'1.0.Model timing'!T10</f>
        <v>46387</v>
      </c>
      <c r="U2" s="3">
        <f>'1.0.Model timing'!U10</f>
        <v>0</v>
      </c>
      <c r="V2" s="4"/>
      <c r="W2" s="5"/>
      <c r="X2" s="5"/>
      <c r="Y2" s="5"/>
      <c r="Z2" s="1"/>
    </row>
    <row r="3" spans="1:26" s="6" customFormat="1" ht="12" customHeight="1" x14ac:dyDescent="0.25">
      <c r="A3" s="1"/>
      <c r="B3" s="1"/>
      <c r="C3" s="1"/>
      <c r="D3" s="1"/>
      <c r="E3" s="1"/>
      <c r="F3" s="1"/>
      <c r="G3" s="1"/>
      <c r="H3" s="2"/>
      <c r="I3" s="1"/>
      <c r="J3" s="7">
        <f>'1.0.Model timing'!J11</f>
        <v>2016</v>
      </c>
      <c r="K3" s="7">
        <f>'1.0.Model timing'!K11</f>
        <v>2017</v>
      </c>
      <c r="L3" s="7">
        <f>'1.0.Model timing'!L11</f>
        <v>2018</v>
      </c>
      <c r="M3" s="7">
        <f>'1.0.Model timing'!M11</f>
        <v>2019</v>
      </c>
      <c r="N3" s="7">
        <f>'1.0.Model timing'!N11</f>
        <v>2020</v>
      </c>
      <c r="O3" s="7">
        <f>'1.0.Model timing'!O11</f>
        <v>2021</v>
      </c>
      <c r="P3" s="7">
        <f>'1.0.Model timing'!P11</f>
        <v>2022</v>
      </c>
      <c r="Q3" s="7">
        <f>'1.0.Model timing'!Q11</f>
        <v>2023</v>
      </c>
      <c r="R3" s="7">
        <f>'1.0.Model timing'!R11</f>
        <v>2024</v>
      </c>
      <c r="S3" s="7">
        <f>'1.0.Model timing'!S11</f>
        <v>2025</v>
      </c>
      <c r="T3" s="7">
        <f>'1.0.Model timing'!T11</f>
        <v>2026</v>
      </c>
      <c r="U3" s="7">
        <f>'1.0.Model timing'!T11</f>
        <v>2026</v>
      </c>
      <c r="V3" s="4"/>
      <c r="W3" s="5" t="s">
        <v>9</v>
      </c>
      <c r="X3" s="5" t="s">
        <v>10</v>
      </c>
      <c r="Y3" s="5" t="s">
        <v>9</v>
      </c>
      <c r="Z3" s="1"/>
    </row>
    <row r="4" spans="1:26" s="6" customFormat="1" ht="12" customHeight="1" x14ac:dyDescent="0.25">
      <c r="A4" s="1"/>
      <c r="B4" s="1"/>
      <c r="C4" s="1"/>
      <c r="D4" s="1"/>
      <c r="E4" s="1"/>
      <c r="F4" s="1"/>
      <c r="G4" s="1" t="s">
        <v>8</v>
      </c>
      <c r="H4" s="2" t="s">
        <v>7</v>
      </c>
      <c r="I4" s="1"/>
      <c r="J4" s="8" t="str">
        <f>'1.0.Model timing'!J15</f>
        <v>Actual</v>
      </c>
      <c r="K4" s="8" t="str">
        <f>'1.0.Model timing'!K15</f>
        <v>Actual</v>
      </c>
      <c r="L4" s="8" t="str">
        <f>'1.0.Model timing'!L15</f>
        <v>Actual</v>
      </c>
      <c r="M4" s="8" t="str">
        <f>'1.0.Model timing'!M15</f>
        <v>Forecast</v>
      </c>
      <c r="N4" s="8" t="s">
        <v>289</v>
      </c>
      <c r="O4" s="8" t="str">
        <f>'1.0.Model timing'!O15</f>
        <v>Forecast</v>
      </c>
      <c r="P4" s="8" t="str">
        <f>'1.0.Model timing'!P15</f>
        <v>Forecast</v>
      </c>
      <c r="Q4" s="8" t="str">
        <f>'1.0.Model timing'!P15</f>
        <v>Forecast</v>
      </c>
      <c r="R4" s="8" t="str">
        <f>'1.0.Model timing'!Q15</f>
        <v>Forecast</v>
      </c>
      <c r="S4" s="8" t="str">
        <f>'1.0.Model timing'!R15</f>
        <v>Forecast</v>
      </c>
      <c r="T4" s="8" t="str">
        <f>'1.0.Model timing'!S15</f>
        <v>Forecast</v>
      </c>
      <c r="U4" s="8" t="str">
        <f>'1.0.Model timing'!T15</f>
        <v>Forecast</v>
      </c>
      <c r="V4" s="4"/>
      <c r="W4" s="5" t="s">
        <v>256</v>
      </c>
      <c r="X4" s="5" t="s">
        <v>257</v>
      </c>
      <c r="Y4" s="5" t="s">
        <v>375</v>
      </c>
      <c r="Z4" s="1"/>
    </row>
    <row r="6" spans="1:26" ht="12" customHeight="1" x14ac:dyDescent="0.25">
      <c r="A6" s="14"/>
      <c r="B6" s="15"/>
      <c r="C6" s="15"/>
      <c r="D6" s="15"/>
      <c r="E6" s="15"/>
      <c r="F6" s="16"/>
      <c r="G6" s="17"/>
      <c r="H6" s="18"/>
      <c r="I6" s="17"/>
      <c r="J6" s="19"/>
      <c r="K6" s="19"/>
      <c r="L6" s="19"/>
      <c r="M6" s="19"/>
      <c r="N6" s="19"/>
      <c r="O6" s="19"/>
      <c r="P6" s="19"/>
      <c r="Q6" s="19"/>
      <c r="R6" s="19"/>
      <c r="S6" s="19"/>
      <c r="T6" s="19"/>
      <c r="U6" s="19"/>
      <c r="V6" s="19"/>
      <c r="W6" s="20"/>
      <c r="X6" s="20"/>
      <c r="Y6" s="20"/>
      <c r="Z6" s="21"/>
    </row>
    <row r="7" spans="1:26" ht="12" customHeight="1" outlineLevel="1" x14ac:dyDescent="0.25">
      <c r="H7" s="22"/>
    </row>
    <row r="8" spans="1:26" s="28" customFormat="1" ht="12" customHeight="1" outlineLevel="1" x14ac:dyDescent="0.25">
      <c r="A8" s="27">
        <f ca="1">MAX($A$1:A7)+1</f>
        <v>1</v>
      </c>
      <c r="B8" s="101" t="str">
        <f>'1.2.Historical IS'!C22</f>
        <v>OPEX</v>
      </c>
      <c r="C8" s="27"/>
      <c r="D8" s="27"/>
      <c r="E8" s="27"/>
      <c r="F8" s="27"/>
      <c r="G8" s="101"/>
      <c r="H8" s="101"/>
      <c r="I8" s="101"/>
      <c r="J8" s="103">
        <f>J16+J26+J36+J46+J56+J66+J76+J86+J96+J106+J116</f>
        <v>5003.1645831477681</v>
      </c>
      <c r="K8" s="103">
        <f t="shared" ref="K8:R8" si="0">K16+K26+K36+K46+K56+K66+K76+K86+K96+K106+K116</f>
        <v>9017.9211575928712</v>
      </c>
      <c r="L8" s="103">
        <f t="shared" si="0"/>
        <v>7479.7932394971522</v>
      </c>
      <c r="M8" s="103">
        <f t="shared" si="0"/>
        <v>11172.982636379418</v>
      </c>
      <c r="N8" s="103">
        <f t="shared" si="0"/>
        <v>11749.701676152976</v>
      </c>
      <c r="O8" s="103">
        <f t="shared" si="0"/>
        <v>12337.186759960621</v>
      </c>
      <c r="P8" s="103">
        <f t="shared" si="0"/>
        <v>12954.046097958655</v>
      </c>
      <c r="Q8" s="103">
        <f t="shared" si="0"/>
        <v>13601.74840285659</v>
      </c>
      <c r="R8" s="103">
        <f t="shared" si="0"/>
        <v>14281.835822999417</v>
      </c>
      <c r="S8" s="103"/>
      <c r="T8" s="103"/>
      <c r="U8" s="101"/>
      <c r="V8" s="102"/>
      <c r="W8" s="31"/>
      <c r="X8" s="31"/>
      <c r="Y8" s="31"/>
    </row>
    <row r="9" spans="1:26" ht="12" customHeight="1" outlineLevel="2" x14ac:dyDescent="0.25">
      <c r="B9" s="25">
        <f ca="1">MAX($A$1:B8)+0.1</f>
        <v>1.1000000000000001</v>
      </c>
      <c r="C9" s="9" t="str">
        <f>'1.2.Historical IS'!D23</f>
        <v>Salaries, wages and related costs</v>
      </c>
      <c r="G9" s="101"/>
      <c r="H9" s="139"/>
      <c r="I9" s="139"/>
      <c r="J9" s="325"/>
      <c r="K9" s="325"/>
      <c r="L9" s="36"/>
      <c r="M9" s="36"/>
      <c r="N9" s="36"/>
      <c r="O9" s="36"/>
      <c r="P9" s="36"/>
      <c r="Q9" s="36"/>
      <c r="R9" s="36"/>
      <c r="S9" s="36"/>
      <c r="T9" s="36"/>
      <c r="U9" s="36"/>
      <c r="V9" s="91"/>
      <c r="W9" s="92"/>
      <c r="X9" s="92"/>
      <c r="Y9" s="92"/>
    </row>
    <row r="10" spans="1:26" ht="12" customHeight="1" outlineLevel="3" x14ac:dyDescent="0.25">
      <c r="A10" s="845"/>
      <c r="C10" s="106">
        <f ca="1">MAX($A$1:C9)+0.01</f>
        <v>1.1100000000000001</v>
      </c>
      <c r="D10" s="9" t="str">
        <f>'1.2.Historical IS'!F24</f>
        <v>Salaries</v>
      </c>
      <c r="G10" s="118"/>
      <c r="H10" s="118"/>
      <c r="I10" s="118"/>
      <c r="J10" s="118"/>
      <c r="K10" s="118"/>
      <c r="L10" s="238"/>
      <c r="M10" s="118"/>
      <c r="N10" s="118"/>
      <c r="O10" s="118"/>
      <c r="P10" s="118"/>
      <c r="Q10" s="118"/>
      <c r="R10" s="118"/>
      <c r="S10" s="118"/>
      <c r="T10" s="118"/>
      <c r="U10" s="118"/>
      <c r="W10" s="12"/>
      <c r="X10" s="12"/>
      <c r="Y10" s="12"/>
    </row>
    <row r="11" spans="1:26" ht="12" customHeight="1" outlineLevel="4" x14ac:dyDescent="0.25">
      <c r="A11" s="845"/>
      <c r="C11" s="106"/>
      <c r="E11" s="10" t="s">
        <v>258</v>
      </c>
      <c r="G11" s="291" t="str">
        <f t="shared" ref="G11:G14" si="1">"EUR "&amp;Multiplier</f>
        <v>EUR thd</v>
      </c>
      <c r="H11" s="84"/>
      <c r="I11" s="215"/>
      <c r="J11" s="107">
        <f>'1.2.Historical IS'!O24</f>
        <v>126.85824352008551</v>
      </c>
      <c r="K11" s="107">
        <f>'1.2.Historical IS'!P24</f>
        <v>158.22355027254218</v>
      </c>
      <c r="L11" s="107">
        <f>'1.2.Historical IS'!Q24</f>
        <v>216.81959815192866</v>
      </c>
      <c r="M11" s="128"/>
      <c r="N11" s="128"/>
      <c r="O11" s="128"/>
      <c r="P11" s="128"/>
      <c r="Q11" s="128"/>
      <c r="R11" s="128"/>
      <c r="S11" s="128"/>
      <c r="T11" s="128"/>
      <c r="U11" s="327"/>
      <c r="W11" s="31">
        <f t="shared" ref="W11:W74" si="2">IF(ISERROR((($L11/$J11)^(1/($L$3-$J$3))-1)),0,(($L11/$J11)^(1/($L$3-$J$3))-1))</f>
        <v>0.3073441282588425</v>
      </c>
      <c r="X11" s="31">
        <f t="shared" ref="X11:X74" si="3">IF(ISERROR($M11/$L11-1),0,$M11/$L11-1)</f>
        <v>-1</v>
      </c>
      <c r="Y11" s="31">
        <f>IF(ISERROR((($Q11/$M11)^(1/($Q$3-$M$3))-1)),0,(($Q11/$M11)^(1/($Q$3-$M$3))-1))</f>
        <v>0</v>
      </c>
    </row>
    <row r="12" spans="1:26" s="40" customFormat="1" ht="12" customHeight="1" outlineLevel="4" x14ac:dyDescent="0.25">
      <c r="A12" s="844"/>
      <c r="B12" s="109"/>
      <c r="C12" s="109"/>
      <c r="D12" s="109" t="str">
        <f>'1.5 Assumptions book'!F40</f>
        <v>Total headcount</v>
      </c>
      <c r="E12" s="111"/>
      <c r="G12" s="310" t="str">
        <f t="shared" si="1"/>
        <v>EUR thd</v>
      </c>
      <c r="H12" s="292"/>
      <c r="I12" s="328"/>
      <c r="J12" s="395">
        <f>J13*J14*12</f>
        <v>126.85824352008551</v>
      </c>
      <c r="K12" s="395">
        <f t="shared" ref="K12:Q12" si="4">K13*K14*12</f>
        <v>158.22355027254218</v>
      </c>
      <c r="L12" s="395">
        <f t="shared" si="4"/>
        <v>216.81959815192866</v>
      </c>
      <c r="M12" s="395">
        <f t="shared" si="4"/>
        <v>232.88030912614562</v>
      </c>
      <c r="N12" s="395">
        <f t="shared" si="4"/>
        <v>261.38807110538067</v>
      </c>
      <c r="O12" s="395">
        <f t="shared" si="4"/>
        <v>274.45747466064972</v>
      </c>
      <c r="P12" s="395">
        <f t="shared" si="4"/>
        <v>288.18034839368227</v>
      </c>
      <c r="Q12" s="395">
        <f t="shared" si="4"/>
        <v>302.58936581336638</v>
      </c>
      <c r="R12" s="395">
        <f t="shared" ref="R12" si="5">R13*R14*12</f>
        <v>317.71883410403467</v>
      </c>
      <c r="S12" s="329"/>
      <c r="T12" s="329"/>
      <c r="U12" s="329"/>
      <c r="W12" s="31">
        <f t="shared" si="2"/>
        <v>0.3073441282588425</v>
      </c>
      <c r="X12" s="31">
        <f t="shared" si="3"/>
        <v>7.4074074074074181E-2</v>
      </c>
      <c r="Y12" s="31">
        <f t="shared" ref="Y12:Y75" si="6">IF(ISERROR((($Q12/$M12)^(1/($Q$3-$M$3))-1)),0,(($Q12/$M12)^(1/($Q$3-$M$3))-1))</f>
        <v>6.7653241734440428E-2</v>
      </c>
    </row>
    <row r="13" spans="1:26" s="40" customFormat="1" ht="12" customHeight="1" outlineLevel="4" x14ac:dyDescent="0.25">
      <c r="A13" s="844"/>
      <c r="B13" s="109"/>
      <c r="C13" s="109"/>
      <c r="D13" s="109"/>
      <c r="E13" s="112" t="s">
        <v>266</v>
      </c>
      <c r="G13" s="112" t="s">
        <v>12</v>
      </c>
      <c r="H13" s="292"/>
      <c r="I13" s="328"/>
      <c r="J13" s="839">
        <f>'1.5 Assumptions book'!J37</f>
        <v>25</v>
      </c>
      <c r="K13" s="839">
        <f>'1.5 Assumptions book'!K37</f>
        <v>27</v>
      </c>
      <c r="L13" s="839">
        <f>'1.5 Assumptions book'!L37</f>
        <v>27</v>
      </c>
      <c r="M13" s="352">
        <f>'1.5 Assumptions book'!M40</f>
        <v>29</v>
      </c>
      <c r="N13" s="352">
        <f>'1.5 Assumptions book'!N40</f>
        <v>31</v>
      </c>
      <c r="O13" s="352">
        <f>'1.5 Assumptions book'!O40</f>
        <v>31</v>
      </c>
      <c r="P13" s="352">
        <f>'1.5 Assumptions book'!P40</f>
        <v>31</v>
      </c>
      <c r="Q13" s="352">
        <f>'1.5 Assumptions book'!Q40</f>
        <v>31</v>
      </c>
      <c r="R13" s="352">
        <f>'1.5 Assumptions book'!R40</f>
        <v>31</v>
      </c>
      <c r="S13" s="329"/>
      <c r="T13" s="329"/>
      <c r="U13" s="329"/>
      <c r="W13" s="31">
        <f t="shared" si="2"/>
        <v>3.9230484541326494E-2</v>
      </c>
      <c r="X13" s="31">
        <f t="shared" si="3"/>
        <v>7.4074074074074181E-2</v>
      </c>
      <c r="Y13" s="31">
        <f t="shared" si="6"/>
        <v>1.6812611175657466E-2</v>
      </c>
    </row>
    <row r="14" spans="1:26" s="40" customFormat="1" ht="12" customHeight="1" outlineLevel="4" x14ac:dyDescent="0.25">
      <c r="A14" s="844"/>
      <c r="B14" s="109"/>
      <c r="C14" s="109"/>
      <c r="D14" s="109"/>
      <c r="E14" s="112" t="s">
        <v>267</v>
      </c>
      <c r="G14" s="291" t="str">
        <f t="shared" si="1"/>
        <v>EUR thd</v>
      </c>
      <c r="H14" s="292"/>
      <c r="I14" s="328"/>
      <c r="J14" s="396">
        <f>'1.5 Assumptions book'!J43</f>
        <v>0.42286081173361834</v>
      </c>
      <c r="K14" s="396">
        <f>'1.5 Assumptions book'!K43</f>
        <v>0.48834429096463633</v>
      </c>
      <c r="L14" s="396">
        <f>'1.5 Assumptions book'!L43</f>
        <v>0.6691962905923724</v>
      </c>
      <c r="M14" s="396">
        <f>'1.5 Assumptions book'!M43</f>
        <v>0.6691962905923724</v>
      </c>
      <c r="N14" s="396">
        <f>'1.5 Assumptions book'!N43</f>
        <v>0.70265610512199106</v>
      </c>
      <c r="O14" s="396">
        <f>'1.5 Assumptions book'!O43</f>
        <v>0.73778891037809069</v>
      </c>
      <c r="P14" s="396">
        <f>'1.5 Assumptions book'!P43</f>
        <v>0.7746783558969953</v>
      </c>
      <c r="Q14" s="396">
        <f>'1.5 Assumptions book'!Q43</f>
        <v>0.8134122736918451</v>
      </c>
      <c r="R14" s="396">
        <f>'1.5 Assumptions book'!R43</f>
        <v>0.85408288737643734</v>
      </c>
      <c r="S14" s="329"/>
      <c r="T14" s="329"/>
      <c r="U14" s="329"/>
      <c r="W14" s="31">
        <f t="shared" si="2"/>
        <v>0.25799247395619895</v>
      </c>
      <c r="X14" s="31">
        <f t="shared" si="3"/>
        <v>0</v>
      </c>
      <c r="Y14" s="31">
        <f t="shared" si="6"/>
        <v>5.0000000000000044E-2</v>
      </c>
    </row>
    <row r="15" spans="1:26" s="40" customFormat="1" ht="12" customHeight="1" outlineLevel="4" x14ac:dyDescent="0.25">
      <c r="A15" s="109"/>
      <c r="B15" s="109"/>
      <c r="C15" s="109"/>
      <c r="D15" s="109"/>
      <c r="E15" s="111"/>
      <c r="G15" s="330"/>
      <c r="H15" s="292"/>
      <c r="I15" s="328"/>
      <c r="J15" s="113"/>
      <c r="K15" s="113"/>
      <c r="L15" s="114"/>
      <c r="M15" s="113"/>
      <c r="N15" s="113"/>
      <c r="O15" s="113"/>
      <c r="P15" s="113"/>
      <c r="Q15" s="113"/>
      <c r="R15" s="113"/>
      <c r="S15" s="329"/>
      <c r="T15" s="329"/>
      <c r="U15" s="329"/>
      <c r="W15" s="31">
        <f t="shared" si="2"/>
        <v>0</v>
      </c>
      <c r="X15" s="31">
        <f t="shared" si="3"/>
        <v>0</v>
      </c>
      <c r="Y15" s="31">
        <f t="shared" si="6"/>
        <v>0</v>
      </c>
    </row>
    <row r="16" spans="1:26" s="28" customFormat="1" ht="12" customHeight="1" outlineLevel="3" x14ac:dyDescent="0.25">
      <c r="A16" s="27"/>
      <c r="B16" s="27"/>
      <c r="C16" s="27"/>
      <c r="D16" s="27"/>
      <c r="E16" s="27" t="str">
        <f>D10</f>
        <v>Salaries</v>
      </c>
      <c r="F16" s="109"/>
      <c r="G16" s="310" t="str">
        <f t="shared" ref="G16" si="7">"EUR "&amp;Multiplier</f>
        <v>EUR thd</v>
      </c>
      <c r="H16" s="292"/>
      <c r="I16" s="331"/>
      <c r="J16" s="115">
        <f t="shared" ref="J16:L16" si="8">IF(J$4="Forecast",J12,J11)</f>
        <v>126.85824352008551</v>
      </c>
      <c r="K16" s="115">
        <f t="shared" si="8"/>
        <v>158.22355027254218</v>
      </c>
      <c r="L16" s="115">
        <f t="shared" si="8"/>
        <v>216.81959815192866</v>
      </c>
      <c r="M16" s="115">
        <f t="shared" ref="M16:Q16" si="9">IF(M$4="Forecast",M12,M11)</f>
        <v>232.88030912614562</v>
      </c>
      <c r="N16" s="115">
        <f t="shared" si="9"/>
        <v>261.38807110538067</v>
      </c>
      <c r="O16" s="115">
        <f t="shared" si="9"/>
        <v>274.45747466064972</v>
      </c>
      <c r="P16" s="115">
        <f t="shared" si="9"/>
        <v>288.18034839368227</v>
      </c>
      <c r="Q16" s="115">
        <f t="shared" si="9"/>
        <v>302.58936581336638</v>
      </c>
      <c r="R16" s="115">
        <f t="shared" ref="R16" si="10">IF(R$4="Forecast",R12,R11)</f>
        <v>317.71883410403467</v>
      </c>
      <c r="S16" s="332"/>
      <c r="T16" s="332"/>
      <c r="U16" s="332"/>
      <c r="W16" s="31">
        <f t="shared" si="2"/>
        <v>0.3073441282588425</v>
      </c>
      <c r="X16" s="31">
        <f t="shared" si="3"/>
        <v>7.4074074074074181E-2</v>
      </c>
      <c r="Y16" s="31">
        <f t="shared" si="6"/>
        <v>6.7653241734440428E-2</v>
      </c>
    </row>
    <row r="17" spans="1:25" s="10" customFormat="1" ht="12" customHeight="1" outlineLevel="3" x14ac:dyDescent="0.25">
      <c r="A17" s="845"/>
      <c r="B17" s="9"/>
      <c r="C17" s="106">
        <f ca="1">MAX($A$1:C10)+0.01</f>
        <v>1.1200000000000001</v>
      </c>
      <c r="D17" s="9" t="str">
        <f>'1.2.Historical IS'!F25</f>
        <v>Social security contributions</v>
      </c>
      <c r="E17" s="9"/>
      <c r="G17" s="318"/>
      <c r="H17" s="333"/>
      <c r="I17" s="318"/>
      <c r="J17" s="70"/>
      <c r="K17" s="70"/>
      <c r="L17" s="70"/>
      <c r="M17" s="70"/>
      <c r="N17" s="70"/>
      <c r="O17" s="70"/>
      <c r="P17" s="70"/>
      <c r="Q17" s="70"/>
      <c r="R17" s="70"/>
      <c r="S17" s="70"/>
      <c r="T17" s="70"/>
      <c r="U17" s="306"/>
      <c r="V17" s="91"/>
      <c r="W17" s="31">
        <f t="shared" si="2"/>
        <v>0</v>
      </c>
      <c r="X17" s="31">
        <f t="shared" si="3"/>
        <v>0</v>
      </c>
      <c r="Y17" s="31">
        <f t="shared" si="6"/>
        <v>0</v>
      </c>
    </row>
    <row r="18" spans="1:25" s="10" customFormat="1" ht="12" customHeight="1" outlineLevel="4" x14ac:dyDescent="0.25">
      <c r="A18" s="845"/>
      <c r="B18" s="9"/>
      <c r="C18" s="106"/>
      <c r="D18" s="9"/>
      <c r="E18" s="10" t="s">
        <v>258</v>
      </c>
      <c r="G18" s="420" t="str">
        <f t="shared" ref="G18:G19" si="11">"EUR "&amp;Multiplier</f>
        <v>EUR thd</v>
      </c>
      <c r="H18" s="333"/>
      <c r="I18" s="318"/>
      <c r="J18" s="345">
        <f>'1.2.Historical IS'!O25</f>
        <v>8.057279326623318</v>
      </c>
      <c r="K18" s="345">
        <f>'1.2.Historical IS'!P25</f>
        <v>10.57507497646724</v>
      </c>
      <c r="L18" s="345">
        <f>'1.2.Historical IS'!Q25</f>
        <v>10.629096379069518</v>
      </c>
      <c r="M18" s="128"/>
      <c r="N18" s="128"/>
      <c r="O18" s="128"/>
      <c r="P18" s="128"/>
      <c r="Q18" s="128"/>
      <c r="R18" s="128"/>
      <c r="S18" s="128"/>
      <c r="T18" s="128"/>
      <c r="U18" s="327"/>
      <c r="V18" s="12"/>
      <c r="W18" s="31">
        <f t="shared" si="2"/>
        <v>0.1485607278349943</v>
      </c>
      <c r="X18" s="31">
        <f t="shared" si="3"/>
        <v>-1</v>
      </c>
      <c r="Y18" s="31">
        <f t="shared" si="6"/>
        <v>0</v>
      </c>
    </row>
    <row r="19" spans="1:25" s="10" customFormat="1" ht="12" customHeight="1" outlineLevel="4" x14ac:dyDescent="0.25">
      <c r="A19" s="845"/>
      <c r="B19" s="9"/>
      <c r="C19" s="106"/>
      <c r="D19" s="9"/>
      <c r="E19" s="10" t="str">
        <f>D10</f>
        <v>Salaries</v>
      </c>
      <c r="G19" s="420" t="str">
        <f t="shared" si="11"/>
        <v>EUR thd</v>
      </c>
      <c r="H19" s="333"/>
      <c r="I19" s="318"/>
      <c r="J19" s="419">
        <f t="shared" ref="J19:R19" si="12">IF(J$4="Forecast",J$16,J$11)</f>
        <v>126.85824352008551</v>
      </c>
      <c r="K19" s="419">
        <f t="shared" si="12"/>
        <v>158.22355027254218</v>
      </c>
      <c r="L19" s="419">
        <f t="shared" si="12"/>
        <v>216.81959815192866</v>
      </c>
      <c r="M19" s="419">
        <f t="shared" si="12"/>
        <v>232.88030912614562</v>
      </c>
      <c r="N19" s="419">
        <f t="shared" si="12"/>
        <v>261.38807110538067</v>
      </c>
      <c r="O19" s="419">
        <f t="shared" si="12"/>
        <v>274.45747466064972</v>
      </c>
      <c r="P19" s="419">
        <f t="shared" si="12"/>
        <v>288.18034839368227</v>
      </c>
      <c r="Q19" s="419">
        <f t="shared" si="12"/>
        <v>302.58936581336638</v>
      </c>
      <c r="R19" s="419">
        <f t="shared" si="12"/>
        <v>317.71883410403467</v>
      </c>
      <c r="S19" s="327"/>
      <c r="T19" s="327"/>
      <c r="U19" s="327"/>
      <c r="V19" s="12"/>
      <c r="W19" s="31">
        <f t="shared" si="2"/>
        <v>0.3073441282588425</v>
      </c>
      <c r="X19" s="31">
        <f t="shared" si="3"/>
        <v>7.4074074074074181E-2</v>
      </c>
      <c r="Y19" s="31">
        <f t="shared" si="6"/>
        <v>6.7653241734440428E-2</v>
      </c>
    </row>
    <row r="20" spans="1:25" s="10" customFormat="1" ht="12" customHeight="1" outlineLevel="4" x14ac:dyDescent="0.25">
      <c r="A20" s="845"/>
      <c r="B20" s="9"/>
      <c r="C20" s="106"/>
      <c r="D20" s="9"/>
      <c r="E20" s="10" t="s">
        <v>259</v>
      </c>
      <c r="G20" s="318" t="s">
        <v>85</v>
      </c>
      <c r="H20" s="421" t="str">
        <f>'0.2.Parameters'!H26</f>
        <v>Last</v>
      </c>
      <c r="I20" s="318"/>
      <c r="J20" s="422">
        <f>J18/J19</f>
        <v>6.3514038213429991E-2</v>
      </c>
      <c r="K20" s="422">
        <f>K18/K19</f>
        <v>6.6836289277111605E-2</v>
      </c>
      <c r="L20" s="422">
        <f>L18/L19</f>
        <v>4.9022765790856022E-2</v>
      </c>
      <c r="M20" s="397"/>
      <c r="N20" s="397"/>
      <c r="O20" s="397"/>
      <c r="P20" s="397"/>
      <c r="Q20" s="128"/>
      <c r="R20" s="128"/>
      <c r="S20" s="128"/>
      <c r="T20" s="128"/>
      <c r="U20" s="327"/>
      <c r="V20" s="12"/>
      <c r="W20" s="31">
        <f t="shared" si="2"/>
        <v>-0.12145493829181797</v>
      </c>
      <c r="X20" s="31">
        <f t="shared" si="3"/>
        <v>-1</v>
      </c>
      <c r="Y20" s="31">
        <f t="shared" si="6"/>
        <v>0</v>
      </c>
    </row>
    <row r="21" spans="1:25" s="40" customFormat="1" ht="12" customHeight="1" outlineLevel="4" x14ac:dyDescent="0.25">
      <c r="A21" s="844"/>
      <c r="B21" s="109"/>
      <c r="C21" s="109"/>
      <c r="D21" s="109"/>
      <c r="E21" s="111"/>
      <c r="F21" s="40" t="s">
        <v>135</v>
      </c>
      <c r="G21" s="314">
        <f>($F21=H20)*1</f>
        <v>1</v>
      </c>
      <c r="H21" s="423"/>
      <c r="I21" s="424"/>
      <c r="J21" s="425">
        <f>J20</f>
        <v>6.3514038213429991E-2</v>
      </c>
      <c r="K21" s="425">
        <f>K20</f>
        <v>6.6836289277111605E-2</v>
      </c>
      <c r="L21" s="425">
        <f>L20</f>
        <v>4.9022765790856022E-2</v>
      </c>
      <c r="M21" s="398"/>
      <c r="N21" s="398"/>
      <c r="O21" s="398"/>
      <c r="P21" s="398"/>
      <c r="Q21" s="399"/>
      <c r="R21" s="399"/>
      <c r="S21" s="399"/>
      <c r="T21" s="399"/>
      <c r="U21" s="329"/>
      <c r="W21" s="31">
        <f t="shared" si="2"/>
        <v>-0.12145493829181797</v>
      </c>
      <c r="X21" s="31">
        <f t="shared" si="3"/>
        <v>-1</v>
      </c>
      <c r="Y21" s="31">
        <f t="shared" si="6"/>
        <v>0</v>
      </c>
    </row>
    <row r="22" spans="1:25" s="40" customFormat="1" ht="12" customHeight="1" outlineLevel="4" x14ac:dyDescent="0.25">
      <c r="A22" s="844"/>
      <c r="B22" s="109"/>
      <c r="C22" s="109"/>
      <c r="D22" s="109"/>
      <c r="E22" s="111"/>
      <c r="F22" s="40" t="s">
        <v>116</v>
      </c>
      <c r="G22" s="316">
        <f>($F22=H20)*1</f>
        <v>0</v>
      </c>
      <c r="H22" s="423"/>
      <c r="I22" s="424"/>
      <c r="J22" s="425">
        <f>IF(ISERROR(AVERAGE($J20:J20)),"",AVERAGE($J20:J20))</f>
        <v>6.3514038213429991E-2</v>
      </c>
      <c r="K22" s="425">
        <f>IF(ISERROR(AVERAGE($J20:K20)),"",AVERAGE($J20:K20))</f>
        <v>6.5175163745270798E-2</v>
      </c>
      <c r="L22" s="425">
        <f>IF(ISERROR(AVERAGE($J20:L20)),"",AVERAGE($J20:L20))</f>
        <v>5.9791031093799206E-2</v>
      </c>
      <c r="M22" s="398"/>
      <c r="N22" s="398"/>
      <c r="O22" s="398"/>
      <c r="P22" s="398"/>
      <c r="Q22" s="399"/>
      <c r="R22" s="399"/>
      <c r="S22" s="399"/>
      <c r="T22" s="399"/>
      <c r="U22" s="329"/>
      <c r="W22" s="31">
        <f t="shared" si="2"/>
        <v>-2.9751101343335473E-2</v>
      </c>
      <c r="X22" s="31">
        <f t="shared" si="3"/>
        <v>-1</v>
      </c>
      <c r="Y22" s="31">
        <f t="shared" si="6"/>
        <v>0</v>
      </c>
    </row>
    <row r="23" spans="1:25" s="40" customFormat="1" ht="12" customHeight="1" outlineLevel="4" x14ac:dyDescent="0.25">
      <c r="A23" s="844"/>
      <c r="B23" s="109"/>
      <c r="C23" s="109"/>
      <c r="D23" s="109"/>
      <c r="E23" s="111"/>
      <c r="F23" s="40" t="s">
        <v>118</v>
      </c>
      <c r="G23" s="316">
        <f>($F23=H20)*1</f>
        <v>0</v>
      </c>
      <c r="H23" s="423"/>
      <c r="I23" s="424"/>
      <c r="J23" s="425">
        <f>IF(ISERROR(MIN($J20:J20)),"",MIN($J20:J20))</f>
        <v>6.3514038213429991E-2</v>
      </c>
      <c r="K23" s="425">
        <f>IF(ISERROR(MIN($J20:K20)),"",MIN($J20:K20))</f>
        <v>6.3514038213429991E-2</v>
      </c>
      <c r="L23" s="425">
        <f>IF(ISERROR(MIN($J20:L20)),"",MIN($J20:L20))</f>
        <v>4.9022765790856022E-2</v>
      </c>
      <c r="M23" s="398"/>
      <c r="N23" s="398"/>
      <c r="O23" s="398"/>
      <c r="P23" s="398"/>
      <c r="Q23" s="399"/>
      <c r="R23" s="399"/>
      <c r="S23" s="399"/>
      <c r="T23" s="399"/>
      <c r="U23" s="329"/>
      <c r="W23" s="31">
        <f t="shared" si="2"/>
        <v>-0.12145493829181797</v>
      </c>
      <c r="X23" s="31">
        <f t="shared" si="3"/>
        <v>-1</v>
      </c>
      <c r="Y23" s="31">
        <f t="shared" si="6"/>
        <v>0</v>
      </c>
    </row>
    <row r="24" spans="1:25" s="40" customFormat="1" ht="12" customHeight="1" outlineLevel="4" x14ac:dyDescent="0.25">
      <c r="A24" s="844"/>
      <c r="B24" s="109"/>
      <c r="C24" s="109"/>
      <c r="D24" s="109"/>
      <c r="E24" s="111"/>
      <c r="F24" s="40" t="s">
        <v>117</v>
      </c>
      <c r="G24" s="317">
        <f>($F24=H20)*1</f>
        <v>0</v>
      </c>
      <c r="H24" s="423"/>
      <c r="I24" s="424"/>
      <c r="J24" s="425">
        <f>IF(ISERROR(MAX($J20:J20)),"",MAX($J20:J20))</f>
        <v>6.3514038213429991E-2</v>
      </c>
      <c r="K24" s="425">
        <f>IF(ISERROR(MAX($J20:K20)),"",MAX($J20:K20))</f>
        <v>6.6836289277111605E-2</v>
      </c>
      <c r="L24" s="425">
        <f>IF(ISERROR(MAX($J20:L20)),"",MAX($J20:L20))</f>
        <v>6.6836289277111605E-2</v>
      </c>
      <c r="M24" s="398"/>
      <c r="N24" s="398"/>
      <c r="O24" s="398"/>
      <c r="P24" s="398"/>
      <c r="Q24" s="399"/>
      <c r="R24" s="399"/>
      <c r="S24" s="399"/>
      <c r="T24" s="399"/>
      <c r="U24" s="329"/>
      <c r="W24" s="31">
        <f t="shared" si="2"/>
        <v>2.5820330555784032E-2</v>
      </c>
      <c r="X24" s="31">
        <f t="shared" si="3"/>
        <v>-1</v>
      </c>
      <c r="Y24" s="31">
        <f t="shared" si="6"/>
        <v>0</v>
      </c>
    </row>
    <row r="25" spans="1:25" s="40" customFormat="1" ht="12" customHeight="1" outlineLevel="4" x14ac:dyDescent="0.25">
      <c r="A25" s="844"/>
      <c r="B25" s="109"/>
      <c r="C25" s="109"/>
      <c r="D25" s="109"/>
      <c r="E25" s="111"/>
      <c r="G25" s="426"/>
      <c r="H25" s="429">
        <v>0</v>
      </c>
      <c r="I25" s="424"/>
      <c r="J25" s="422" t="str">
        <f>IF(J$4="Estimate",SUMPRODUCT(J21:J24,$G21:$G24),IF(J$4="Forecast",I25,""))</f>
        <v/>
      </c>
      <c r="K25" s="422" t="str">
        <f t="shared" ref="K25" si="13">IF(K$4="Estimate",SUMPRODUCT(K21:K24,$G21:$G24),IF(K$4="Forecast",J25,""))</f>
        <v/>
      </c>
      <c r="L25" s="422">
        <f>SUMPRODUCT(L21:L24,$G21:$G24)</f>
        <v>4.9022765790856022E-2</v>
      </c>
      <c r="M25" s="422">
        <f t="shared" ref="M25:N25" si="14">IF(M$4="Estimate",SUMPRODUCT(M21:M24,$G21:$G24),IF(M$4="Forecast",L25,""))</f>
        <v>4.9022765790856022E-2</v>
      </c>
      <c r="N25" s="422">
        <f t="shared" si="14"/>
        <v>4.9022765790856022E-2</v>
      </c>
      <c r="O25" s="422">
        <f t="shared" ref="O25" si="15">IF(O$4="Estimate",SUMPRODUCT(O21:O24,$G21:$G24),IF(O$4="Forecast",N25,""))</f>
        <v>4.9022765790856022E-2</v>
      </c>
      <c r="P25" s="422">
        <f t="shared" ref="P25" si="16">IF(P$4="Estimate",SUMPRODUCT(P21:P24,$G21:$G24),IF(P$4="Forecast",O25,""))</f>
        <v>4.9022765790856022E-2</v>
      </c>
      <c r="Q25" s="422">
        <f t="shared" ref="Q25" si="17">IF(Q$4="Estimate",SUMPRODUCT(Q21:Q24,$G21:$G24),IF(Q$4="Forecast",P25,""))</f>
        <v>4.9022765790856022E-2</v>
      </c>
      <c r="R25" s="422">
        <f t="shared" ref="R25" si="18">IF(R$4="Estimate",SUMPRODUCT(R21:R24,$G21:$G24),IF(R$4="Forecast",Q25,""))</f>
        <v>4.9022765790856022E-2</v>
      </c>
      <c r="S25" s="399"/>
      <c r="T25" s="399"/>
      <c r="U25" s="329"/>
      <c r="W25" s="31">
        <f t="shared" si="2"/>
        <v>0</v>
      </c>
      <c r="X25" s="31">
        <f t="shared" si="3"/>
        <v>0</v>
      </c>
      <c r="Y25" s="31">
        <f t="shared" si="6"/>
        <v>0</v>
      </c>
    </row>
    <row r="26" spans="1:25" s="28" customFormat="1" ht="12" customHeight="1" outlineLevel="3" x14ac:dyDescent="0.25">
      <c r="A26" s="27"/>
      <c r="B26" s="27"/>
      <c r="C26" s="27"/>
      <c r="D26" s="27"/>
      <c r="E26" s="27" t="str">
        <f>D17</f>
        <v>Social security contributions</v>
      </c>
      <c r="F26" s="109"/>
      <c r="G26" s="427" t="str">
        <f t="shared" ref="G26" si="19">"EUR "&amp;Multiplier</f>
        <v>EUR thd</v>
      </c>
      <c r="H26" s="423"/>
      <c r="I26" s="428"/>
      <c r="J26" s="116">
        <f t="shared" ref="J26:L26" si="20">IF(J$4="Forecast",J25*J19,J18)</f>
        <v>8.057279326623318</v>
      </c>
      <c r="K26" s="116">
        <f t="shared" si="20"/>
        <v>10.57507497646724</v>
      </c>
      <c r="L26" s="116">
        <f t="shared" si="20"/>
        <v>10.629096379069518</v>
      </c>
      <c r="M26" s="116">
        <f>IF(M$4="Forecast",M25*M19,M18)</f>
        <v>11.416436851593186</v>
      </c>
      <c r="N26" s="116">
        <f t="shared" ref="N26:Q26" si="21">IF(N$4="Forecast",N25*N19,N18)</f>
        <v>12.813966190322697</v>
      </c>
      <c r="O26" s="116">
        <f t="shared" si="21"/>
        <v>13.454664499838833</v>
      </c>
      <c r="P26" s="116">
        <f t="shared" si="21"/>
        <v>14.127397724830777</v>
      </c>
      <c r="Q26" s="116">
        <f t="shared" si="21"/>
        <v>14.833767611072316</v>
      </c>
      <c r="R26" s="116">
        <f t="shared" ref="R26" si="22">IF(R$4="Forecast",R25*R19,R18)</f>
        <v>15.575455991625931</v>
      </c>
      <c r="S26" s="327"/>
      <c r="T26" s="327"/>
      <c r="U26" s="332"/>
      <c r="W26" s="31">
        <f t="shared" si="2"/>
        <v>0.1485607278349943</v>
      </c>
      <c r="X26" s="31">
        <f t="shared" si="3"/>
        <v>7.4074074074074181E-2</v>
      </c>
      <c r="Y26" s="31">
        <f t="shared" si="6"/>
        <v>6.7653241734440428E-2</v>
      </c>
    </row>
    <row r="27" spans="1:25" s="10" customFormat="1" ht="12" customHeight="1" outlineLevel="3" x14ac:dyDescent="0.25">
      <c r="A27" s="845"/>
      <c r="B27" s="9"/>
      <c r="C27" s="106">
        <f ca="1">MAX($A$1:C17)+0.01</f>
        <v>1.1300000000000001</v>
      </c>
      <c r="D27" s="9" t="str">
        <f>'1.2.Historical IS'!F26</f>
        <v>Meal tickets</v>
      </c>
      <c r="E27" s="9"/>
      <c r="G27" s="318"/>
      <c r="H27" s="333"/>
      <c r="I27" s="318"/>
      <c r="J27" s="70"/>
      <c r="K27" s="70"/>
      <c r="L27" s="70"/>
      <c r="M27" s="70"/>
      <c r="N27" s="70"/>
      <c r="O27" s="70"/>
      <c r="P27" s="70"/>
      <c r="Q27" s="70"/>
      <c r="R27" s="70"/>
      <c r="S27" s="70"/>
      <c r="T27" s="70"/>
      <c r="U27" s="306"/>
      <c r="V27" s="91"/>
      <c r="W27" s="31">
        <f t="shared" si="2"/>
        <v>0</v>
      </c>
      <c r="X27" s="31">
        <f t="shared" si="3"/>
        <v>0</v>
      </c>
      <c r="Y27" s="31">
        <f t="shared" si="6"/>
        <v>0</v>
      </c>
    </row>
    <row r="28" spans="1:25" s="10" customFormat="1" ht="12" customHeight="1" outlineLevel="4" x14ac:dyDescent="0.25">
      <c r="A28" s="845"/>
      <c r="B28" s="9"/>
      <c r="C28" s="106"/>
      <c r="D28" s="9"/>
      <c r="E28" s="10" t="s">
        <v>258</v>
      </c>
      <c r="G28" s="420" t="str">
        <f t="shared" ref="G28:G29" si="23">"EUR "&amp;Multiplier</f>
        <v>EUR thd</v>
      </c>
      <c r="H28" s="333"/>
      <c r="I28" s="318"/>
      <c r="J28" s="345">
        <f>'1.2.Historical IS'!O26</f>
        <v>28.884163178052905</v>
      </c>
      <c r="K28" s="345">
        <f>'1.2.Historical IS'!P26</f>
        <v>36.045839626978392</v>
      </c>
      <c r="L28" s="345">
        <f>'1.2.Historical IS'!Q26</f>
        <v>4.8786934565380893</v>
      </c>
      <c r="M28" s="128"/>
      <c r="N28" s="128"/>
      <c r="O28" s="128"/>
      <c r="P28" s="128"/>
      <c r="Q28" s="128"/>
      <c r="R28" s="128"/>
      <c r="S28" s="128"/>
      <c r="T28" s="128"/>
      <c r="U28" s="327"/>
      <c r="V28" s="12"/>
      <c r="W28" s="31">
        <f t="shared" si="2"/>
        <v>-0.58901888076789022</v>
      </c>
      <c r="X28" s="31">
        <f t="shared" si="3"/>
        <v>-1</v>
      </c>
      <c r="Y28" s="31">
        <f t="shared" si="6"/>
        <v>0</v>
      </c>
    </row>
    <row r="29" spans="1:25" s="10" customFormat="1" ht="12" customHeight="1" outlineLevel="4" x14ac:dyDescent="0.25">
      <c r="A29" s="845"/>
      <c r="B29" s="9"/>
      <c r="C29" s="106"/>
      <c r="D29" s="9"/>
      <c r="E29" s="10" t="str">
        <f>D10</f>
        <v>Salaries</v>
      </c>
      <c r="G29" s="420" t="str">
        <f t="shared" si="23"/>
        <v>EUR thd</v>
      </c>
      <c r="H29" s="333"/>
      <c r="I29" s="318"/>
      <c r="J29" s="419">
        <f t="shared" ref="J29:R29" si="24">IF(J$4="Forecast",J$16,J$11)</f>
        <v>126.85824352008551</v>
      </c>
      <c r="K29" s="419">
        <f t="shared" si="24"/>
        <v>158.22355027254218</v>
      </c>
      <c r="L29" s="419">
        <f t="shared" si="24"/>
        <v>216.81959815192866</v>
      </c>
      <c r="M29" s="419">
        <f t="shared" si="24"/>
        <v>232.88030912614562</v>
      </c>
      <c r="N29" s="419">
        <f t="shared" si="24"/>
        <v>261.38807110538067</v>
      </c>
      <c r="O29" s="419">
        <f t="shared" si="24"/>
        <v>274.45747466064972</v>
      </c>
      <c r="P29" s="419">
        <f t="shared" si="24"/>
        <v>288.18034839368227</v>
      </c>
      <c r="Q29" s="419">
        <f t="shared" si="24"/>
        <v>302.58936581336638</v>
      </c>
      <c r="R29" s="419">
        <f t="shared" si="24"/>
        <v>317.71883410403467</v>
      </c>
      <c r="S29" s="327"/>
      <c r="T29" s="327"/>
      <c r="U29" s="327"/>
      <c r="V29" s="12"/>
      <c r="W29" s="31">
        <f t="shared" si="2"/>
        <v>0.3073441282588425</v>
      </c>
      <c r="X29" s="31">
        <f t="shared" si="3"/>
        <v>7.4074074074074181E-2</v>
      </c>
      <c r="Y29" s="31">
        <f t="shared" si="6"/>
        <v>6.7653241734440428E-2</v>
      </c>
    </row>
    <row r="30" spans="1:25" s="10" customFormat="1" ht="12" customHeight="1" outlineLevel="4" x14ac:dyDescent="0.25">
      <c r="A30" s="845"/>
      <c r="B30" s="9"/>
      <c r="C30" s="106"/>
      <c r="D30" s="9"/>
      <c r="E30" s="10" t="s">
        <v>259</v>
      </c>
      <c r="G30" s="318" t="s">
        <v>85</v>
      </c>
      <c r="H30" s="421" t="str">
        <f>'0.2.Parameters'!H30</f>
        <v>Last</v>
      </c>
      <c r="I30" s="318"/>
      <c r="J30" s="422">
        <f>J28/J29</f>
        <v>0.22768849998683505</v>
      </c>
      <c r="K30" s="422">
        <f>K28/K29</f>
        <v>0.22781589444105477</v>
      </c>
      <c r="L30" s="422">
        <f>L28/L29</f>
        <v>2.2501164553951056E-2</v>
      </c>
      <c r="M30" s="397"/>
      <c r="N30" s="397"/>
      <c r="O30" s="397"/>
      <c r="P30" s="397"/>
      <c r="Q30" s="128"/>
      <c r="R30" s="128"/>
      <c r="S30" s="128"/>
      <c r="T30" s="128"/>
      <c r="U30" s="327"/>
      <c r="V30" s="12"/>
      <c r="W30" s="31">
        <f t="shared" si="2"/>
        <v>-0.68563661980915014</v>
      </c>
      <c r="X30" s="31">
        <f t="shared" si="3"/>
        <v>-1</v>
      </c>
      <c r="Y30" s="31">
        <f t="shared" si="6"/>
        <v>0</v>
      </c>
    </row>
    <row r="31" spans="1:25" s="40" customFormat="1" ht="12" customHeight="1" outlineLevel="4" x14ac:dyDescent="0.25">
      <c r="A31" s="844"/>
      <c r="B31" s="109"/>
      <c r="C31" s="109"/>
      <c r="D31" s="109"/>
      <c r="E31" s="111"/>
      <c r="F31" s="40" t="s">
        <v>135</v>
      </c>
      <c r="G31" s="314">
        <f>($F31=H30)*1</f>
        <v>1</v>
      </c>
      <c r="H31" s="423"/>
      <c r="I31" s="424"/>
      <c r="J31" s="425">
        <f>J30</f>
        <v>0.22768849998683505</v>
      </c>
      <c r="K31" s="425">
        <f>K30</f>
        <v>0.22781589444105477</v>
      </c>
      <c r="L31" s="425">
        <f>L30</f>
        <v>2.2501164553951056E-2</v>
      </c>
      <c r="M31" s="398"/>
      <c r="N31" s="398"/>
      <c r="O31" s="398"/>
      <c r="P31" s="398"/>
      <c r="Q31" s="399"/>
      <c r="R31" s="399"/>
      <c r="S31" s="399"/>
      <c r="T31" s="399"/>
      <c r="U31" s="329"/>
      <c r="W31" s="31">
        <f t="shared" si="2"/>
        <v>-0.68563661980915014</v>
      </c>
      <c r="X31" s="31">
        <f t="shared" si="3"/>
        <v>-1</v>
      </c>
      <c r="Y31" s="31">
        <f t="shared" si="6"/>
        <v>0</v>
      </c>
    </row>
    <row r="32" spans="1:25" s="40" customFormat="1" ht="12" customHeight="1" outlineLevel="4" x14ac:dyDescent="0.25">
      <c r="A32" s="844"/>
      <c r="B32" s="109"/>
      <c r="C32" s="109"/>
      <c r="D32" s="109"/>
      <c r="E32" s="111"/>
      <c r="F32" s="40" t="s">
        <v>116</v>
      </c>
      <c r="G32" s="316">
        <f>($F32=H30)*1</f>
        <v>0</v>
      </c>
      <c r="H32" s="423"/>
      <c r="I32" s="424"/>
      <c r="J32" s="425">
        <f>IF(ISERROR(AVERAGE($J30:J30)),"",AVERAGE($J30:J30))</f>
        <v>0.22768849998683505</v>
      </c>
      <c r="K32" s="425">
        <f>IF(ISERROR(AVERAGE($J30:K30)),"",AVERAGE($J30:K30))</f>
        <v>0.22775219721394491</v>
      </c>
      <c r="L32" s="425">
        <f>IF(ISERROR(AVERAGE($J30:L30)),"",AVERAGE($J30:L30))</f>
        <v>0.1593351863272803</v>
      </c>
      <c r="M32" s="398"/>
      <c r="N32" s="398"/>
      <c r="O32" s="398"/>
      <c r="P32" s="398"/>
      <c r="Q32" s="399"/>
      <c r="R32" s="399"/>
      <c r="S32" s="399"/>
      <c r="T32" s="399"/>
      <c r="U32" s="329"/>
      <c r="W32" s="31">
        <f t="shared" si="2"/>
        <v>-0.163462723119423</v>
      </c>
      <c r="X32" s="31">
        <f t="shared" si="3"/>
        <v>-1</v>
      </c>
      <c r="Y32" s="31">
        <f t="shared" si="6"/>
        <v>0</v>
      </c>
    </row>
    <row r="33" spans="1:25" s="40" customFormat="1" ht="12" customHeight="1" outlineLevel="4" x14ac:dyDescent="0.25">
      <c r="A33" s="844"/>
      <c r="B33" s="109"/>
      <c r="C33" s="109"/>
      <c r="D33" s="109"/>
      <c r="E33" s="111"/>
      <c r="F33" s="40" t="s">
        <v>118</v>
      </c>
      <c r="G33" s="316">
        <f>($F33=H30)*1</f>
        <v>0</v>
      </c>
      <c r="H33" s="423"/>
      <c r="I33" s="424"/>
      <c r="J33" s="425">
        <f>IF(ISERROR(MIN($J30:J30)),"",MIN($J30:J30))</f>
        <v>0.22768849998683505</v>
      </c>
      <c r="K33" s="425">
        <f>IF(ISERROR(MIN($J30:K30)),"",MIN($J30:K30))</f>
        <v>0.22768849998683505</v>
      </c>
      <c r="L33" s="425">
        <f>IF(ISERROR(MIN($J30:L30)),"",MIN($J30:L30))</f>
        <v>2.2501164553951056E-2</v>
      </c>
      <c r="M33" s="398"/>
      <c r="N33" s="398"/>
      <c r="O33" s="398"/>
      <c r="P33" s="398"/>
      <c r="Q33" s="399"/>
      <c r="R33" s="399"/>
      <c r="S33" s="399"/>
      <c r="T33" s="399"/>
      <c r="U33" s="329"/>
      <c r="W33" s="31">
        <f t="shared" si="2"/>
        <v>-0.68563661980915014</v>
      </c>
      <c r="X33" s="31">
        <f t="shared" si="3"/>
        <v>-1</v>
      </c>
      <c r="Y33" s="31">
        <f t="shared" si="6"/>
        <v>0</v>
      </c>
    </row>
    <row r="34" spans="1:25" s="40" customFormat="1" ht="12" customHeight="1" outlineLevel="4" x14ac:dyDescent="0.25">
      <c r="A34" s="844"/>
      <c r="B34" s="109"/>
      <c r="C34" s="109"/>
      <c r="D34" s="109"/>
      <c r="E34" s="111"/>
      <c r="F34" s="40" t="s">
        <v>117</v>
      </c>
      <c r="G34" s="317">
        <f>($F34=H30)*1</f>
        <v>0</v>
      </c>
      <c r="H34" s="423"/>
      <c r="I34" s="424"/>
      <c r="J34" s="425">
        <f>IF(ISERROR(MAX($J30:J30)),"",MAX($J30:J30))</f>
        <v>0.22768849998683505</v>
      </c>
      <c r="K34" s="425">
        <f>IF(ISERROR(MAX($J30:K30)),"",MAX($J30:K30))</f>
        <v>0.22781589444105477</v>
      </c>
      <c r="L34" s="425">
        <f>IF(ISERROR(MAX($J30:L30)),"",MAX($J30:L30))</f>
        <v>0.22781589444105477</v>
      </c>
      <c r="M34" s="398"/>
      <c r="N34" s="398"/>
      <c r="O34" s="398"/>
      <c r="P34" s="398"/>
      <c r="Q34" s="399"/>
      <c r="R34" s="399"/>
      <c r="S34" s="399"/>
      <c r="T34" s="399"/>
      <c r="U34" s="329"/>
      <c r="W34" s="31">
        <f t="shared" si="2"/>
        <v>2.7971689287809021E-4</v>
      </c>
      <c r="X34" s="31">
        <f t="shared" si="3"/>
        <v>-1</v>
      </c>
      <c r="Y34" s="31">
        <f t="shared" si="6"/>
        <v>0</v>
      </c>
    </row>
    <row r="35" spans="1:25" s="40" customFormat="1" ht="12" customHeight="1" outlineLevel="4" x14ac:dyDescent="0.25">
      <c r="A35" s="844"/>
      <c r="B35" s="109"/>
      <c r="C35" s="109"/>
      <c r="D35" s="109"/>
      <c r="E35" s="111"/>
      <c r="G35" s="426"/>
      <c r="H35" s="429">
        <v>0</v>
      </c>
      <c r="I35" s="424"/>
      <c r="J35" s="422" t="str">
        <f>IF(J$4="Estimate",SUMPRODUCT(J31:J34,$G31:$G34),IF(J$4="Forecast",I35,""))</f>
        <v/>
      </c>
      <c r="K35" s="422" t="str">
        <f t="shared" ref="K35:R35" si="25">IF(K$4="Estimate",SUMPRODUCT(K31:K34,$G31:$G34),IF(K$4="Forecast",J35,""))</f>
        <v/>
      </c>
      <c r="L35" s="422">
        <f>SUMPRODUCT(L31:L34,$G31:$G34)</f>
        <v>2.2501164553951056E-2</v>
      </c>
      <c r="M35" s="422">
        <f t="shared" si="25"/>
        <v>2.2501164553951056E-2</v>
      </c>
      <c r="N35" s="422">
        <f t="shared" si="25"/>
        <v>2.2501164553951056E-2</v>
      </c>
      <c r="O35" s="422">
        <f t="shared" si="25"/>
        <v>2.2501164553951056E-2</v>
      </c>
      <c r="P35" s="422">
        <f t="shared" si="25"/>
        <v>2.2501164553951056E-2</v>
      </c>
      <c r="Q35" s="422">
        <f t="shared" si="25"/>
        <v>2.2501164553951056E-2</v>
      </c>
      <c r="R35" s="422">
        <f t="shared" si="25"/>
        <v>2.2501164553951056E-2</v>
      </c>
      <c r="S35" s="327"/>
      <c r="T35" s="327"/>
      <c r="U35" s="329"/>
      <c r="W35" s="31">
        <f t="shared" si="2"/>
        <v>0</v>
      </c>
      <c r="X35" s="31">
        <f t="shared" si="3"/>
        <v>0</v>
      </c>
      <c r="Y35" s="31">
        <f t="shared" si="6"/>
        <v>0</v>
      </c>
    </row>
    <row r="36" spans="1:25" s="28" customFormat="1" ht="12" customHeight="1" outlineLevel="3" x14ac:dyDescent="0.25">
      <c r="A36" s="846"/>
      <c r="B36" s="27"/>
      <c r="C36" s="27"/>
      <c r="D36" s="27"/>
      <c r="E36" s="27" t="str">
        <f>D27</f>
        <v>Meal tickets</v>
      </c>
      <c r="F36" s="109"/>
      <c r="G36" s="427" t="str">
        <f t="shared" ref="G36" si="26">"EUR "&amp;Multiplier</f>
        <v>EUR thd</v>
      </c>
      <c r="H36" s="423"/>
      <c r="I36" s="428"/>
      <c r="J36" s="116">
        <f t="shared" ref="J36:L36" si="27">IF(J$4="Forecast",J35*J29,J28)</f>
        <v>28.884163178052905</v>
      </c>
      <c r="K36" s="116">
        <f t="shared" si="27"/>
        <v>36.045839626978392</v>
      </c>
      <c r="L36" s="116">
        <f t="shared" si="27"/>
        <v>4.8786934565380893</v>
      </c>
      <c r="M36" s="116">
        <f>IF(M$4="Forecast",M35*M29,M28)</f>
        <v>5.240078157022392</v>
      </c>
      <c r="N36" s="116">
        <f>IF(N$4="Forecast",N35*N29,N28)</f>
        <v>5.8815360003820301</v>
      </c>
      <c r="O36" s="116">
        <f t="shared" ref="O36:Q36" si="28">IF(O$4="Forecast",O35*O29,O28)</f>
        <v>6.1756128004011313</v>
      </c>
      <c r="P36" s="116">
        <f t="shared" si="28"/>
        <v>6.4843934404211891</v>
      </c>
      <c r="Q36" s="116">
        <f t="shared" si="28"/>
        <v>6.8086131124422486</v>
      </c>
      <c r="R36" s="116">
        <f t="shared" ref="R36" si="29">IF(R$4="Forecast",R35*R29,R28)</f>
        <v>7.1490437680643604</v>
      </c>
      <c r="S36" s="327"/>
      <c r="T36" s="327"/>
      <c r="U36" s="332"/>
      <c r="W36" s="31">
        <f t="shared" si="2"/>
        <v>-0.58901888076789022</v>
      </c>
      <c r="X36" s="31">
        <f t="shared" si="3"/>
        <v>7.4074074074073959E-2</v>
      </c>
      <c r="Y36" s="31">
        <f t="shared" si="6"/>
        <v>6.7653241734440428E-2</v>
      </c>
    </row>
    <row r="37" spans="1:25" s="28" customFormat="1" ht="12" customHeight="1" outlineLevel="3" x14ac:dyDescent="0.25">
      <c r="A37" s="27"/>
      <c r="B37" s="104">
        <f ca="1">MAX($A$1:B26)+0.1</f>
        <v>1.2000000000000002</v>
      </c>
      <c r="C37" s="9" t="str">
        <f>'1.2.Historical IS'!F28</f>
        <v>Raw materials, of which:</v>
      </c>
      <c r="D37" s="9"/>
      <c r="E37" s="9"/>
      <c r="F37" s="10"/>
      <c r="G37" s="101"/>
      <c r="H37" s="333"/>
      <c r="I37" s="318"/>
      <c r="J37" s="36"/>
      <c r="K37" s="36"/>
      <c r="L37" s="36"/>
      <c r="M37" s="36"/>
      <c r="N37" s="36"/>
      <c r="O37" s="36"/>
      <c r="P37" s="36"/>
      <c r="Q37" s="36"/>
      <c r="R37" s="36"/>
      <c r="S37" s="36"/>
      <c r="T37" s="36"/>
      <c r="U37" s="36"/>
      <c r="V37" s="91"/>
      <c r="W37" s="31">
        <f t="shared" si="2"/>
        <v>0</v>
      </c>
      <c r="X37" s="31">
        <f t="shared" si="3"/>
        <v>0</v>
      </c>
      <c r="Y37" s="31">
        <f t="shared" si="6"/>
        <v>0</v>
      </c>
    </row>
    <row r="38" spans="1:25" s="28" customFormat="1" ht="12" customHeight="1" outlineLevel="3" x14ac:dyDescent="0.25">
      <c r="A38" s="846"/>
      <c r="B38" s="9"/>
      <c r="C38" s="106"/>
      <c r="D38" s="9"/>
      <c r="E38" s="10" t="s">
        <v>258</v>
      </c>
      <c r="F38" s="10"/>
      <c r="G38" s="420" t="str">
        <f t="shared" ref="G38:G39" si="30">"EUR "&amp;Multiplier</f>
        <v>EUR thd</v>
      </c>
      <c r="H38" s="333"/>
      <c r="I38" s="318"/>
      <c r="J38" s="345">
        <f>'1.2.Historical IS'!O28</f>
        <v>2762.7435178587334</v>
      </c>
      <c r="K38" s="345">
        <f>'1.2.Historical IS'!P28</f>
        <v>5825.2215757098129</v>
      </c>
      <c r="L38" s="345">
        <f>'1.2.Historical IS'!Q28</f>
        <v>4466.9742000644683</v>
      </c>
      <c r="M38" s="128"/>
      <c r="N38" s="128"/>
      <c r="O38" s="128"/>
      <c r="P38" s="128"/>
      <c r="Q38" s="128"/>
      <c r="R38" s="128"/>
      <c r="S38" s="128"/>
      <c r="T38" s="128"/>
      <c r="U38" s="327"/>
      <c r="V38" s="12"/>
      <c r="W38" s="31">
        <f t="shared" si="2"/>
        <v>0.27155877053284394</v>
      </c>
      <c r="X38" s="31">
        <f t="shared" si="3"/>
        <v>-1</v>
      </c>
      <c r="Y38" s="31">
        <f t="shared" si="6"/>
        <v>0</v>
      </c>
    </row>
    <row r="39" spans="1:25" s="28" customFormat="1" ht="12" customHeight="1" outlineLevel="3" x14ac:dyDescent="0.25">
      <c r="A39" s="846"/>
      <c r="B39" s="9"/>
      <c r="C39" s="106"/>
      <c r="D39" s="9"/>
      <c r="E39" s="434" t="s">
        <v>294</v>
      </c>
      <c r="F39" s="10"/>
      <c r="G39" s="420" t="str">
        <f t="shared" si="30"/>
        <v>EUR thd</v>
      </c>
      <c r="H39" s="333"/>
      <c r="I39" s="318"/>
      <c r="J39" s="345">
        <f>'1.5 Assumptions book'!J8</f>
        <v>5042.096564086577</v>
      </c>
      <c r="K39" s="345">
        <f>'1.5 Assumptions book'!K8</f>
        <v>9732.0556817933048</v>
      </c>
      <c r="L39" s="345">
        <f>'1.5 Assumptions book'!L8</f>
        <v>7633.1900784355867</v>
      </c>
      <c r="M39" s="345">
        <f>'1.5 Assumptions book'!M8</f>
        <v>11968.668053798041</v>
      </c>
      <c r="N39" s="345">
        <f>'1.5 Assumptions book'!N8</f>
        <v>12567.101456487944</v>
      </c>
      <c r="O39" s="345">
        <f>'1.5 Assumptions book'!O8</f>
        <v>13195.45652931234</v>
      </c>
      <c r="P39" s="345">
        <f>'1.5 Assumptions book'!P8</f>
        <v>13855.229355777958</v>
      </c>
      <c r="Q39" s="345">
        <f>'1.5 Assumptions book'!Q8</f>
        <v>14547.990823566857</v>
      </c>
      <c r="R39" s="345">
        <f>'1.5 Assumptions book'!R8</f>
        <v>15275.390364745199</v>
      </c>
      <c r="S39" s="128"/>
      <c r="T39" s="128"/>
      <c r="U39" s="327"/>
      <c r="V39" s="12"/>
      <c r="W39" s="31">
        <f t="shared" si="2"/>
        <v>0.23040322035288541</v>
      </c>
      <c r="X39" s="31">
        <f t="shared" si="3"/>
        <v>0.56797720622869718</v>
      </c>
      <c r="Y39" s="31">
        <f t="shared" si="6"/>
        <v>5.0000000000000044E-2</v>
      </c>
    </row>
    <row r="40" spans="1:25" s="28" customFormat="1" ht="12" customHeight="1" outlineLevel="3" x14ac:dyDescent="0.25">
      <c r="A40" s="846"/>
      <c r="B40" s="9"/>
      <c r="C40" s="106"/>
      <c r="D40" s="9"/>
      <c r="E40" s="10" t="s">
        <v>259</v>
      </c>
      <c r="F40" s="10"/>
      <c r="G40" s="318" t="s">
        <v>85</v>
      </c>
      <c r="H40" s="421" t="str">
        <f>'0.2.Parameters'!H34</f>
        <v>Average</v>
      </c>
      <c r="I40" s="318"/>
      <c r="J40" s="422">
        <f>J38/J39</f>
        <v>0.54793546350083244</v>
      </c>
      <c r="K40" s="422">
        <f>K38/K39</f>
        <v>0.59856023908778255</v>
      </c>
      <c r="L40" s="422">
        <f>L38/L39</f>
        <v>0.5852041091815664</v>
      </c>
      <c r="M40" s="397"/>
      <c r="N40" s="397"/>
      <c r="O40" s="397"/>
      <c r="P40" s="397"/>
      <c r="Q40" s="128"/>
      <c r="R40" s="128"/>
      <c r="S40" s="128"/>
      <c r="T40" s="128"/>
      <c r="U40" s="327"/>
      <c r="V40" s="12"/>
      <c r="W40" s="31">
        <f t="shared" si="2"/>
        <v>3.3448831650615185E-2</v>
      </c>
      <c r="X40" s="31">
        <f t="shared" si="3"/>
        <v>-1</v>
      </c>
      <c r="Y40" s="31">
        <f t="shared" si="6"/>
        <v>0</v>
      </c>
    </row>
    <row r="41" spans="1:25" s="28" customFormat="1" ht="12" customHeight="1" outlineLevel="3" x14ac:dyDescent="0.25">
      <c r="A41" s="846"/>
      <c r="B41" s="109"/>
      <c r="C41" s="109"/>
      <c r="D41" s="109"/>
      <c r="E41" s="111"/>
      <c r="F41" s="40" t="s">
        <v>135</v>
      </c>
      <c r="G41" s="314">
        <f>($F41=H40)*1</f>
        <v>0</v>
      </c>
      <c r="H41" s="423"/>
      <c r="I41" s="424"/>
      <c r="J41" s="425">
        <f>J40</f>
        <v>0.54793546350083244</v>
      </c>
      <c r="K41" s="425">
        <f>K40</f>
        <v>0.59856023908778255</v>
      </c>
      <c r="L41" s="425">
        <f>L40</f>
        <v>0.5852041091815664</v>
      </c>
      <c r="M41" s="398"/>
      <c r="N41" s="398"/>
      <c r="O41" s="398"/>
      <c r="P41" s="398"/>
      <c r="Q41" s="399"/>
      <c r="R41" s="399"/>
      <c r="S41" s="399"/>
      <c r="T41" s="399"/>
      <c r="U41" s="329"/>
      <c r="V41" s="40"/>
      <c r="W41" s="31">
        <f t="shared" si="2"/>
        <v>3.3448831650615185E-2</v>
      </c>
      <c r="X41" s="31">
        <f t="shared" si="3"/>
        <v>-1</v>
      </c>
      <c r="Y41" s="31">
        <f t="shared" si="6"/>
        <v>0</v>
      </c>
    </row>
    <row r="42" spans="1:25" s="28" customFormat="1" ht="12" customHeight="1" outlineLevel="3" x14ac:dyDescent="0.25">
      <c r="A42" s="846"/>
      <c r="B42" s="109"/>
      <c r="C42" s="109"/>
      <c r="D42" s="109"/>
      <c r="E42" s="111"/>
      <c r="F42" s="40" t="s">
        <v>116</v>
      </c>
      <c r="G42" s="316">
        <f>($F42=H40)*1</f>
        <v>1</v>
      </c>
      <c r="H42" s="423"/>
      <c r="I42" s="424"/>
      <c r="J42" s="425">
        <f>IF(ISERROR(AVERAGE($J40:J40)),"",AVERAGE($J40:J40))</f>
        <v>0.54793546350083244</v>
      </c>
      <c r="K42" s="425">
        <f>IF(ISERROR(AVERAGE($J40:K40)),"",AVERAGE($J40:K40))</f>
        <v>0.57324785129430755</v>
      </c>
      <c r="L42" s="425">
        <f>IF(ISERROR(AVERAGE($J40:L40)),"",AVERAGE($J40:L40))</f>
        <v>0.57723327059006058</v>
      </c>
      <c r="M42" s="398"/>
      <c r="N42" s="398"/>
      <c r="O42" s="398"/>
      <c r="P42" s="398"/>
      <c r="Q42" s="399"/>
      <c r="R42" s="399"/>
      <c r="S42" s="399"/>
      <c r="T42" s="399"/>
      <c r="U42" s="329"/>
      <c r="V42" s="40"/>
      <c r="W42" s="31">
        <f t="shared" si="2"/>
        <v>2.6386598011247209E-2</v>
      </c>
      <c r="X42" s="31">
        <f t="shared" si="3"/>
        <v>-1</v>
      </c>
      <c r="Y42" s="31">
        <f t="shared" si="6"/>
        <v>0</v>
      </c>
    </row>
    <row r="43" spans="1:25" s="28" customFormat="1" ht="12" customHeight="1" outlineLevel="3" x14ac:dyDescent="0.25">
      <c r="A43" s="846"/>
      <c r="B43" s="109"/>
      <c r="C43" s="109"/>
      <c r="D43" s="109"/>
      <c r="E43" s="111"/>
      <c r="F43" s="40" t="s">
        <v>118</v>
      </c>
      <c r="G43" s="316">
        <f>($F43=H40)*1</f>
        <v>0</v>
      </c>
      <c r="H43" s="423"/>
      <c r="I43" s="424"/>
      <c r="J43" s="425">
        <f>IF(ISERROR(MIN($J40:J40)),"",MIN($J40:J40))</f>
        <v>0.54793546350083244</v>
      </c>
      <c r="K43" s="425">
        <f>IF(ISERROR(MIN($J40:K40)),"",MIN($J40:K40))</f>
        <v>0.54793546350083244</v>
      </c>
      <c r="L43" s="425">
        <f>IF(ISERROR(MIN($J40:L40)),"",MIN($J40:L40))</f>
        <v>0.54793546350083244</v>
      </c>
      <c r="M43" s="398"/>
      <c r="N43" s="398"/>
      <c r="O43" s="398"/>
      <c r="P43" s="398"/>
      <c r="Q43" s="399"/>
      <c r="R43" s="399"/>
      <c r="S43" s="399"/>
      <c r="T43" s="399"/>
      <c r="U43" s="329"/>
      <c r="V43" s="40"/>
      <c r="W43" s="31">
        <f t="shared" si="2"/>
        <v>0</v>
      </c>
      <c r="X43" s="31">
        <f t="shared" si="3"/>
        <v>-1</v>
      </c>
      <c r="Y43" s="31">
        <f t="shared" si="6"/>
        <v>0</v>
      </c>
    </row>
    <row r="44" spans="1:25" s="28" customFormat="1" ht="12" customHeight="1" outlineLevel="3" x14ac:dyDescent="0.25">
      <c r="A44" s="846"/>
      <c r="B44" s="109"/>
      <c r="C44" s="109"/>
      <c r="D44" s="109"/>
      <c r="E44" s="111"/>
      <c r="F44" s="40" t="s">
        <v>117</v>
      </c>
      <c r="G44" s="317">
        <f>($F44=H40)*1</f>
        <v>0</v>
      </c>
      <c r="H44" s="423"/>
      <c r="I44" s="424"/>
      <c r="J44" s="425">
        <f>IF(ISERROR(MAX($J40:J40)),"",MAX($J40:J40))</f>
        <v>0.54793546350083244</v>
      </c>
      <c r="K44" s="425">
        <f>IF(ISERROR(MAX($J40:K40)),"",MAX($J40:K40))</f>
        <v>0.59856023908778255</v>
      </c>
      <c r="L44" s="425">
        <f>IF(ISERROR(MAX($J40:L40)),"",MAX($J40:L40))</f>
        <v>0.59856023908778255</v>
      </c>
      <c r="M44" s="398"/>
      <c r="N44" s="398"/>
      <c r="O44" s="398"/>
      <c r="P44" s="398"/>
      <c r="Q44" s="399"/>
      <c r="R44" s="399"/>
      <c r="S44" s="399"/>
      <c r="T44" s="399"/>
      <c r="U44" s="329"/>
      <c r="V44" s="40"/>
      <c r="W44" s="31">
        <f t="shared" si="2"/>
        <v>4.5175515447660297E-2</v>
      </c>
      <c r="X44" s="31">
        <f t="shared" si="3"/>
        <v>-1</v>
      </c>
      <c r="Y44" s="31">
        <f t="shared" si="6"/>
        <v>0</v>
      </c>
    </row>
    <row r="45" spans="1:25" s="28" customFormat="1" ht="12" customHeight="1" outlineLevel="3" x14ac:dyDescent="0.25">
      <c r="A45" s="846"/>
      <c r="B45" s="109"/>
      <c r="C45" s="109"/>
      <c r="D45" s="109"/>
      <c r="E45" s="111"/>
      <c r="F45" s="40"/>
      <c r="G45" s="426"/>
      <c r="H45" s="429">
        <v>0</v>
      </c>
      <c r="I45" s="424"/>
      <c r="J45" s="422" t="str">
        <f>IF(J$4="Estimate",SUMPRODUCT(J41:J44,$G41:$G44),IF(J$4="Forecast",I45,""))</f>
        <v/>
      </c>
      <c r="K45" s="422" t="str">
        <f t="shared" ref="K45" si="31">IF(K$4="Estimate",SUMPRODUCT(K41:K44,$G41:$G44),IF(K$4="Forecast",J45,""))</f>
        <v/>
      </c>
      <c r="L45" s="422">
        <f>SUMPRODUCT(L41:L44,$G41:$G44)</f>
        <v>0.57723327059006058</v>
      </c>
      <c r="M45" s="422">
        <f t="shared" ref="M45:R45" si="32">IF(M$4="Estimate",SUMPRODUCT(M41:M44,$G41:$G44),IF(M$4="Forecast",L45,""))</f>
        <v>0.57723327059006058</v>
      </c>
      <c r="N45" s="422">
        <f t="shared" si="32"/>
        <v>0.57723327059006058</v>
      </c>
      <c r="O45" s="422">
        <f t="shared" si="32"/>
        <v>0.57723327059006058</v>
      </c>
      <c r="P45" s="422">
        <f t="shared" si="32"/>
        <v>0.57723327059006058</v>
      </c>
      <c r="Q45" s="422">
        <f t="shared" si="32"/>
        <v>0.57723327059006058</v>
      </c>
      <c r="R45" s="422">
        <f t="shared" si="32"/>
        <v>0.57723327059006058</v>
      </c>
      <c r="S45" s="399"/>
      <c r="T45" s="399"/>
      <c r="U45" s="329"/>
      <c r="V45" s="40"/>
      <c r="W45" s="31">
        <f t="shared" si="2"/>
        <v>0</v>
      </c>
      <c r="X45" s="31">
        <f t="shared" si="3"/>
        <v>0</v>
      </c>
      <c r="Y45" s="31">
        <f t="shared" si="6"/>
        <v>0</v>
      </c>
    </row>
    <row r="46" spans="1:25" s="28" customFormat="1" ht="12" customHeight="1" outlineLevel="3" x14ac:dyDescent="0.25">
      <c r="A46" s="27"/>
      <c r="B46" s="27"/>
      <c r="C46" s="27"/>
      <c r="D46" s="27"/>
      <c r="E46" s="27" t="str">
        <f>C37</f>
        <v>Raw materials, of which:</v>
      </c>
      <c r="F46" s="109"/>
      <c r="G46" s="427" t="str">
        <f t="shared" ref="G46" si="33">"EUR "&amp;Multiplier</f>
        <v>EUR thd</v>
      </c>
      <c r="H46" s="423"/>
      <c r="I46" s="428"/>
      <c r="J46" s="116">
        <f t="shared" ref="J46:L46" si="34">IF(J$4="Forecast",J45*J39,J38)</f>
        <v>2762.7435178587334</v>
      </c>
      <c r="K46" s="116">
        <f t="shared" si="34"/>
        <v>5825.2215757098129</v>
      </c>
      <c r="L46" s="116">
        <f t="shared" si="34"/>
        <v>4466.9742000644683</v>
      </c>
      <c r="M46" s="116">
        <f>IF(M$4="Forecast",M45*M39,M38)</f>
        <v>6908.7134053006184</v>
      </c>
      <c r="N46" s="116">
        <f>IF(N$4="Forecast",N45*N39,N38)</f>
        <v>7254.1490755656496</v>
      </c>
      <c r="O46" s="116">
        <f t="shared" ref="O46:Q46" si="35">IF(O$4="Forecast",O45*O39,O38)</f>
        <v>7616.8565293439315</v>
      </c>
      <c r="P46" s="116">
        <f t="shared" si="35"/>
        <v>7997.699355811128</v>
      </c>
      <c r="Q46" s="116">
        <f t="shared" si="35"/>
        <v>8397.5843236016863</v>
      </c>
      <c r="R46" s="116">
        <f t="shared" ref="R46" si="36">IF(R$4="Forecast",R45*R39,R38)</f>
        <v>8817.4635397817692</v>
      </c>
      <c r="S46" s="399"/>
      <c r="T46" s="399"/>
      <c r="U46" s="332"/>
      <c r="W46" s="31">
        <f t="shared" si="2"/>
        <v>0.27155877053284394</v>
      </c>
      <c r="X46" s="31">
        <f t="shared" si="3"/>
        <v>0.54662039579295318</v>
      </c>
      <c r="Y46" s="31">
        <f t="shared" si="6"/>
        <v>5.0000000000000044E-2</v>
      </c>
    </row>
    <row r="47" spans="1:25" s="10" customFormat="1" ht="12" customHeight="1" outlineLevel="2" x14ac:dyDescent="0.25">
      <c r="A47" s="845"/>
      <c r="B47" s="104">
        <f ca="1">MAX($A$1:B38)+0.1</f>
        <v>1.3000000000000003</v>
      </c>
      <c r="C47" s="9" t="str">
        <f>'1.2.Historical IS'!F31</f>
        <v>Consumables</v>
      </c>
      <c r="D47" s="9"/>
      <c r="E47" s="9"/>
      <c r="G47" s="101"/>
      <c r="H47" s="333"/>
      <c r="I47" s="318"/>
      <c r="J47" s="36"/>
      <c r="K47" s="36"/>
      <c r="L47" s="36"/>
      <c r="M47" s="36"/>
      <c r="N47" s="36"/>
      <c r="O47" s="36"/>
      <c r="P47" s="36"/>
      <c r="Q47" s="36"/>
      <c r="R47" s="36"/>
      <c r="S47" s="36"/>
      <c r="T47" s="36"/>
      <c r="U47" s="36"/>
      <c r="V47" s="91"/>
      <c r="W47" s="31">
        <f t="shared" si="2"/>
        <v>0</v>
      </c>
      <c r="X47" s="31">
        <f t="shared" si="3"/>
        <v>0</v>
      </c>
      <c r="Y47" s="31">
        <f t="shared" si="6"/>
        <v>0</v>
      </c>
    </row>
    <row r="48" spans="1:25" s="10" customFormat="1" ht="12" customHeight="1" outlineLevel="4" x14ac:dyDescent="0.25">
      <c r="A48" s="845"/>
      <c r="B48" s="9"/>
      <c r="C48" s="106"/>
      <c r="D48" s="9"/>
      <c r="E48" s="10" t="s">
        <v>258</v>
      </c>
      <c r="G48" s="420" t="str">
        <f t="shared" ref="G48:G49" si="37">"EUR "&amp;Multiplier</f>
        <v>EUR thd</v>
      </c>
      <c r="H48" s="333"/>
      <c r="I48" s="318"/>
      <c r="J48" s="345">
        <f>'1.2.Historical IS'!O31</f>
        <v>78.307689053175395</v>
      </c>
      <c r="K48" s="345">
        <f>'1.2.Historical IS'!P31</f>
        <v>110.12613559247828</v>
      </c>
      <c r="L48" s="345">
        <f>'1.2.Historical IS'!Q31</f>
        <v>151.55972493821855</v>
      </c>
      <c r="M48" s="128"/>
      <c r="N48" s="128"/>
      <c r="O48" s="128"/>
      <c r="P48" s="128"/>
      <c r="Q48" s="128"/>
      <c r="R48" s="128"/>
      <c r="S48" s="128"/>
      <c r="T48" s="128"/>
      <c r="U48" s="327"/>
      <c r="V48" s="12"/>
      <c r="W48" s="31">
        <f t="shared" si="2"/>
        <v>0.39120042088955409</v>
      </c>
      <c r="X48" s="31">
        <f t="shared" si="3"/>
        <v>-1</v>
      </c>
      <c r="Y48" s="31">
        <f t="shared" si="6"/>
        <v>0</v>
      </c>
    </row>
    <row r="49" spans="1:25" s="10" customFormat="1" ht="12" customHeight="1" outlineLevel="4" x14ac:dyDescent="0.25">
      <c r="A49" s="845"/>
      <c r="B49" s="9"/>
      <c r="C49" s="106"/>
      <c r="D49" s="9"/>
      <c r="E49" s="434" t="s">
        <v>294</v>
      </c>
      <c r="G49" s="420" t="str">
        <f t="shared" si="37"/>
        <v>EUR thd</v>
      </c>
      <c r="H49" s="333"/>
      <c r="I49" s="318"/>
      <c r="J49" s="345">
        <f>'1.5 Assumptions book'!J8</f>
        <v>5042.096564086577</v>
      </c>
      <c r="K49" s="345">
        <f>'1.5 Assumptions book'!K8</f>
        <v>9732.0556817933048</v>
      </c>
      <c r="L49" s="345">
        <f>'1.5 Assumptions book'!L8</f>
        <v>7633.1900784355867</v>
      </c>
      <c r="M49" s="345">
        <f>'1.5 Assumptions book'!M8</f>
        <v>11968.668053798041</v>
      </c>
      <c r="N49" s="345">
        <f>'1.5 Assumptions book'!N8</f>
        <v>12567.101456487944</v>
      </c>
      <c r="O49" s="345">
        <f>'1.5 Assumptions book'!O8</f>
        <v>13195.45652931234</v>
      </c>
      <c r="P49" s="345">
        <f>'1.5 Assumptions book'!P8</f>
        <v>13855.229355777958</v>
      </c>
      <c r="Q49" s="345">
        <f>'1.5 Assumptions book'!Q8</f>
        <v>14547.990823566857</v>
      </c>
      <c r="R49" s="345">
        <f>'1.5 Assumptions book'!R8</f>
        <v>15275.390364745199</v>
      </c>
      <c r="S49" s="128"/>
      <c r="T49" s="128"/>
      <c r="U49" s="327"/>
      <c r="V49" s="12"/>
      <c r="W49" s="31">
        <f t="shared" si="2"/>
        <v>0.23040322035288541</v>
      </c>
      <c r="X49" s="31">
        <f t="shared" si="3"/>
        <v>0.56797720622869718</v>
      </c>
      <c r="Y49" s="31">
        <f t="shared" si="6"/>
        <v>5.0000000000000044E-2</v>
      </c>
    </row>
    <row r="50" spans="1:25" s="10" customFormat="1" ht="12" customHeight="1" outlineLevel="4" x14ac:dyDescent="0.25">
      <c r="A50" s="845"/>
      <c r="B50" s="9"/>
      <c r="C50" s="106"/>
      <c r="D50" s="9"/>
      <c r="E50" s="10" t="s">
        <v>259</v>
      </c>
      <c r="G50" s="318" t="s">
        <v>85</v>
      </c>
      <c r="H50" s="421" t="str">
        <f>'0.2.Parameters'!H38</f>
        <v>Average</v>
      </c>
      <c r="I50" s="318"/>
      <c r="J50" s="422">
        <f>J48/J49</f>
        <v>1.5530779321232925E-2</v>
      </c>
      <c r="K50" s="422">
        <f>K48/K49</f>
        <v>1.1315814376042038E-2</v>
      </c>
      <c r="L50" s="422">
        <f>L48/L49</f>
        <v>1.9855358425619155E-2</v>
      </c>
      <c r="M50" s="397"/>
      <c r="N50" s="397"/>
      <c r="O50" s="397"/>
      <c r="P50" s="397"/>
      <c r="Q50" s="128"/>
      <c r="R50" s="128"/>
      <c r="S50" s="128"/>
      <c r="T50" s="128"/>
      <c r="U50" s="327"/>
      <c r="V50" s="12"/>
      <c r="W50" s="31">
        <f t="shared" si="2"/>
        <v>0.13068658946662315</v>
      </c>
      <c r="X50" s="31">
        <f t="shared" si="3"/>
        <v>-1</v>
      </c>
      <c r="Y50" s="31">
        <f t="shared" si="6"/>
        <v>0</v>
      </c>
    </row>
    <row r="51" spans="1:25" s="40" customFormat="1" ht="12" customHeight="1" outlineLevel="4" x14ac:dyDescent="0.25">
      <c r="A51" s="844"/>
      <c r="B51" s="109"/>
      <c r="C51" s="109"/>
      <c r="D51" s="109"/>
      <c r="E51" s="111"/>
      <c r="F51" s="40" t="s">
        <v>135</v>
      </c>
      <c r="G51" s="314">
        <f>($F51=H50)*1</f>
        <v>0</v>
      </c>
      <c r="H51" s="423"/>
      <c r="I51" s="424"/>
      <c r="J51" s="425">
        <f>J50</f>
        <v>1.5530779321232925E-2</v>
      </c>
      <c r="K51" s="425">
        <f>K50</f>
        <v>1.1315814376042038E-2</v>
      </c>
      <c r="L51" s="425">
        <f>L50</f>
        <v>1.9855358425619155E-2</v>
      </c>
      <c r="M51" s="398"/>
      <c r="N51" s="398"/>
      <c r="O51" s="398"/>
      <c r="P51" s="398"/>
      <c r="Q51" s="399"/>
      <c r="R51" s="399"/>
      <c r="S51" s="399"/>
      <c r="T51" s="399"/>
      <c r="U51" s="329"/>
      <c r="W51" s="31">
        <f t="shared" si="2"/>
        <v>0.13068658946662315</v>
      </c>
      <c r="X51" s="31">
        <f t="shared" si="3"/>
        <v>-1</v>
      </c>
      <c r="Y51" s="31">
        <f t="shared" si="6"/>
        <v>0</v>
      </c>
    </row>
    <row r="52" spans="1:25" s="40" customFormat="1" ht="12" customHeight="1" outlineLevel="4" x14ac:dyDescent="0.25">
      <c r="A52" s="844"/>
      <c r="B52" s="109"/>
      <c r="C52" s="109"/>
      <c r="D52" s="109"/>
      <c r="E52" s="111"/>
      <c r="F52" s="40" t="s">
        <v>116</v>
      </c>
      <c r="G52" s="316">
        <f>($F52=H50)*1</f>
        <v>1</v>
      </c>
      <c r="H52" s="423"/>
      <c r="I52" s="424"/>
      <c r="J52" s="425">
        <f>IF(ISERROR(AVERAGE($J50:J50)),"",AVERAGE($J50:J50))</f>
        <v>1.5530779321232925E-2</v>
      </c>
      <c r="K52" s="425">
        <f>IF(ISERROR(AVERAGE($J50:K50)),"",AVERAGE($J50:K50))</f>
        <v>1.3423296848637481E-2</v>
      </c>
      <c r="L52" s="425">
        <f>IF(ISERROR(AVERAGE($J50:L50)),"",AVERAGE($J50:L50))</f>
        <v>1.5567317374298039E-2</v>
      </c>
      <c r="M52" s="398"/>
      <c r="N52" s="398"/>
      <c r="O52" s="398"/>
      <c r="P52" s="398"/>
      <c r="Q52" s="399"/>
      <c r="R52" s="399"/>
      <c r="S52" s="399"/>
      <c r="T52" s="399"/>
      <c r="U52" s="329"/>
      <c r="W52" s="31">
        <f t="shared" si="2"/>
        <v>1.1756199574681769E-3</v>
      </c>
      <c r="X52" s="31">
        <f t="shared" si="3"/>
        <v>-1</v>
      </c>
      <c r="Y52" s="31">
        <f t="shared" si="6"/>
        <v>0</v>
      </c>
    </row>
    <row r="53" spans="1:25" s="40" customFormat="1" ht="12" customHeight="1" outlineLevel="4" x14ac:dyDescent="0.25">
      <c r="A53" s="844"/>
      <c r="B53" s="109"/>
      <c r="C53" s="109"/>
      <c r="D53" s="109"/>
      <c r="E53" s="111"/>
      <c r="F53" s="40" t="s">
        <v>118</v>
      </c>
      <c r="G53" s="316">
        <f>($F53=H50)*1</f>
        <v>0</v>
      </c>
      <c r="H53" s="423"/>
      <c r="I53" s="424"/>
      <c r="J53" s="425">
        <f>IF(ISERROR(MIN($J50:J50)),"",MIN($J50:J50))</f>
        <v>1.5530779321232925E-2</v>
      </c>
      <c r="K53" s="425">
        <f>IF(ISERROR(MIN($J50:K50)),"",MIN($J50:K50))</f>
        <v>1.1315814376042038E-2</v>
      </c>
      <c r="L53" s="425">
        <f>IF(ISERROR(MIN($J50:L50)),"",MIN($J50:L50))</f>
        <v>1.1315814376042038E-2</v>
      </c>
      <c r="M53" s="398"/>
      <c r="N53" s="398"/>
      <c r="O53" s="398"/>
      <c r="P53" s="398"/>
      <c r="Q53" s="399"/>
      <c r="R53" s="399"/>
      <c r="S53" s="399"/>
      <c r="T53" s="399"/>
      <c r="U53" s="329"/>
      <c r="W53" s="31">
        <f t="shared" si="2"/>
        <v>-0.1464159664145549</v>
      </c>
      <c r="X53" s="31">
        <f t="shared" si="3"/>
        <v>-1</v>
      </c>
      <c r="Y53" s="31">
        <f t="shared" si="6"/>
        <v>0</v>
      </c>
    </row>
    <row r="54" spans="1:25" s="40" customFormat="1" ht="12" customHeight="1" outlineLevel="4" x14ac:dyDescent="0.25">
      <c r="A54" s="844"/>
      <c r="B54" s="109"/>
      <c r="C54" s="109"/>
      <c r="D54" s="109"/>
      <c r="E54" s="111"/>
      <c r="F54" s="40" t="s">
        <v>117</v>
      </c>
      <c r="G54" s="317">
        <f>($F54=H50)*1</f>
        <v>0</v>
      </c>
      <c r="H54" s="423"/>
      <c r="I54" s="424"/>
      <c r="J54" s="425">
        <f>IF(ISERROR(MAX($J50:J50)),"",MAX($J50:J50))</f>
        <v>1.5530779321232925E-2</v>
      </c>
      <c r="K54" s="425">
        <f>IF(ISERROR(MAX($J50:K50)),"",MAX($J50:K50))</f>
        <v>1.5530779321232925E-2</v>
      </c>
      <c r="L54" s="425">
        <f>IF(ISERROR(MAX($J50:L50)),"",MAX($J50:L50))</f>
        <v>1.9855358425619155E-2</v>
      </c>
      <c r="M54" s="398"/>
      <c r="N54" s="398"/>
      <c r="O54" s="398"/>
      <c r="P54" s="398"/>
      <c r="Q54" s="399"/>
      <c r="R54" s="399"/>
      <c r="S54" s="399"/>
      <c r="T54" s="399"/>
      <c r="U54" s="329"/>
      <c r="W54" s="31">
        <f t="shared" si="2"/>
        <v>0.13068658946662315</v>
      </c>
      <c r="X54" s="31">
        <f t="shared" si="3"/>
        <v>-1</v>
      </c>
      <c r="Y54" s="31">
        <f t="shared" si="6"/>
        <v>0</v>
      </c>
    </row>
    <row r="55" spans="1:25" s="40" customFormat="1" ht="12" customHeight="1" outlineLevel="4" x14ac:dyDescent="0.25">
      <c r="A55" s="844"/>
      <c r="B55" s="109"/>
      <c r="C55" s="109"/>
      <c r="D55" s="109"/>
      <c r="E55" s="111"/>
      <c r="G55" s="426"/>
      <c r="H55" s="429">
        <v>0</v>
      </c>
      <c r="I55" s="424"/>
      <c r="J55" s="422" t="str">
        <f>IF(J$4="Estimate",SUMPRODUCT(J51:J54,$G51:$G54),IF(J$4="Forecast",I55,""))</f>
        <v/>
      </c>
      <c r="K55" s="422" t="str">
        <f t="shared" ref="K55" si="38">IF(K$4="Estimate",SUMPRODUCT(K51:K54,$G51:$G54),IF(K$4="Forecast",J55,""))</f>
        <v/>
      </c>
      <c r="L55" s="422">
        <f>SUMPRODUCT(L51:L54,$G51:$G54)</f>
        <v>1.5567317374298039E-2</v>
      </c>
      <c r="M55" s="422">
        <f t="shared" ref="M55:N55" si="39">IF(M$4="Estimate",SUMPRODUCT(M51:M54,$G51:$G54),IF(M$4="Forecast",L55,""))</f>
        <v>1.5567317374298039E-2</v>
      </c>
      <c r="N55" s="422">
        <f t="shared" si="39"/>
        <v>1.5567317374298039E-2</v>
      </c>
      <c r="O55" s="422">
        <f t="shared" ref="O55" si="40">IF(O$4="Estimate",SUMPRODUCT(O51:O54,$G51:$G54),IF(O$4="Forecast",N55,""))</f>
        <v>1.5567317374298039E-2</v>
      </c>
      <c r="P55" s="422">
        <f t="shared" ref="P55" si="41">IF(P$4="Estimate",SUMPRODUCT(P51:P54,$G51:$G54),IF(P$4="Forecast",O55,""))</f>
        <v>1.5567317374298039E-2</v>
      </c>
      <c r="Q55" s="422">
        <f t="shared" ref="Q55:R55" si="42">IF(Q$4="Estimate",SUMPRODUCT(Q51:Q54,$G51:$G54),IF(Q$4="Forecast",P55,""))</f>
        <v>1.5567317374298039E-2</v>
      </c>
      <c r="R55" s="422">
        <f t="shared" si="42"/>
        <v>1.5567317374298039E-2</v>
      </c>
      <c r="S55" s="399"/>
      <c r="T55" s="399"/>
      <c r="U55" s="329"/>
      <c r="W55" s="31">
        <f t="shared" si="2"/>
        <v>0</v>
      </c>
      <c r="X55" s="31">
        <f t="shared" si="3"/>
        <v>0</v>
      </c>
      <c r="Y55" s="31">
        <f t="shared" si="6"/>
        <v>0</v>
      </c>
    </row>
    <row r="56" spans="1:25" s="28" customFormat="1" ht="12" customHeight="1" outlineLevel="3" x14ac:dyDescent="0.25">
      <c r="A56" s="27"/>
      <c r="B56" s="27"/>
      <c r="C56" s="27"/>
      <c r="D56" s="27"/>
      <c r="E56" s="27" t="str">
        <f>C47</f>
        <v>Consumables</v>
      </c>
      <c r="F56" s="109"/>
      <c r="G56" s="427" t="str">
        <f t="shared" ref="G56" si="43">"EUR "&amp;Multiplier</f>
        <v>EUR thd</v>
      </c>
      <c r="H56" s="423"/>
      <c r="I56" s="428"/>
      <c r="J56" s="116">
        <f t="shared" ref="J56:L56" si="44">IF(J$4="Forecast",J55*J49,J48)</f>
        <v>78.307689053175395</v>
      </c>
      <c r="K56" s="116">
        <f t="shared" si="44"/>
        <v>110.12613559247828</v>
      </c>
      <c r="L56" s="116">
        <f t="shared" si="44"/>
        <v>151.55972493821855</v>
      </c>
      <c r="M56" s="116">
        <f>IF(M$4="Forecast",M55*M49,M48)</f>
        <v>186.32005414109614</v>
      </c>
      <c r="N56" s="116">
        <f>IF(N$4="Forecast",N55*N49,N48)</f>
        <v>195.63605684815096</v>
      </c>
      <c r="O56" s="116">
        <f t="shared" ref="O56:Q56" si="45">IF(O$4="Forecast",O55*O49,O48)</f>
        <v>205.41785969055849</v>
      </c>
      <c r="P56" s="116">
        <f t="shared" si="45"/>
        <v>215.68875267508642</v>
      </c>
      <c r="Q56" s="116">
        <f t="shared" si="45"/>
        <v>226.47319030884077</v>
      </c>
      <c r="R56" s="116">
        <f t="shared" ref="R56" si="46">IF(R$4="Forecast",R55*R49,R48)</f>
        <v>237.79684982428279</v>
      </c>
      <c r="S56" s="399"/>
      <c r="T56" s="399"/>
      <c r="U56" s="332"/>
      <c r="W56" s="31">
        <f t="shared" si="2"/>
        <v>0.39120042088955409</v>
      </c>
      <c r="X56" s="31">
        <f t="shared" si="3"/>
        <v>0.22935070129645063</v>
      </c>
      <c r="Y56" s="31">
        <f t="shared" si="6"/>
        <v>5.0000000000000044E-2</v>
      </c>
    </row>
    <row r="57" spans="1:25" s="10" customFormat="1" ht="12" customHeight="1" outlineLevel="2" x14ac:dyDescent="0.25">
      <c r="A57" s="845"/>
      <c r="B57" s="104">
        <f ca="1">MAX($A$1:B47)+0.1</f>
        <v>1.4000000000000004</v>
      </c>
      <c r="C57" s="9" t="str">
        <f>'1.2.Historical IS'!F32</f>
        <v>Goods purchased for resale, of which:</v>
      </c>
      <c r="D57" s="9"/>
      <c r="E57" s="9"/>
      <c r="G57" s="101"/>
      <c r="H57" s="333"/>
      <c r="I57" s="318"/>
      <c r="J57" s="36"/>
      <c r="K57" s="36"/>
      <c r="L57" s="36"/>
      <c r="M57" s="36"/>
      <c r="N57" s="36"/>
      <c r="O57" s="36"/>
      <c r="P57" s="36"/>
      <c r="Q57" s="36"/>
      <c r="R57" s="36"/>
      <c r="S57" s="36"/>
      <c r="T57" s="36"/>
      <c r="U57" s="306"/>
      <c r="V57" s="91"/>
      <c r="W57" s="31">
        <f t="shared" si="2"/>
        <v>0</v>
      </c>
      <c r="X57" s="31">
        <f t="shared" si="3"/>
        <v>0</v>
      </c>
      <c r="Y57" s="31">
        <f t="shared" si="6"/>
        <v>0</v>
      </c>
    </row>
    <row r="58" spans="1:25" s="10" customFormat="1" ht="12" customHeight="1" outlineLevel="4" x14ac:dyDescent="0.25">
      <c r="A58" s="845"/>
      <c r="B58" s="9"/>
      <c r="C58" s="106"/>
      <c r="D58" s="9"/>
      <c r="E58" s="10" t="s">
        <v>258</v>
      </c>
      <c r="G58" s="420" t="str">
        <f t="shared" ref="G58:G59" si="47">"EUR "&amp;Multiplier</f>
        <v>EUR thd</v>
      </c>
      <c r="H58" s="333"/>
      <c r="I58" s="318"/>
      <c r="J58" s="345">
        <f>'1.2.Historical IS'!O32</f>
        <v>638.51651153469322</v>
      </c>
      <c r="K58" s="345">
        <f>'1.2.Historical IS'!P32</f>
        <v>1030.1307567697729</v>
      </c>
      <c r="L58" s="345">
        <f>'1.2.Historical IS'!Q32</f>
        <v>829.08779628236812</v>
      </c>
      <c r="M58" s="128"/>
      <c r="N58" s="128"/>
      <c r="O58" s="128"/>
      <c r="P58" s="128"/>
      <c r="Q58" s="128"/>
      <c r="R58" s="128"/>
      <c r="S58" s="128"/>
      <c r="T58" s="128"/>
      <c r="U58" s="327"/>
      <c r="V58" s="12"/>
      <c r="W58" s="31">
        <f t="shared" si="2"/>
        <v>0.13949964752505983</v>
      </c>
      <c r="X58" s="31">
        <f t="shared" si="3"/>
        <v>-1</v>
      </c>
      <c r="Y58" s="31">
        <f t="shared" si="6"/>
        <v>0</v>
      </c>
    </row>
    <row r="59" spans="1:25" s="10" customFormat="1" ht="12" customHeight="1" outlineLevel="4" x14ac:dyDescent="0.25">
      <c r="A59" s="845"/>
      <c r="B59" s="9"/>
      <c r="C59" s="106"/>
      <c r="D59" s="9"/>
      <c r="E59" s="434" t="s">
        <v>294</v>
      </c>
      <c r="G59" s="420" t="str">
        <f t="shared" si="47"/>
        <v>EUR thd</v>
      </c>
      <c r="H59" s="333"/>
      <c r="I59" s="318"/>
      <c r="J59" s="345">
        <f>'1.5 Assumptions book'!J8</f>
        <v>5042.096564086577</v>
      </c>
      <c r="K59" s="345">
        <f>'1.5 Assumptions book'!K8</f>
        <v>9732.0556817933048</v>
      </c>
      <c r="L59" s="345">
        <f>'1.5 Assumptions book'!L8</f>
        <v>7633.1900784355867</v>
      </c>
      <c r="M59" s="345">
        <f>'1.5 Assumptions book'!M8</f>
        <v>11968.668053798041</v>
      </c>
      <c r="N59" s="345">
        <f>'1.5 Assumptions book'!N8</f>
        <v>12567.101456487944</v>
      </c>
      <c r="O59" s="345">
        <f>'1.5 Assumptions book'!O8</f>
        <v>13195.45652931234</v>
      </c>
      <c r="P59" s="345">
        <f>'1.5 Assumptions book'!P8</f>
        <v>13855.229355777958</v>
      </c>
      <c r="Q59" s="345">
        <f>'1.5 Assumptions book'!Q8</f>
        <v>14547.990823566857</v>
      </c>
      <c r="R59" s="345">
        <f>'1.5 Assumptions book'!R8</f>
        <v>15275.390364745199</v>
      </c>
      <c r="S59" s="128"/>
      <c r="T59" s="128"/>
      <c r="U59" s="327"/>
      <c r="V59" s="12"/>
      <c r="W59" s="31">
        <f t="shared" si="2"/>
        <v>0.23040322035288541</v>
      </c>
      <c r="X59" s="31">
        <f t="shared" si="3"/>
        <v>0.56797720622869718</v>
      </c>
      <c r="Y59" s="31">
        <f t="shared" si="6"/>
        <v>5.0000000000000044E-2</v>
      </c>
    </row>
    <row r="60" spans="1:25" s="10" customFormat="1" ht="12" customHeight="1" outlineLevel="4" x14ac:dyDescent="0.25">
      <c r="A60" s="845"/>
      <c r="B60" s="9"/>
      <c r="C60" s="106"/>
      <c r="D60" s="9"/>
      <c r="E60" s="10" t="s">
        <v>259</v>
      </c>
      <c r="G60" s="318" t="s">
        <v>85</v>
      </c>
      <c r="H60" s="421" t="str">
        <f>'0.2.Parameters'!H42</f>
        <v>Last</v>
      </c>
      <c r="I60" s="318"/>
      <c r="J60" s="422">
        <f>J58/J59</f>
        <v>0.12663710490645202</v>
      </c>
      <c r="K60" s="422">
        <f>K58/K59</f>
        <v>0.10584924608445653</v>
      </c>
      <c r="L60" s="422">
        <f>L58/L59</f>
        <v>0.10861616018505971</v>
      </c>
      <c r="M60" s="397"/>
      <c r="N60" s="397"/>
      <c r="O60" s="397"/>
      <c r="P60" s="397"/>
      <c r="Q60" s="128"/>
      <c r="R60" s="128"/>
      <c r="S60" s="128"/>
      <c r="T60" s="128"/>
      <c r="U60" s="327"/>
      <c r="V60" s="12"/>
      <c r="W60" s="31">
        <f t="shared" si="2"/>
        <v>-7.3881123947118765E-2</v>
      </c>
      <c r="X60" s="31">
        <f t="shared" si="3"/>
        <v>-1</v>
      </c>
      <c r="Y60" s="31">
        <f t="shared" si="6"/>
        <v>0</v>
      </c>
    </row>
    <row r="61" spans="1:25" s="40" customFormat="1" ht="12" customHeight="1" outlineLevel="4" x14ac:dyDescent="0.25">
      <c r="A61" s="844"/>
      <c r="B61" s="109"/>
      <c r="C61" s="109"/>
      <c r="D61" s="109"/>
      <c r="E61" s="111"/>
      <c r="F61" s="40" t="s">
        <v>135</v>
      </c>
      <c r="G61" s="314">
        <f>($F61=H60)*1</f>
        <v>1</v>
      </c>
      <c r="H61" s="423"/>
      <c r="I61" s="424"/>
      <c r="J61" s="425">
        <f>J60</f>
        <v>0.12663710490645202</v>
      </c>
      <c r="K61" s="425">
        <f>K60</f>
        <v>0.10584924608445653</v>
      </c>
      <c r="L61" s="425">
        <f>L60</f>
        <v>0.10861616018505971</v>
      </c>
      <c r="M61" s="398"/>
      <c r="N61" s="398"/>
      <c r="O61" s="398"/>
      <c r="P61" s="398"/>
      <c r="Q61" s="399"/>
      <c r="R61" s="399"/>
      <c r="S61" s="399"/>
      <c r="T61" s="399"/>
      <c r="U61" s="329"/>
      <c r="W61" s="31">
        <f t="shared" si="2"/>
        <v>-7.3881123947118765E-2</v>
      </c>
      <c r="X61" s="31">
        <f t="shared" si="3"/>
        <v>-1</v>
      </c>
      <c r="Y61" s="31">
        <f t="shared" si="6"/>
        <v>0</v>
      </c>
    </row>
    <row r="62" spans="1:25" s="40" customFormat="1" ht="12" customHeight="1" outlineLevel="4" x14ac:dyDescent="0.25">
      <c r="A62" s="844"/>
      <c r="B62" s="109"/>
      <c r="C62" s="109"/>
      <c r="D62" s="109"/>
      <c r="E62" s="111"/>
      <c r="F62" s="40" t="s">
        <v>116</v>
      </c>
      <c r="G62" s="316">
        <f>($F62=H60)*1</f>
        <v>0</v>
      </c>
      <c r="H62" s="423"/>
      <c r="I62" s="424"/>
      <c r="J62" s="425">
        <f>IF(ISERROR(AVERAGE($J60:J60)),"",AVERAGE($J60:J60))</f>
        <v>0.12663710490645202</v>
      </c>
      <c r="K62" s="425">
        <f>IF(ISERROR(AVERAGE($J60:K60)),"",AVERAGE($J60:K60))</f>
        <v>0.11624317549545428</v>
      </c>
      <c r="L62" s="425">
        <f>IF(ISERROR(AVERAGE($J60:L60)),"",AVERAGE($J60:L60))</f>
        <v>0.11370083705865608</v>
      </c>
      <c r="M62" s="398"/>
      <c r="N62" s="398"/>
      <c r="O62" s="398"/>
      <c r="P62" s="398"/>
      <c r="Q62" s="399"/>
      <c r="R62" s="399"/>
      <c r="S62" s="399"/>
      <c r="T62" s="399"/>
      <c r="U62" s="329"/>
      <c r="W62" s="31">
        <f t="shared" si="2"/>
        <v>-5.2451727304121953E-2</v>
      </c>
      <c r="X62" s="31">
        <f t="shared" si="3"/>
        <v>-1</v>
      </c>
      <c r="Y62" s="31">
        <f t="shared" si="6"/>
        <v>0</v>
      </c>
    </row>
    <row r="63" spans="1:25" s="40" customFormat="1" ht="12" customHeight="1" outlineLevel="4" x14ac:dyDescent="0.25">
      <c r="A63" s="844"/>
      <c r="B63" s="109"/>
      <c r="C63" s="109"/>
      <c r="D63" s="109"/>
      <c r="E63" s="111"/>
      <c r="F63" s="40" t="s">
        <v>118</v>
      </c>
      <c r="G63" s="316">
        <f>($F63=H60)*1</f>
        <v>0</v>
      </c>
      <c r="H63" s="423"/>
      <c r="I63" s="424"/>
      <c r="J63" s="425">
        <f>IF(ISERROR(MIN($J60:J60)),"",MIN($J60:J60))</f>
        <v>0.12663710490645202</v>
      </c>
      <c r="K63" s="425">
        <f>IF(ISERROR(MIN($J60:K60)),"",MIN($J60:K60))</f>
        <v>0.10584924608445653</v>
      </c>
      <c r="L63" s="425">
        <f>IF(ISERROR(MIN($J60:L60)),"",MIN($J60:L60))</f>
        <v>0.10584924608445653</v>
      </c>
      <c r="M63" s="398"/>
      <c r="N63" s="398"/>
      <c r="O63" s="398"/>
      <c r="P63" s="398"/>
      <c r="Q63" s="399"/>
      <c r="R63" s="399"/>
      <c r="S63" s="399"/>
      <c r="T63" s="399"/>
      <c r="U63" s="329"/>
      <c r="W63" s="31">
        <f t="shared" si="2"/>
        <v>-8.57533075338065E-2</v>
      </c>
      <c r="X63" s="31">
        <f t="shared" si="3"/>
        <v>-1</v>
      </c>
      <c r="Y63" s="31">
        <f t="shared" si="6"/>
        <v>0</v>
      </c>
    </row>
    <row r="64" spans="1:25" s="40" customFormat="1" ht="12" customHeight="1" outlineLevel="4" x14ac:dyDescent="0.25">
      <c r="A64" s="844"/>
      <c r="B64" s="109"/>
      <c r="C64" s="109"/>
      <c r="D64" s="109"/>
      <c r="E64" s="111"/>
      <c r="F64" s="40" t="s">
        <v>117</v>
      </c>
      <c r="G64" s="317">
        <f>($F64=H60)*1</f>
        <v>0</v>
      </c>
      <c r="H64" s="423"/>
      <c r="I64" s="424"/>
      <c r="J64" s="425">
        <f>IF(ISERROR(MAX($J60:J60)),"",MAX($J60:J60))</f>
        <v>0.12663710490645202</v>
      </c>
      <c r="K64" s="425">
        <f>IF(ISERROR(MAX($J60:K60)),"",MAX($J60:K60))</f>
        <v>0.12663710490645202</v>
      </c>
      <c r="L64" s="425">
        <f>IF(ISERROR(MAX($J60:L60)),"",MAX($J60:L60))</f>
        <v>0.12663710490645202</v>
      </c>
      <c r="M64" s="398"/>
      <c r="N64" s="398"/>
      <c r="O64" s="398"/>
      <c r="P64" s="398"/>
      <c r="Q64" s="399"/>
      <c r="R64" s="399"/>
      <c r="S64" s="399"/>
      <c r="T64" s="399"/>
      <c r="U64" s="329"/>
      <c r="W64" s="31">
        <f t="shared" si="2"/>
        <v>0</v>
      </c>
      <c r="X64" s="31">
        <f t="shared" si="3"/>
        <v>-1</v>
      </c>
      <c r="Y64" s="31">
        <f t="shared" si="6"/>
        <v>0</v>
      </c>
    </row>
    <row r="65" spans="1:25" s="40" customFormat="1" ht="12" customHeight="1" outlineLevel="4" x14ac:dyDescent="0.25">
      <c r="A65" s="844"/>
      <c r="B65" s="109"/>
      <c r="C65" s="109"/>
      <c r="D65" s="109"/>
      <c r="E65" s="111"/>
      <c r="G65" s="426"/>
      <c r="H65" s="429">
        <v>0</v>
      </c>
      <c r="I65" s="424"/>
      <c r="J65" s="422" t="str">
        <f>IF(J$4="Estimate",SUMPRODUCT(J61:J64,$G61:$G64),IF(J$4="Forecast",I65,""))</f>
        <v/>
      </c>
      <c r="K65" s="422" t="str">
        <f t="shared" ref="K65:R65" si="48">IF(K$4="Estimate",SUMPRODUCT(K61:K64,$G61:$G64),IF(K$4="Forecast",J65,""))</f>
        <v/>
      </c>
      <c r="L65" s="422">
        <f>SUMPRODUCT(L61:L64,$G61:$G64)</f>
        <v>0.10861616018505971</v>
      </c>
      <c r="M65" s="422">
        <f t="shared" si="48"/>
        <v>0.10861616018505971</v>
      </c>
      <c r="N65" s="422">
        <f t="shared" si="48"/>
        <v>0.10861616018505971</v>
      </c>
      <c r="O65" s="422">
        <f t="shared" si="48"/>
        <v>0.10861616018505971</v>
      </c>
      <c r="P65" s="422">
        <f t="shared" si="48"/>
        <v>0.10861616018505971</v>
      </c>
      <c r="Q65" s="422">
        <f t="shared" si="48"/>
        <v>0.10861616018505971</v>
      </c>
      <c r="R65" s="422">
        <f t="shared" si="48"/>
        <v>0.10861616018505971</v>
      </c>
      <c r="S65" s="399"/>
      <c r="T65" s="399"/>
      <c r="U65" s="329"/>
      <c r="W65" s="31">
        <f t="shared" si="2"/>
        <v>0</v>
      </c>
      <c r="X65" s="31">
        <f t="shared" si="3"/>
        <v>0</v>
      </c>
      <c r="Y65" s="31">
        <f t="shared" si="6"/>
        <v>0</v>
      </c>
    </row>
    <row r="66" spans="1:25" s="28" customFormat="1" ht="12" customHeight="1" outlineLevel="3" x14ac:dyDescent="0.25">
      <c r="A66" s="27"/>
      <c r="B66" s="27"/>
      <c r="C66" s="27"/>
      <c r="D66" s="27"/>
      <c r="E66" s="27" t="str">
        <f>C57</f>
        <v>Goods purchased for resale, of which:</v>
      </c>
      <c r="F66" s="109"/>
      <c r="G66" s="427" t="str">
        <f t="shared" ref="G66" si="49">"EUR "&amp;Multiplier</f>
        <v>EUR thd</v>
      </c>
      <c r="H66" s="423"/>
      <c r="I66" s="428"/>
      <c r="J66" s="116">
        <f t="shared" ref="J66:L66" si="50">IF(J$4="Forecast",J65*J59,J58)</f>
        <v>638.51651153469322</v>
      </c>
      <c r="K66" s="116">
        <f t="shared" si="50"/>
        <v>1030.1307567697729</v>
      </c>
      <c r="L66" s="116">
        <f t="shared" si="50"/>
        <v>829.08779628236812</v>
      </c>
      <c r="M66" s="116">
        <f>IF(M$4="Forecast",M65*M59,M58)</f>
        <v>1299.9907665331348</v>
      </c>
      <c r="N66" s="116">
        <f>IF(N$4="Forecast",N65*N59,N58)</f>
        <v>1364.9903048597916</v>
      </c>
      <c r="O66" s="116">
        <f t="shared" ref="O66:Q66" si="51">IF(O$4="Forecast",O65*O59,O58)</f>
        <v>1433.2398201027811</v>
      </c>
      <c r="P66" s="116">
        <f t="shared" si="51"/>
        <v>1504.9018111079201</v>
      </c>
      <c r="Q66" s="116">
        <f t="shared" si="51"/>
        <v>1580.1469016633164</v>
      </c>
      <c r="R66" s="116">
        <f t="shared" ref="R66" si="52">IF(R$4="Forecast",R65*R59,R58)</f>
        <v>1659.1542467464822</v>
      </c>
      <c r="S66" s="399"/>
      <c r="T66" s="399"/>
      <c r="U66" s="332"/>
      <c r="W66" s="31">
        <f t="shared" si="2"/>
        <v>0.13949964752505983</v>
      </c>
      <c r="X66" s="31">
        <f t="shared" si="3"/>
        <v>0.56797720622869718</v>
      </c>
      <c r="Y66" s="31">
        <f t="shared" si="6"/>
        <v>5.0000000000000044E-2</v>
      </c>
    </row>
    <row r="67" spans="1:25" s="10" customFormat="1" ht="12" customHeight="1" outlineLevel="2" x14ac:dyDescent="0.25">
      <c r="A67" s="845"/>
      <c r="B67" s="104">
        <f ca="1">MAX($A$1:B66)+0.1</f>
        <v>1.5000000000000004</v>
      </c>
      <c r="C67" s="9" t="str">
        <f>'1.2.Historical IS'!F35</f>
        <v>Trade discounts offered</v>
      </c>
      <c r="D67" s="9"/>
      <c r="E67" s="9"/>
      <c r="G67" s="101"/>
      <c r="H67" s="333"/>
      <c r="I67" s="318"/>
      <c r="J67" s="36"/>
      <c r="K67" s="36"/>
      <c r="L67" s="36"/>
      <c r="M67" s="36"/>
      <c r="N67" s="36"/>
      <c r="O67" s="36"/>
      <c r="P67" s="36"/>
      <c r="Q67" s="36"/>
      <c r="R67" s="36"/>
      <c r="S67" s="36"/>
      <c r="T67" s="36"/>
      <c r="U67" s="36"/>
      <c r="V67" s="91"/>
      <c r="W67" s="31">
        <f t="shared" si="2"/>
        <v>0</v>
      </c>
      <c r="X67" s="31">
        <f t="shared" si="3"/>
        <v>0</v>
      </c>
      <c r="Y67" s="31">
        <f t="shared" si="6"/>
        <v>0</v>
      </c>
    </row>
    <row r="68" spans="1:25" s="10" customFormat="1" ht="12" customHeight="1" outlineLevel="4" x14ac:dyDescent="0.25">
      <c r="A68" s="845"/>
      <c r="B68" s="9"/>
      <c r="C68" s="106"/>
      <c r="D68" s="9"/>
      <c r="E68" s="10" t="s">
        <v>258</v>
      </c>
      <c r="G68" s="420" t="str">
        <f t="shared" ref="G68:G69" si="53">"EUR "&amp;Multiplier</f>
        <v>EUR thd</v>
      </c>
      <c r="H68" s="333"/>
      <c r="I68" s="318"/>
      <c r="J68" s="345">
        <f>'1.2.Historical IS'!O35</f>
        <v>-7.2053108577536298</v>
      </c>
      <c r="K68" s="345">
        <f>'1.2.Historical IS'!P35</f>
        <v>-12.109699875221645</v>
      </c>
      <c r="L68" s="345">
        <f>'1.2.Historical IS'!Q35</f>
        <v>-5.740855270226711</v>
      </c>
      <c r="M68" s="128"/>
      <c r="N68" s="128"/>
      <c r="O68" s="128"/>
      <c r="P68" s="128"/>
      <c r="Q68" s="128"/>
      <c r="R68" s="128"/>
      <c r="S68" s="128"/>
      <c r="T68" s="128"/>
      <c r="U68" s="327"/>
      <c r="V68" s="12"/>
      <c r="W68" s="31">
        <f t="shared" si="2"/>
        <v>-0.10738960947737597</v>
      </c>
      <c r="X68" s="31">
        <f t="shared" si="3"/>
        <v>-1</v>
      </c>
      <c r="Y68" s="31">
        <f t="shared" si="6"/>
        <v>0</v>
      </c>
    </row>
    <row r="69" spans="1:25" s="10" customFormat="1" ht="12" customHeight="1" outlineLevel="4" x14ac:dyDescent="0.25">
      <c r="A69" s="845"/>
      <c r="B69" s="9"/>
      <c r="C69" s="106"/>
      <c r="D69" s="9"/>
      <c r="E69" s="434" t="s">
        <v>294</v>
      </c>
      <c r="G69" s="420" t="str">
        <f t="shared" si="53"/>
        <v>EUR thd</v>
      </c>
      <c r="H69" s="333"/>
      <c r="I69" s="318"/>
      <c r="J69" s="345">
        <f>'1.5 Assumptions book'!J8</f>
        <v>5042.096564086577</v>
      </c>
      <c r="K69" s="345">
        <f>'1.5 Assumptions book'!K8</f>
        <v>9732.0556817933048</v>
      </c>
      <c r="L69" s="345">
        <f>'1.5 Assumptions book'!L8</f>
        <v>7633.1900784355867</v>
      </c>
      <c r="M69" s="345">
        <f>'1.5 Assumptions book'!M8</f>
        <v>11968.668053798041</v>
      </c>
      <c r="N69" s="345">
        <f>'1.5 Assumptions book'!N8</f>
        <v>12567.101456487944</v>
      </c>
      <c r="O69" s="345">
        <f>'1.5 Assumptions book'!O8</f>
        <v>13195.45652931234</v>
      </c>
      <c r="P69" s="345">
        <f>'1.5 Assumptions book'!P8</f>
        <v>13855.229355777958</v>
      </c>
      <c r="Q69" s="345">
        <f>'1.5 Assumptions book'!Q8</f>
        <v>14547.990823566857</v>
      </c>
      <c r="R69" s="345">
        <f>'1.5 Assumptions book'!R8</f>
        <v>15275.390364745199</v>
      </c>
      <c r="S69" s="128"/>
      <c r="T69" s="128"/>
      <c r="U69" s="327"/>
      <c r="V69" s="12"/>
      <c r="W69" s="31">
        <f t="shared" si="2"/>
        <v>0.23040322035288541</v>
      </c>
      <c r="X69" s="31">
        <f t="shared" si="3"/>
        <v>0.56797720622869718</v>
      </c>
      <c r="Y69" s="31">
        <f t="shared" si="6"/>
        <v>5.0000000000000044E-2</v>
      </c>
    </row>
    <row r="70" spans="1:25" s="10" customFormat="1" ht="12" customHeight="1" outlineLevel="4" x14ac:dyDescent="0.25">
      <c r="A70" s="845"/>
      <c r="B70" s="9"/>
      <c r="C70" s="106"/>
      <c r="D70" s="9"/>
      <c r="E70" s="10" t="s">
        <v>259</v>
      </c>
      <c r="G70" s="318" t="s">
        <v>85</v>
      </c>
      <c r="H70" s="421" t="str">
        <f>'0.2.Parameters'!H46</f>
        <v>Last</v>
      </c>
      <c r="I70" s="318"/>
      <c r="J70" s="422">
        <f>J68/J69</f>
        <v>-1.4290307149361268E-3</v>
      </c>
      <c r="K70" s="422">
        <f>K68/K69</f>
        <v>-1.2443105825911405E-3</v>
      </c>
      <c r="L70" s="422">
        <f>L68/L69</f>
        <v>-7.5209122414560548E-4</v>
      </c>
      <c r="M70" s="397"/>
      <c r="N70" s="397"/>
      <c r="O70" s="397"/>
      <c r="P70" s="397"/>
      <c r="Q70" s="128"/>
      <c r="R70" s="128"/>
      <c r="S70" s="128"/>
      <c r="T70" s="128"/>
      <c r="U70" s="327"/>
      <c r="V70" s="12"/>
      <c r="W70" s="31">
        <f t="shared" si="2"/>
        <v>-0.27453831739271695</v>
      </c>
      <c r="X70" s="31">
        <f t="shared" si="3"/>
        <v>-1</v>
      </c>
      <c r="Y70" s="31">
        <f t="shared" si="6"/>
        <v>0</v>
      </c>
    </row>
    <row r="71" spans="1:25" s="40" customFormat="1" ht="12" customHeight="1" outlineLevel="4" x14ac:dyDescent="0.25">
      <c r="A71" s="844"/>
      <c r="B71" s="109"/>
      <c r="C71" s="109"/>
      <c r="D71" s="109"/>
      <c r="E71" s="111"/>
      <c r="F71" s="40" t="s">
        <v>135</v>
      </c>
      <c r="G71" s="314">
        <f>($F71=H70)*1</f>
        <v>1</v>
      </c>
      <c r="H71" s="423"/>
      <c r="I71" s="424"/>
      <c r="J71" s="425">
        <f>J70</f>
        <v>-1.4290307149361268E-3</v>
      </c>
      <c r="K71" s="425">
        <f>K70</f>
        <v>-1.2443105825911405E-3</v>
      </c>
      <c r="L71" s="425">
        <f>L70</f>
        <v>-7.5209122414560548E-4</v>
      </c>
      <c r="M71" s="398"/>
      <c r="N71" s="398"/>
      <c r="O71" s="398"/>
      <c r="P71" s="398"/>
      <c r="Q71" s="399"/>
      <c r="R71" s="399"/>
      <c r="S71" s="399"/>
      <c r="T71" s="399"/>
      <c r="U71" s="329"/>
      <c r="W71" s="31">
        <f t="shared" si="2"/>
        <v>-0.27453831739271695</v>
      </c>
      <c r="X71" s="31">
        <f t="shared" si="3"/>
        <v>-1</v>
      </c>
      <c r="Y71" s="31">
        <f t="shared" si="6"/>
        <v>0</v>
      </c>
    </row>
    <row r="72" spans="1:25" s="40" customFormat="1" ht="12" customHeight="1" outlineLevel="4" x14ac:dyDescent="0.25">
      <c r="A72" s="844"/>
      <c r="B72" s="109"/>
      <c r="C72" s="109"/>
      <c r="D72" s="109"/>
      <c r="E72" s="111"/>
      <c r="F72" s="40" t="s">
        <v>116</v>
      </c>
      <c r="G72" s="316">
        <f>($F72=H70)*1</f>
        <v>0</v>
      </c>
      <c r="H72" s="423"/>
      <c r="I72" s="424"/>
      <c r="J72" s="425">
        <f>IF(ISERROR(AVERAGE($J70:J70)),"",AVERAGE($J70:J70))</f>
        <v>-1.4290307149361268E-3</v>
      </c>
      <c r="K72" s="425">
        <f>IF(ISERROR(AVERAGE($J70:K70)),"",AVERAGE($J70:K70))</f>
        <v>-1.3366706487636336E-3</v>
      </c>
      <c r="L72" s="425">
        <f>IF(ISERROR(AVERAGE($J70:L70)),"",AVERAGE($J70:L70))</f>
        <v>-1.1418108405576242E-3</v>
      </c>
      <c r="M72" s="398"/>
      <c r="N72" s="398"/>
      <c r="O72" s="398"/>
      <c r="P72" s="398"/>
      <c r="Q72" s="399"/>
      <c r="R72" s="399"/>
      <c r="S72" s="399"/>
      <c r="T72" s="399"/>
      <c r="U72" s="329"/>
      <c r="W72" s="31">
        <f t="shared" si="2"/>
        <v>-0.10612601218932982</v>
      </c>
      <c r="X72" s="31">
        <f t="shared" si="3"/>
        <v>-1</v>
      </c>
      <c r="Y72" s="31">
        <f t="shared" si="6"/>
        <v>0</v>
      </c>
    </row>
    <row r="73" spans="1:25" s="40" customFormat="1" ht="12" customHeight="1" outlineLevel="4" x14ac:dyDescent="0.25">
      <c r="A73" s="844"/>
      <c r="B73" s="109"/>
      <c r="C73" s="109"/>
      <c r="D73" s="109"/>
      <c r="E73" s="111"/>
      <c r="F73" s="40" t="s">
        <v>118</v>
      </c>
      <c r="G73" s="316">
        <f>($F73=H70)*1</f>
        <v>0</v>
      </c>
      <c r="H73" s="423"/>
      <c r="I73" s="424"/>
      <c r="J73" s="425">
        <f>IF(ISERROR(MIN($J70:J70)),"",MIN($J70:J70))</f>
        <v>-1.4290307149361268E-3</v>
      </c>
      <c r="K73" s="425">
        <f>IF(ISERROR(MIN($J70:K70)),"",MIN($J70:K70))</f>
        <v>-1.4290307149361268E-3</v>
      </c>
      <c r="L73" s="425">
        <f>IF(ISERROR(MIN($J70:L70)),"",MIN($J70:L70))</f>
        <v>-1.4290307149361268E-3</v>
      </c>
      <c r="M73" s="398"/>
      <c r="N73" s="398"/>
      <c r="O73" s="398"/>
      <c r="P73" s="398"/>
      <c r="Q73" s="399"/>
      <c r="R73" s="399"/>
      <c r="S73" s="399"/>
      <c r="T73" s="399"/>
      <c r="U73" s="329"/>
      <c r="W73" s="31">
        <f t="shared" si="2"/>
        <v>0</v>
      </c>
      <c r="X73" s="31">
        <f t="shared" si="3"/>
        <v>-1</v>
      </c>
      <c r="Y73" s="31">
        <f t="shared" si="6"/>
        <v>0</v>
      </c>
    </row>
    <row r="74" spans="1:25" s="40" customFormat="1" ht="12" customHeight="1" outlineLevel="4" x14ac:dyDescent="0.25">
      <c r="A74" s="844"/>
      <c r="B74" s="109"/>
      <c r="C74" s="109"/>
      <c r="D74" s="109"/>
      <c r="E74" s="111"/>
      <c r="F74" s="40" t="s">
        <v>117</v>
      </c>
      <c r="G74" s="317">
        <f>($F74=H70)*1</f>
        <v>0</v>
      </c>
      <c r="H74" s="423"/>
      <c r="I74" s="424"/>
      <c r="J74" s="425">
        <f>IF(ISERROR(MAX($J70:J70)),"",MAX($J70:J70))</f>
        <v>-1.4290307149361268E-3</v>
      </c>
      <c r="K74" s="425">
        <f>IF(ISERROR(MAX($J70:K70)),"",MAX($J70:K70))</f>
        <v>-1.2443105825911405E-3</v>
      </c>
      <c r="L74" s="425">
        <f>IF(ISERROR(MAX($J70:L70)),"",MAX($J70:L70))</f>
        <v>-7.5209122414560548E-4</v>
      </c>
      <c r="M74" s="398"/>
      <c r="N74" s="398"/>
      <c r="O74" s="398"/>
      <c r="P74" s="398"/>
      <c r="Q74" s="399"/>
      <c r="R74" s="399"/>
      <c r="S74" s="399"/>
      <c r="T74" s="399"/>
      <c r="U74" s="329"/>
      <c r="W74" s="31">
        <f t="shared" si="2"/>
        <v>-0.27453831739271695</v>
      </c>
      <c r="X74" s="31">
        <f t="shared" si="3"/>
        <v>-1</v>
      </c>
      <c r="Y74" s="31">
        <f t="shared" si="6"/>
        <v>0</v>
      </c>
    </row>
    <row r="75" spans="1:25" s="40" customFormat="1" ht="12" customHeight="1" outlineLevel="4" x14ac:dyDescent="0.25">
      <c r="A75" s="844"/>
      <c r="B75" s="109"/>
      <c r="C75" s="109"/>
      <c r="D75" s="109"/>
      <c r="E75" s="111"/>
      <c r="G75" s="426"/>
      <c r="H75" s="429">
        <v>0</v>
      </c>
      <c r="I75" s="424"/>
      <c r="J75" s="422" t="str">
        <f>IF(J$4="Estimate",SUMPRODUCT(J71:J74,$G71:$G74),IF(J$4="Forecast",I75,""))</f>
        <v/>
      </c>
      <c r="K75" s="422" t="str">
        <f t="shared" ref="K75:R75" si="54">IF(K$4="Estimate",SUMPRODUCT(K71:K74,$G71:$G74),IF(K$4="Forecast",J75,""))</f>
        <v/>
      </c>
      <c r="L75" s="422">
        <f>SUMPRODUCT(L71:L74,$G71:$G74)</f>
        <v>-7.5209122414560548E-4</v>
      </c>
      <c r="M75" s="422">
        <f t="shared" si="54"/>
        <v>-7.5209122414560548E-4</v>
      </c>
      <c r="N75" s="422">
        <f t="shared" si="54"/>
        <v>-7.5209122414560548E-4</v>
      </c>
      <c r="O75" s="422">
        <f t="shared" si="54"/>
        <v>-7.5209122414560548E-4</v>
      </c>
      <c r="P75" s="422">
        <f t="shared" si="54"/>
        <v>-7.5209122414560548E-4</v>
      </c>
      <c r="Q75" s="422">
        <f t="shared" si="54"/>
        <v>-7.5209122414560548E-4</v>
      </c>
      <c r="R75" s="422">
        <f t="shared" si="54"/>
        <v>-7.5209122414560548E-4</v>
      </c>
      <c r="S75" s="399"/>
      <c r="T75" s="399"/>
      <c r="U75" s="329"/>
      <c r="W75" s="31">
        <f t="shared" ref="W75:W108" si="55">IF(ISERROR((($L75/$J75)^(1/($L$3-$J$3))-1)),0,(($L75/$J75)^(1/($L$3-$J$3))-1))</f>
        <v>0</v>
      </c>
      <c r="X75" s="31">
        <f t="shared" ref="X75:X108" si="56">IF(ISERROR($M75/$L75-1),0,$M75/$L75-1)</f>
        <v>0</v>
      </c>
      <c r="Y75" s="31">
        <f t="shared" si="6"/>
        <v>0</v>
      </c>
    </row>
    <row r="76" spans="1:25" s="28" customFormat="1" ht="12" customHeight="1" outlineLevel="3" x14ac:dyDescent="0.25">
      <c r="A76" s="27"/>
      <c r="B76" s="27"/>
      <c r="C76" s="27"/>
      <c r="D76" s="27"/>
      <c r="E76" s="27" t="str">
        <f>C67</f>
        <v>Trade discounts offered</v>
      </c>
      <c r="F76" s="109"/>
      <c r="G76" s="427" t="str">
        <f t="shared" ref="G76" si="57">"EUR "&amp;Multiplier</f>
        <v>EUR thd</v>
      </c>
      <c r="H76" s="423"/>
      <c r="I76" s="428"/>
      <c r="J76" s="116">
        <f t="shared" ref="J76:L76" si="58">IF(J$4="Forecast",J75*J69,J68)</f>
        <v>-7.2053108577536298</v>
      </c>
      <c r="K76" s="116">
        <f t="shared" si="58"/>
        <v>-12.109699875221645</v>
      </c>
      <c r="L76" s="116">
        <f t="shared" si="58"/>
        <v>-5.740855270226711</v>
      </c>
      <c r="M76" s="116">
        <f>IF(M$4="Forecast",M75*M69,M68)</f>
        <v>-9.0015302079733708</v>
      </c>
      <c r="N76" s="116">
        <f>IF(N$4="Forecast",N75*N69,N68)</f>
        <v>-9.4516067183720391</v>
      </c>
      <c r="O76" s="116">
        <f t="shared" ref="O76:Q76" si="59">IF(O$4="Forecast",O75*O69,O68)</f>
        <v>-9.9241870542906394</v>
      </c>
      <c r="P76" s="116">
        <f t="shared" si="59"/>
        <v>-10.420396407005173</v>
      </c>
      <c r="Q76" s="116">
        <f t="shared" si="59"/>
        <v>-10.941416227355433</v>
      </c>
      <c r="R76" s="116">
        <f t="shared" ref="R76" si="60">IF(R$4="Forecast",R75*R69,R68)</f>
        <v>-11.488487038723203</v>
      </c>
      <c r="S76" s="399"/>
      <c r="T76" s="399"/>
      <c r="U76" s="332"/>
      <c r="W76" s="31">
        <f t="shared" si="55"/>
        <v>-0.10738960947737597</v>
      </c>
      <c r="X76" s="31">
        <f t="shared" si="56"/>
        <v>0.56797720622869718</v>
      </c>
      <c r="Y76" s="31">
        <f t="shared" ref="Y76:Y109" si="61">IF(ISERROR((($Q76/$M76)^(1/($Q$3-$M$3))-1)),0,(($Q76/$M76)^(1/($Q$3-$M$3))-1))</f>
        <v>5.0000000000000044E-2</v>
      </c>
    </row>
    <row r="77" spans="1:25" s="10" customFormat="1" ht="12" customHeight="1" outlineLevel="3" x14ac:dyDescent="0.25">
      <c r="A77" s="845"/>
      <c r="B77" s="104">
        <f ca="1">MAX($A$1:B76)+0.1</f>
        <v>1.6000000000000005</v>
      </c>
      <c r="C77" s="9" t="str">
        <f>'1.2.Historical IS'!F38</f>
        <v>Royalties and rental expenses</v>
      </c>
      <c r="D77" s="9"/>
      <c r="E77" s="9"/>
      <c r="G77" s="318"/>
      <c r="H77" s="333"/>
      <c r="I77" s="318"/>
      <c r="J77" s="70"/>
      <c r="K77" s="70"/>
      <c r="L77" s="70"/>
      <c r="M77" s="70"/>
      <c r="N77" s="70"/>
      <c r="O77" s="70"/>
      <c r="P77" s="70"/>
      <c r="Q77" s="70"/>
      <c r="R77" s="70"/>
      <c r="S77" s="70"/>
      <c r="T77" s="70"/>
      <c r="U77" s="306"/>
      <c r="V77" s="91"/>
      <c r="W77" s="31">
        <f t="shared" si="55"/>
        <v>0</v>
      </c>
      <c r="X77" s="31">
        <f t="shared" si="56"/>
        <v>0</v>
      </c>
      <c r="Y77" s="31">
        <f t="shared" si="61"/>
        <v>0</v>
      </c>
    </row>
    <row r="78" spans="1:25" s="10" customFormat="1" ht="12" customHeight="1" outlineLevel="4" x14ac:dyDescent="0.25">
      <c r="A78" s="845"/>
      <c r="B78" s="9"/>
      <c r="C78" s="106"/>
      <c r="D78" s="9"/>
      <c r="E78" s="10" t="s">
        <v>258</v>
      </c>
      <c r="G78" s="420" t="str">
        <f t="shared" ref="G78:G79" si="62">"EUR "&amp;Multiplier</f>
        <v>EUR thd</v>
      </c>
      <c r="H78" s="333"/>
      <c r="I78" s="318"/>
      <c r="J78" s="345">
        <f>'1.2.Historical IS'!O38</f>
        <v>204.32738264897125</v>
      </c>
      <c r="K78" s="345">
        <f>'1.2.Historical IS'!P38</f>
        <v>302.84893719489503</v>
      </c>
      <c r="L78" s="345">
        <f>'1.2.Historical IS'!Q38</f>
        <v>236.81005264854409</v>
      </c>
      <c r="M78" s="128"/>
      <c r="N78" s="128"/>
      <c r="O78" s="128"/>
      <c r="P78" s="128"/>
      <c r="Q78" s="128"/>
      <c r="R78" s="128"/>
      <c r="S78" s="128"/>
      <c r="T78" s="128"/>
      <c r="U78" s="327"/>
      <c r="V78" s="12"/>
      <c r="W78" s="31">
        <f t="shared" si="55"/>
        <v>7.6556385381190584E-2</v>
      </c>
      <c r="X78" s="31">
        <f t="shared" si="56"/>
        <v>-1</v>
      </c>
      <c r="Y78" s="31">
        <f t="shared" si="61"/>
        <v>0</v>
      </c>
    </row>
    <row r="79" spans="1:25" s="10" customFormat="1" ht="12" customHeight="1" outlineLevel="4" x14ac:dyDescent="0.25">
      <c r="A79" s="845"/>
      <c r="B79" s="9"/>
      <c r="C79" s="106"/>
      <c r="D79" s="9"/>
      <c r="E79" s="434" t="s">
        <v>294</v>
      </c>
      <c r="G79" s="420" t="str">
        <f t="shared" si="62"/>
        <v>EUR thd</v>
      </c>
      <c r="H79" s="333"/>
      <c r="I79" s="318"/>
      <c r="J79" s="345">
        <f>'1.5 Assumptions book'!J8</f>
        <v>5042.096564086577</v>
      </c>
      <c r="K79" s="345">
        <f>'1.5 Assumptions book'!K8</f>
        <v>9732.0556817933048</v>
      </c>
      <c r="L79" s="345">
        <f>'1.5 Assumptions book'!L8</f>
        <v>7633.1900784355867</v>
      </c>
      <c r="M79" s="345">
        <f>'1.5 Assumptions book'!M8</f>
        <v>11968.668053798041</v>
      </c>
      <c r="N79" s="345">
        <f>'1.5 Assumptions book'!N8</f>
        <v>12567.101456487944</v>
      </c>
      <c r="O79" s="345">
        <f>'1.5 Assumptions book'!O8</f>
        <v>13195.45652931234</v>
      </c>
      <c r="P79" s="345">
        <f>'1.5 Assumptions book'!P8</f>
        <v>13855.229355777958</v>
      </c>
      <c r="Q79" s="345">
        <f>'1.5 Assumptions book'!Q8</f>
        <v>14547.990823566857</v>
      </c>
      <c r="R79" s="345">
        <f>'1.5 Assumptions book'!R8</f>
        <v>15275.390364745199</v>
      </c>
      <c r="S79" s="128"/>
      <c r="T79" s="128"/>
      <c r="U79" s="327"/>
      <c r="V79" s="12"/>
      <c r="W79" s="31">
        <f t="shared" si="55"/>
        <v>0.23040322035288541</v>
      </c>
      <c r="X79" s="31">
        <f t="shared" si="56"/>
        <v>0.56797720622869718</v>
      </c>
      <c r="Y79" s="31">
        <f t="shared" si="61"/>
        <v>5.0000000000000044E-2</v>
      </c>
    </row>
    <row r="80" spans="1:25" s="10" customFormat="1" ht="12" customHeight="1" outlineLevel="4" x14ac:dyDescent="0.25">
      <c r="A80" s="845"/>
      <c r="B80" s="9"/>
      <c r="C80" s="106"/>
      <c r="D80" s="9"/>
      <c r="E80" s="10" t="s">
        <v>259</v>
      </c>
      <c r="G80" s="318" t="s">
        <v>85</v>
      </c>
      <c r="H80" s="421" t="str">
        <f>'0.2.Parameters'!H54</f>
        <v>Last</v>
      </c>
      <c r="I80" s="318"/>
      <c r="J80" s="422">
        <f>J78/J79</f>
        <v>4.0524289856790373E-2</v>
      </c>
      <c r="K80" s="422">
        <f>K78/K79</f>
        <v>3.1118701649176107E-2</v>
      </c>
      <c r="L80" s="422">
        <f>L78/L79</f>
        <v>3.1023733224926849E-2</v>
      </c>
      <c r="M80" s="397"/>
      <c r="N80" s="397"/>
      <c r="O80" s="397"/>
      <c r="P80" s="397"/>
      <c r="Q80" s="128"/>
      <c r="R80" s="128"/>
      <c r="S80" s="128"/>
      <c r="T80" s="128"/>
      <c r="U80" s="327"/>
      <c r="V80" s="12"/>
      <c r="W80" s="31">
        <f t="shared" si="55"/>
        <v>-0.12503773756994152</v>
      </c>
      <c r="X80" s="31">
        <f t="shared" si="56"/>
        <v>-1</v>
      </c>
      <c r="Y80" s="31">
        <f t="shared" si="61"/>
        <v>0</v>
      </c>
    </row>
    <row r="81" spans="1:25" s="40" customFormat="1" ht="12" customHeight="1" outlineLevel="4" x14ac:dyDescent="0.25">
      <c r="A81" s="844"/>
      <c r="B81" s="109"/>
      <c r="C81" s="109"/>
      <c r="D81" s="109"/>
      <c r="E81" s="111"/>
      <c r="F81" s="40" t="s">
        <v>135</v>
      </c>
      <c r="G81" s="314">
        <f>($F81=H80)*1</f>
        <v>1</v>
      </c>
      <c r="H81" s="423"/>
      <c r="I81" s="424"/>
      <c r="J81" s="425">
        <f>J80</f>
        <v>4.0524289856790373E-2</v>
      </c>
      <c r="K81" s="425">
        <f>K80</f>
        <v>3.1118701649176107E-2</v>
      </c>
      <c r="L81" s="425">
        <f>L80</f>
        <v>3.1023733224926849E-2</v>
      </c>
      <c r="M81" s="398"/>
      <c r="N81" s="398"/>
      <c r="O81" s="398"/>
      <c r="P81" s="398"/>
      <c r="Q81" s="399"/>
      <c r="R81" s="399"/>
      <c r="S81" s="399"/>
      <c r="T81" s="399"/>
      <c r="U81" s="329"/>
      <c r="W81" s="31">
        <f t="shared" si="55"/>
        <v>-0.12503773756994152</v>
      </c>
      <c r="X81" s="31">
        <f t="shared" si="56"/>
        <v>-1</v>
      </c>
      <c r="Y81" s="31">
        <f t="shared" si="61"/>
        <v>0</v>
      </c>
    </row>
    <row r="82" spans="1:25" s="40" customFormat="1" ht="12" customHeight="1" outlineLevel="4" x14ac:dyDescent="0.25">
      <c r="A82" s="844"/>
      <c r="B82" s="109"/>
      <c r="C82" s="109"/>
      <c r="D82" s="109"/>
      <c r="E82" s="111"/>
      <c r="F82" s="40" t="s">
        <v>116</v>
      </c>
      <c r="G82" s="316">
        <f>($F82=H80)*1</f>
        <v>0</v>
      </c>
      <c r="H82" s="423"/>
      <c r="I82" s="424"/>
      <c r="J82" s="425">
        <f>IF(ISERROR(AVERAGE($J80:J80)),"",AVERAGE($J80:J80))</f>
        <v>4.0524289856790373E-2</v>
      </c>
      <c r="K82" s="425">
        <f>IF(ISERROR(AVERAGE($J80:K80)),"",AVERAGE($J80:K80))</f>
        <v>3.582149575298324E-2</v>
      </c>
      <c r="L82" s="425">
        <f>IF(ISERROR(AVERAGE($J80:L80)),"",AVERAGE($J80:L80))</f>
        <v>3.4222241576964442E-2</v>
      </c>
      <c r="M82" s="398"/>
      <c r="N82" s="398"/>
      <c r="O82" s="398"/>
      <c r="P82" s="398"/>
      <c r="Q82" s="399"/>
      <c r="R82" s="399"/>
      <c r="S82" s="399"/>
      <c r="T82" s="399"/>
      <c r="U82" s="329"/>
      <c r="W82" s="31">
        <f t="shared" si="55"/>
        <v>-8.1040186731351826E-2</v>
      </c>
      <c r="X82" s="31">
        <f t="shared" si="56"/>
        <v>-1</v>
      </c>
      <c r="Y82" s="31">
        <f t="shared" si="61"/>
        <v>0</v>
      </c>
    </row>
    <row r="83" spans="1:25" s="40" customFormat="1" ht="12" customHeight="1" outlineLevel="4" x14ac:dyDescent="0.25">
      <c r="A83" s="844"/>
      <c r="B83" s="109"/>
      <c r="C83" s="109"/>
      <c r="D83" s="109"/>
      <c r="E83" s="111"/>
      <c r="F83" s="40" t="s">
        <v>118</v>
      </c>
      <c r="G83" s="316">
        <f>($F83=H80)*1</f>
        <v>0</v>
      </c>
      <c r="H83" s="423"/>
      <c r="I83" s="424"/>
      <c r="J83" s="425">
        <f>IF(ISERROR(MIN($J80:J80)),"",MIN($J80:J80))</f>
        <v>4.0524289856790373E-2</v>
      </c>
      <c r="K83" s="425">
        <f>IF(ISERROR(MIN($J80:K80)),"",MIN($J80:K80))</f>
        <v>3.1118701649176107E-2</v>
      </c>
      <c r="L83" s="425">
        <f>IF(ISERROR(MIN($J80:L80)),"",MIN($J80:L80))</f>
        <v>3.1023733224926849E-2</v>
      </c>
      <c r="M83" s="398"/>
      <c r="N83" s="398"/>
      <c r="O83" s="398"/>
      <c r="P83" s="398"/>
      <c r="Q83" s="399"/>
      <c r="R83" s="399"/>
      <c r="S83" s="399"/>
      <c r="T83" s="399"/>
      <c r="U83" s="329"/>
      <c r="W83" s="31">
        <f t="shared" si="55"/>
        <v>-0.12503773756994152</v>
      </c>
      <c r="X83" s="31">
        <f t="shared" si="56"/>
        <v>-1</v>
      </c>
      <c r="Y83" s="31">
        <f t="shared" si="61"/>
        <v>0</v>
      </c>
    </row>
    <row r="84" spans="1:25" s="40" customFormat="1" ht="12" customHeight="1" outlineLevel="4" x14ac:dyDescent="0.25">
      <c r="A84" s="844"/>
      <c r="B84" s="109"/>
      <c r="C84" s="109"/>
      <c r="D84" s="109"/>
      <c r="E84" s="111"/>
      <c r="F84" s="40" t="s">
        <v>117</v>
      </c>
      <c r="G84" s="317">
        <f>($F84=H80)*1</f>
        <v>0</v>
      </c>
      <c r="H84" s="423"/>
      <c r="I84" s="424"/>
      <c r="J84" s="425">
        <f>IF(ISERROR(MAX($J80:J80)),"",MAX($J80:J80))</f>
        <v>4.0524289856790373E-2</v>
      </c>
      <c r="K84" s="425">
        <f>IF(ISERROR(MAX($J80:K80)),"",MAX($J80:K80))</f>
        <v>4.0524289856790373E-2</v>
      </c>
      <c r="L84" s="425">
        <f>IF(ISERROR(MAX($J80:L80)),"",MAX($J80:L80))</f>
        <v>4.0524289856790373E-2</v>
      </c>
      <c r="M84" s="398"/>
      <c r="N84" s="398"/>
      <c r="O84" s="398"/>
      <c r="P84" s="398"/>
      <c r="Q84" s="399"/>
      <c r="R84" s="399"/>
      <c r="S84" s="399"/>
      <c r="T84" s="399"/>
      <c r="U84" s="329"/>
      <c r="W84" s="31">
        <f t="shared" si="55"/>
        <v>0</v>
      </c>
      <c r="X84" s="31">
        <f t="shared" si="56"/>
        <v>-1</v>
      </c>
      <c r="Y84" s="31">
        <f t="shared" si="61"/>
        <v>0</v>
      </c>
    </row>
    <row r="85" spans="1:25" s="40" customFormat="1" ht="12" customHeight="1" outlineLevel="4" x14ac:dyDescent="0.25">
      <c r="A85" s="844"/>
      <c r="B85" s="109"/>
      <c r="C85" s="109"/>
      <c r="D85" s="109"/>
      <c r="E85" s="111"/>
      <c r="G85" s="426"/>
      <c r="H85" s="429">
        <v>0.05</v>
      </c>
      <c r="I85" s="424"/>
      <c r="J85" s="422" t="str">
        <f>IF(J$4="Estimate",SUMPRODUCT(J81:J84,$G81:$G84),IF(J$4="Forecast",I85,""))</f>
        <v/>
      </c>
      <c r="K85" s="422" t="str">
        <f t="shared" ref="K85:R85" si="63">IF(K$4="Estimate",SUMPRODUCT(K81:K84,$G81:$G84),IF(K$4="Forecast",J85,""))</f>
        <v/>
      </c>
      <c r="L85" s="422">
        <f>SUMPRODUCT(L81:L84,$G81:$G84)</f>
        <v>3.1023733224926849E-2</v>
      </c>
      <c r="M85" s="422">
        <f t="shared" si="63"/>
        <v>3.1023733224926849E-2</v>
      </c>
      <c r="N85" s="422">
        <f t="shared" si="63"/>
        <v>3.1023733224926849E-2</v>
      </c>
      <c r="O85" s="422">
        <f t="shared" si="63"/>
        <v>3.1023733224926849E-2</v>
      </c>
      <c r="P85" s="422">
        <f t="shared" si="63"/>
        <v>3.1023733224926849E-2</v>
      </c>
      <c r="Q85" s="422">
        <f t="shared" si="63"/>
        <v>3.1023733224926849E-2</v>
      </c>
      <c r="R85" s="422">
        <f t="shared" si="63"/>
        <v>3.1023733224926849E-2</v>
      </c>
      <c r="S85" s="399"/>
      <c r="T85" s="399"/>
      <c r="U85" s="329"/>
      <c r="W85" s="31">
        <f t="shared" si="55"/>
        <v>0</v>
      </c>
      <c r="X85" s="31">
        <f t="shared" si="56"/>
        <v>0</v>
      </c>
      <c r="Y85" s="31">
        <f t="shared" si="61"/>
        <v>0</v>
      </c>
    </row>
    <row r="86" spans="1:25" s="28" customFormat="1" ht="12" customHeight="1" outlineLevel="3" x14ac:dyDescent="0.25">
      <c r="A86" s="27"/>
      <c r="B86" s="27"/>
      <c r="C86" s="27"/>
      <c r="D86" s="27"/>
      <c r="E86" s="27" t="str">
        <f>C77</f>
        <v>Royalties and rental expenses</v>
      </c>
      <c r="F86" s="109"/>
      <c r="G86" s="427" t="str">
        <f t="shared" ref="G86" si="64">"EUR "&amp;Multiplier</f>
        <v>EUR thd</v>
      </c>
      <c r="H86" s="423"/>
      <c r="I86" s="428"/>
      <c r="J86" s="116">
        <f t="shared" ref="J86:L86" si="65">IF(J$4="Forecast",J85*J79,J78)</f>
        <v>204.32738264897125</v>
      </c>
      <c r="K86" s="116">
        <f t="shared" si="65"/>
        <v>302.84893719489503</v>
      </c>
      <c r="L86" s="116">
        <f t="shared" si="65"/>
        <v>236.81005264854409</v>
      </c>
      <c r="M86" s="116">
        <f>L86*(1+$H$85)</f>
        <v>248.6505552809713</v>
      </c>
      <c r="N86" s="116">
        <f t="shared" ref="N86:R86" si="66">M86*(1+$H$85)</f>
        <v>261.08308304501986</v>
      </c>
      <c r="O86" s="116">
        <f t="shared" si="66"/>
        <v>274.13723719727085</v>
      </c>
      <c r="P86" s="116">
        <f t="shared" si="66"/>
        <v>287.84409905713443</v>
      </c>
      <c r="Q86" s="116">
        <f t="shared" si="66"/>
        <v>302.23630400999116</v>
      </c>
      <c r="R86" s="116">
        <f t="shared" si="66"/>
        <v>317.34811921049072</v>
      </c>
      <c r="S86" s="399"/>
      <c r="T86" s="399"/>
      <c r="U86" s="332"/>
      <c r="W86" s="31">
        <f t="shared" si="55"/>
        <v>7.6556385381190584E-2</v>
      </c>
      <c r="X86" s="31">
        <f t="shared" si="56"/>
        <v>5.0000000000000044E-2</v>
      </c>
      <c r="Y86" s="31">
        <f t="shared" si="61"/>
        <v>5.0000000000000044E-2</v>
      </c>
    </row>
    <row r="87" spans="1:25" s="10" customFormat="1" ht="12" customHeight="1" outlineLevel="3" x14ac:dyDescent="0.25">
      <c r="A87" s="845"/>
      <c r="B87" s="104">
        <f ca="1">MAX($A$1:B86)+0.1</f>
        <v>1.7000000000000006</v>
      </c>
      <c r="C87" s="9" t="str">
        <f>'1.2.Historical IS'!F41</f>
        <v>Travel &amp; transport</v>
      </c>
      <c r="D87" s="9"/>
      <c r="E87" s="9"/>
      <c r="G87" s="318"/>
      <c r="H87" s="333"/>
      <c r="I87" s="318"/>
      <c r="J87" s="70"/>
      <c r="K87" s="70"/>
      <c r="L87" s="70"/>
      <c r="M87" s="70"/>
      <c r="N87" s="70"/>
      <c r="O87" s="70"/>
      <c r="P87" s="70"/>
      <c r="Q87" s="70"/>
      <c r="R87" s="70"/>
      <c r="S87" s="70"/>
      <c r="T87" s="70"/>
      <c r="U87" s="306"/>
      <c r="V87" s="91"/>
      <c r="W87" s="31">
        <f t="shared" si="55"/>
        <v>0</v>
      </c>
      <c r="X87" s="31">
        <f t="shared" si="56"/>
        <v>0</v>
      </c>
      <c r="Y87" s="31">
        <f t="shared" si="61"/>
        <v>0</v>
      </c>
    </row>
    <row r="88" spans="1:25" s="10" customFormat="1" ht="12" customHeight="1" outlineLevel="4" x14ac:dyDescent="0.25">
      <c r="A88" s="845"/>
      <c r="B88" s="9"/>
      <c r="C88" s="106"/>
      <c r="D88" s="9"/>
      <c r="E88" s="10" t="s">
        <v>258</v>
      </c>
      <c r="G88" s="420" t="str">
        <f t="shared" ref="G88:G89" si="67">"EUR "&amp;Multiplier</f>
        <v>EUR thd</v>
      </c>
      <c r="H88" s="333"/>
      <c r="I88" s="318"/>
      <c r="J88" s="345">
        <f>'1.2.Historical IS'!O41</f>
        <v>147.56650930791841</v>
      </c>
      <c r="K88" s="345">
        <f>'1.2.Historical IS'!P41</f>
        <v>297.19582320877385</v>
      </c>
      <c r="L88" s="345">
        <f>'1.2.Historical IS'!Q41</f>
        <v>153.08246481143223</v>
      </c>
      <c r="M88" s="128"/>
      <c r="N88" s="128"/>
      <c r="O88" s="128"/>
      <c r="P88" s="128"/>
      <c r="Q88" s="128"/>
      <c r="R88" s="128"/>
      <c r="S88" s="128"/>
      <c r="T88" s="128"/>
      <c r="U88" s="327"/>
      <c r="V88" s="12"/>
      <c r="W88" s="31">
        <f t="shared" si="55"/>
        <v>1.8518263806748925E-2</v>
      </c>
      <c r="X88" s="31">
        <f t="shared" si="56"/>
        <v>-1</v>
      </c>
      <c r="Y88" s="31">
        <f t="shared" si="61"/>
        <v>0</v>
      </c>
    </row>
    <row r="89" spans="1:25" s="10" customFormat="1" ht="12" customHeight="1" outlineLevel="4" x14ac:dyDescent="0.25">
      <c r="A89" s="845"/>
      <c r="B89" s="9"/>
      <c r="C89" s="106"/>
      <c r="D89" s="9"/>
      <c r="E89" s="434" t="s">
        <v>294</v>
      </c>
      <c r="G89" s="420" t="str">
        <f t="shared" si="67"/>
        <v>EUR thd</v>
      </c>
      <c r="H89" s="333"/>
      <c r="I89" s="318"/>
      <c r="J89" s="345">
        <f>'1.5 Assumptions book'!J8</f>
        <v>5042.096564086577</v>
      </c>
      <c r="K89" s="345">
        <f>'1.5 Assumptions book'!K8</f>
        <v>9732.0556817933048</v>
      </c>
      <c r="L89" s="345">
        <f>'1.5 Assumptions book'!L8</f>
        <v>7633.1900784355867</v>
      </c>
      <c r="M89" s="345">
        <f>'1.5 Assumptions book'!M8</f>
        <v>11968.668053798041</v>
      </c>
      <c r="N89" s="345">
        <f>'1.5 Assumptions book'!N8</f>
        <v>12567.101456487944</v>
      </c>
      <c r="O89" s="345">
        <f>'1.5 Assumptions book'!O8</f>
        <v>13195.45652931234</v>
      </c>
      <c r="P89" s="345">
        <f>'1.5 Assumptions book'!P8</f>
        <v>13855.229355777958</v>
      </c>
      <c r="Q89" s="345">
        <f>'1.5 Assumptions book'!Q8</f>
        <v>14547.990823566857</v>
      </c>
      <c r="R89" s="345">
        <f>'1.5 Assumptions book'!R8</f>
        <v>15275.390364745199</v>
      </c>
      <c r="S89" s="128"/>
      <c r="T89" s="128"/>
      <c r="U89" s="327"/>
      <c r="V89" s="12"/>
      <c r="W89" s="31">
        <f t="shared" si="55"/>
        <v>0.23040322035288541</v>
      </c>
      <c r="X89" s="31">
        <f t="shared" si="56"/>
        <v>0.56797720622869718</v>
      </c>
      <c r="Y89" s="31">
        <f t="shared" si="61"/>
        <v>5.0000000000000044E-2</v>
      </c>
    </row>
    <row r="90" spans="1:25" s="10" customFormat="1" ht="12" customHeight="1" outlineLevel="4" x14ac:dyDescent="0.25">
      <c r="A90" s="845"/>
      <c r="B90" s="9"/>
      <c r="C90" s="106"/>
      <c r="D90" s="9"/>
      <c r="E90" s="10" t="s">
        <v>259</v>
      </c>
      <c r="G90" s="318" t="s">
        <v>85</v>
      </c>
      <c r="H90" s="421" t="str">
        <f>'0.2.Parameters'!H66</f>
        <v>Last</v>
      </c>
      <c r="I90" s="318"/>
      <c r="J90" s="422">
        <f>J88/J89</f>
        <v>2.9266894719746698E-2</v>
      </c>
      <c r="K90" s="422">
        <f>K88/K89</f>
        <v>3.0537826018070029E-2</v>
      </c>
      <c r="L90" s="422">
        <f>L88/L89</f>
        <v>2.0054847742348676E-2</v>
      </c>
      <c r="M90" s="397"/>
      <c r="N90" s="397"/>
      <c r="O90" s="397"/>
      <c r="P90" s="397"/>
      <c r="Q90" s="128"/>
      <c r="R90" s="128"/>
      <c r="S90" s="128"/>
      <c r="T90" s="128"/>
      <c r="U90" s="327"/>
      <c r="V90" s="12"/>
      <c r="W90" s="31">
        <f t="shared" si="55"/>
        <v>-0.17220773892754193</v>
      </c>
      <c r="X90" s="31">
        <f t="shared" si="56"/>
        <v>-1</v>
      </c>
      <c r="Y90" s="31">
        <f t="shared" si="61"/>
        <v>0</v>
      </c>
    </row>
    <row r="91" spans="1:25" s="40" customFormat="1" ht="12" customHeight="1" outlineLevel="4" x14ac:dyDescent="0.25">
      <c r="A91" s="844"/>
      <c r="B91" s="109"/>
      <c r="C91" s="109"/>
      <c r="D91" s="109"/>
      <c r="E91" s="111"/>
      <c r="F91" s="40" t="s">
        <v>135</v>
      </c>
      <c r="G91" s="314">
        <f>($F91=H90)*1</f>
        <v>1</v>
      </c>
      <c r="H91" s="423"/>
      <c r="I91" s="424"/>
      <c r="J91" s="425">
        <f>J90</f>
        <v>2.9266894719746698E-2</v>
      </c>
      <c r="K91" s="425">
        <f>K90</f>
        <v>3.0537826018070029E-2</v>
      </c>
      <c r="L91" s="425">
        <f>L90</f>
        <v>2.0054847742348676E-2</v>
      </c>
      <c r="M91" s="398"/>
      <c r="N91" s="398"/>
      <c r="O91" s="398"/>
      <c r="P91" s="398"/>
      <c r="Q91" s="399"/>
      <c r="R91" s="399"/>
      <c r="S91" s="399"/>
      <c r="T91" s="399"/>
      <c r="U91" s="329"/>
      <c r="W91" s="31">
        <f t="shared" si="55"/>
        <v>-0.17220773892754193</v>
      </c>
      <c r="X91" s="31">
        <f t="shared" si="56"/>
        <v>-1</v>
      </c>
      <c r="Y91" s="31">
        <f t="shared" si="61"/>
        <v>0</v>
      </c>
    </row>
    <row r="92" spans="1:25" s="40" customFormat="1" ht="12" customHeight="1" outlineLevel="4" x14ac:dyDescent="0.25">
      <c r="A92" s="844"/>
      <c r="B92" s="109"/>
      <c r="C92" s="109"/>
      <c r="D92" s="109"/>
      <c r="E92" s="111"/>
      <c r="F92" s="40" t="s">
        <v>116</v>
      </c>
      <c r="G92" s="316">
        <f>($F92=H90)*1</f>
        <v>0</v>
      </c>
      <c r="H92" s="423"/>
      <c r="I92" s="424"/>
      <c r="J92" s="425">
        <f>IF(ISERROR(AVERAGE($J90:J90)),"",AVERAGE($J90:J90))</f>
        <v>2.9266894719746698E-2</v>
      </c>
      <c r="K92" s="425">
        <f>IF(ISERROR(AVERAGE($J90:K90)),"",AVERAGE($J90:K90))</f>
        <v>2.9902360368908365E-2</v>
      </c>
      <c r="L92" s="425">
        <f>IF(ISERROR(AVERAGE($J90:L90)),"",AVERAGE($J90:L90))</f>
        <v>2.6619856160055133E-2</v>
      </c>
      <c r="M92" s="398"/>
      <c r="N92" s="398"/>
      <c r="O92" s="398"/>
      <c r="P92" s="398"/>
      <c r="Q92" s="399"/>
      <c r="R92" s="399"/>
      <c r="S92" s="399"/>
      <c r="T92" s="399"/>
      <c r="U92" s="329"/>
      <c r="W92" s="31">
        <f t="shared" si="55"/>
        <v>-4.629396777889816E-2</v>
      </c>
      <c r="X92" s="31">
        <f t="shared" si="56"/>
        <v>-1</v>
      </c>
      <c r="Y92" s="31">
        <f t="shared" si="61"/>
        <v>0</v>
      </c>
    </row>
    <row r="93" spans="1:25" s="40" customFormat="1" ht="12" customHeight="1" outlineLevel="4" x14ac:dyDescent="0.25">
      <c r="A93" s="844"/>
      <c r="B93" s="109"/>
      <c r="C93" s="109"/>
      <c r="D93" s="109"/>
      <c r="E93" s="111"/>
      <c r="F93" s="40" t="s">
        <v>118</v>
      </c>
      <c r="G93" s="316">
        <f>($F93=H90)*1</f>
        <v>0</v>
      </c>
      <c r="H93" s="423"/>
      <c r="I93" s="424"/>
      <c r="J93" s="425">
        <f>IF(ISERROR(MIN($J90:J90)),"",MIN($J90:J90))</f>
        <v>2.9266894719746698E-2</v>
      </c>
      <c r="K93" s="425">
        <f>IF(ISERROR(MIN($J90:K90)),"",MIN($J90:K90))</f>
        <v>2.9266894719746698E-2</v>
      </c>
      <c r="L93" s="425">
        <f>IF(ISERROR(MIN($J90:L90)),"",MIN($J90:L90))</f>
        <v>2.0054847742348676E-2</v>
      </c>
      <c r="M93" s="398"/>
      <c r="N93" s="398"/>
      <c r="O93" s="398"/>
      <c r="P93" s="398"/>
      <c r="Q93" s="399"/>
      <c r="R93" s="399"/>
      <c r="S93" s="399"/>
      <c r="T93" s="399"/>
      <c r="U93" s="329"/>
      <c r="W93" s="31">
        <f t="shared" si="55"/>
        <v>-0.17220773892754193</v>
      </c>
      <c r="X93" s="31">
        <f t="shared" si="56"/>
        <v>-1</v>
      </c>
      <c r="Y93" s="31">
        <f t="shared" si="61"/>
        <v>0</v>
      </c>
    </row>
    <row r="94" spans="1:25" s="40" customFormat="1" ht="12" customHeight="1" outlineLevel="4" x14ac:dyDescent="0.25">
      <c r="A94" s="844"/>
      <c r="B94" s="109"/>
      <c r="C94" s="109"/>
      <c r="D94" s="109"/>
      <c r="E94" s="111"/>
      <c r="F94" s="40" t="s">
        <v>117</v>
      </c>
      <c r="G94" s="317">
        <f>($F94=H90)*1</f>
        <v>0</v>
      </c>
      <c r="H94" s="423"/>
      <c r="I94" s="424"/>
      <c r="J94" s="425">
        <f>IF(ISERROR(MAX($J90:J90)),"",MAX($J90:J90))</f>
        <v>2.9266894719746698E-2</v>
      </c>
      <c r="K94" s="425">
        <f>IF(ISERROR(MAX($J90:K90)),"",MAX($J90:K90))</f>
        <v>3.0537826018070029E-2</v>
      </c>
      <c r="L94" s="425">
        <f>IF(ISERROR(MAX($J90:L90)),"",MAX($J90:L90))</f>
        <v>3.0537826018070029E-2</v>
      </c>
      <c r="M94" s="398"/>
      <c r="N94" s="398"/>
      <c r="O94" s="398"/>
      <c r="P94" s="398"/>
      <c r="Q94" s="399"/>
      <c r="R94" s="399"/>
      <c r="S94" s="399"/>
      <c r="T94" s="399"/>
      <c r="U94" s="329"/>
      <c r="W94" s="31">
        <f t="shared" si="55"/>
        <v>2.1482041052753864E-2</v>
      </c>
      <c r="X94" s="31">
        <f t="shared" si="56"/>
        <v>-1</v>
      </c>
      <c r="Y94" s="31">
        <f t="shared" si="61"/>
        <v>0</v>
      </c>
    </row>
    <row r="95" spans="1:25" s="40" customFormat="1" ht="12" customHeight="1" outlineLevel="4" x14ac:dyDescent="0.25">
      <c r="A95" s="844"/>
      <c r="B95" s="109"/>
      <c r="C95" s="109"/>
      <c r="D95" s="109"/>
      <c r="E95" s="111"/>
      <c r="G95" s="426"/>
      <c r="H95" s="429">
        <v>0</v>
      </c>
      <c r="I95" s="424"/>
      <c r="J95" s="422" t="str">
        <f>IF(J$4="Estimate",SUMPRODUCT(J91:J94,$G91:$G94),IF(J$4="Forecast",I95,""))</f>
        <v/>
      </c>
      <c r="K95" s="422" t="str">
        <f t="shared" ref="K95" si="68">IF(K$4="Estimate",SUMPRODUCT(K91:K94,$G91:$G94),IF(K$4="Forecast",J95,""))</f>
        <v/>
      </c>
      <c r="L95" s="422">
        <f>SUMPRODUCT(L91:L94,$G91:$G94)</f>
        <v>2.0054847742348676E-2</v>
      </c>
      <c r="M95" s="422">
        <f t="shared" ref="M95:N95" si="69">IF(M$4="Estimate",SUMPRODUCT(M91:M94,$G91:$G94),IF(M$4="Forecast",L95,""))</f>
        <v>2.0054847742348676E-2</v>
      </c>
      <c r="N95" s="422">
        <f t="shared" si="69"/>
        <v>2.0054847742348676E-2</v>
      </c>
      <c r="O95" s="422">
        <f t="shared" ref="O95" si="70">IF(O$4="Estimate",SUMPRODUCT(O91:O94,$G91:$G94),IF(O$4="Forecast",N95,""))</f>
        <v>2.0054847742348676E-2</v>
      </c>
      <c r="P95" s="422">
        <f t="shared" ref="P95" si="71">IF(P$4="Estimate",SUMPRODUCT(P91:P94,$G91:$G94),IF(P$4="Forecast",O95,""))</f>
        <v>2.0054847742348676E-2</v>
      </c>
      <c r="Q95" s="422">
        <f t="shared" ref="Q95:R95" si="72">IF(Q$4="Estimate",SUMPRODUCT(Q91:Q94,$G91:$G94),IF(Q$4="Forecast",P95,""))</f>
        <v>2.0054847742348676E-2</v>
      </c>
      <c r="R95" s="422">
        <f t="shared" si="72"/>
        <v>2.0054847742348676E-2</v>
      </c>
      <c r="S95" s="399"/>
      <c r="T95" s="399"/>
      <c r="U95" s="329"/>
      <c r="W95" s="31">
        <f t="shared" si="55"/>
        <v>0</v>
      </c>
      <c r="X95" s="31">
        <f t="shared" si="56"/>
        <v>0</v>
      </c>
      <c r="Y95" s="31">
        <f t="shared" si="61"/>
        <v>0</v>
      </c>
    </row>
    <row r="96" spans="1:25" s="28" customFormat="1" ht="12" customHeight="1" outlineLevel="3" x14ac:dyDescent="0.25">
      <c r="A96" s="27"/>
      <c r="B96" s="27"/>
      <c r="C96" s="27"/>
      <c r="D96" s="27"/>
      <c r="E96" s="27" t="str">
        <f>C87</f>
        <v>Travel &amp; transport</v>
      </c>
      <c r="F96" s="109"/>
      <c r="G96" s="427" t="str">
        <f t="shared" ref="G96" si="73">"EUR "&amp;Multiplier</f>
        <v>EUR thd</v>
      </c>
      <c r="H96" s="423"/>
      <c r="I96" s="428"/>
      <c r="J96" s="116">
        <f t="shared" ref="J96:L96" si="74">IF(J$4="Forecast",J95*J89,J88)</f>
        <v>147.56650930791841</v>
      </c>
      <c r="K96" s="116">
        <f t="shared" si="74"/>
        <v>297.19582320877385</v>
      </c>
      <c r="L96" s="116">
        <f t="shared" si="74"/>
        <v>153.08246481143223</v>
      </c>
      <c r="M96" s="116">
        <f>IF(M$4="Forecast",M95*M89,M88)</f>
        <v>240.02981549763237</v>
      </c>
      <c r="N96" s="116">
        <f t="shared" ref="N96:Q96" si="75">IF(N$4="Forecast",N95*N89,N88)</f>
        <v>252.031306272514</v>
      </c>
      <c r="O96" s="116">
        <f t="shared" si="75"/>
        <v>264.63287158613969</v>
      </c>
      <c r="P96" s="116">
        <f t="shared" si="75"/>
        <v>277.86451516544668</v>
      </c>
      <c r="Q96" s="116">
        <f t="shared" si="75"/>
        <v>291.75774092371904</v>
      </c>
      <c r="R96" s="116">
        <f t="shared" ref="R96" si="76">IF(R$4="Forecast",R95*R89,R88)</f>
        <v>306.34562796990497</v>
      </c>
      <c r="S96" s="399"/>
      <c r="T96" s="399"/>
      <c r="U96" s="332"/>
      <c r="W96" s="31">
        <f t="shared" si="55"/>
        <v>1.8518263806748925E-2</v>
      </c>
      <c r="X96" s="31">
        <f t="shared" si="56"/>
        <v>0.56797720622869718</v>
      </c>
      <c r="Y96" s="31">
        <f t="shared" si="61"/>
        <v>5.0000000000000044E-2</v>
      </c>
    </row>
    <row r="97" spans="1:25" s="10" customFormat="1" ht="12" customHeight="1" outlineLevel="3" x14ac:dyDescent="0.25">
      <c r="A97" s="845"/>
      <c r="B97" s="104">
        <f ca="1">MAX($A$1:B96)+0.1</f>
        <v>1.8000000000000007</v>
      </c>
      <c r="C97" s="9" t="str">
        <f>'1.2.Historical IS'!F42</f>
        <v>Third party services</v>
      </c>
      <c r="D97" s="9"/>
      <c r="E97" s="9"/>
      <c r="G97" s="318"/>
      <c r="H97" s="333"/>
      <c r="I97" s="318"/>
      <c r="J97" s="70"/>
      <c r="K97" s="70"/>
      <c r="L97" s="70"/>
      <c r="M97" s="70"/>
      <c r="N97" s="70"/>
      <c r="O97" s="70"/>
      <c r="P97" s="70"/>
      <c r="Q97" s="70"/>
      <c r="R97" s="70"/>
      <c r="S97" s="70"/>
      <c r="T97" s="70"/>
      <c r="U97" s="306"/>
      <c r="V97" s="91"/>
      <c r="W97" s="31">
        <f t="shared" si="55"/>
        <v>0</v>
      </c>
      <c r="X97" s="31">
        <f t="shared" si="56"/>
        <v>0</v>
      </c>
      <c r="Y97" s="31">
        <f t="shared" si="61"/>
        <v>0</v>
      </c>
    </row>
    <row r="98" spans="1:25" s="10" customFormat="1" ht="12" customHeight="1" outlineLevel="4" x14ac:dyDescent="0.25">
      <c r="A98" s="845"/>
      <c r="B98" s="9"/>
      <c r="C98" s="106"/>
      <c r="D98" s="9"/>
      <c r="E98" s="10" t="s">
        <v>258</v>
      </c>
      <c r="G98" s="420" t="str">
        <f t="shared" ref="G98:G99" si="77">"EUR "&amp;Multiplier</f>
        <v>EUR thd</v>
      </c>
      <c r="H98" s="333"/>
      <c r="I98" s="318"/>
      <c r="J98" s="345">
        <f>'1.2.Historical IS'!O42</f>
        <v>76.45863097889017</v>
      </c>
      <c r="K98" s="345">
        <f>'1.2.Historical IS'!P42</f>
        <v>77.93279919441342</v>
      </c>
      <c r="L98" s="345">
        <f>'1.2.Historical IS'!Q42</f>
        <v>71.612867733963682</v>
      </c>
      <c r="M98" s="128"/>
      <c r="N98" s="128"/>
      <c r="O98" s="128"/>
      <c r="P98" s="128"/>
      <c r="Q98" s="128"/>
      <c r="R98" s="128"/>
      <c r="S98" s="128"/>
      <c r="T98" s="128"/>
      <c r="U98" s="327"/>
      <c r="V98" s="12"/>
      <c r="W98" s="31">
        <f t="shared" si="55"/>
        <v>-3.220745155950222E-2</v>
      </c>
      <c r="X98" s="31">
        <f t="shared" si="56"/>
        <v>-1</v>
      </c>
      <c r="Y98" s="31">
        <f t="shared" si="61"/>
        <v>0</v>
      </c>
    </row>
    <row r="99" spans="1:25" s="10" customFormat="1" ht="12" customHeight="1" outlineLevel="4" x14ac:dyDescent="0.25">
      <c r="A99" s="845"/>
      <c r="B99" s="9"/>
      <c r="C99" s="106"/>
      <c r="D99" s="9"/>
      <c r="E99" s="434" t="s">
        <v>294</v>
      </c>
      <c r="G99" s="420" t="str">
        <f t="shared" si="77"/>
        <v>EUR thd</v>
      </c>
      <c r="H99" s="333"/>
      <c r="I99" s="318"/>
      <c r="J99" s="345">
        <f>'1.5 Assumptions book'!J8</f>
        <v>5042.096564086577</v>
      </c>
      <c r="K99" s="345">
        <f>'1.5 Assumptions book'!K8</f>
        <v>9732.0556817933048</v>
      </c>
      <c r="L99" s="345">
        <f>'1.5 Assumptions book'!L8</f>
        <v>7633.1900784355867</v>
      </c>
      <c r="M99" s="345">
        <f>'1.5 Assumptions book'!M8</f>
        <v>11968.668053798041</v>
      </c>
      <c r="N99" s="345">
        <f>'1.5 Assumptions book'!N8</f>
        <v>12567.101456487944</v>
      </c>
      <c r="O99" s="345">
        <f>'1.5 Assumptions book'!O8</f>
        <v>13195.45652931234</v>
      </c>
      <c r="P99" s="345">
        <f>'1.5 Assumptions book'!P8</f>
        <v>13855.229355777958</v>
      </c>
      <c r="Q99" s="345">
        <f>'1.5 Assumptions book'!Q8</f>
        <v>14547.990823566857</v>
      </c>
      <c r="R99" s="345">
        <f>'1.5 Assumptions book'!R8</f>
        <v>15275.390364745199</v>
      </c>
      <c r="S99" s="128"/>
      <c r="T99" s="128"/>
      <c r="U99" s="327"/>
      <c r="V99" s="12"/>
      <c r="W99" s="31">
        <f t="shared" si="55"/>
        <v>0.23040322035288541</v>
      </c>
      <c r="X99" s="31">
        <f t="shared" si="56"/>
        <v>0.56797720622869718</v>
      </c>
      <c r="Y99" s="31">
        <f t="shared" si="61"/>
        <v>5.0000000000000044E-2</v>
      </c>
    </row>
    <row r="100" spans="1:25" s="10" customFormat="1" ht="12" customHeight="1" outlineLevel="4" x14ac:dyDescent="0.25">
      <c r="A100" s="845"/>
      <c r="B100" s="9"/>
      <c r="C100" s="106"/>
      <c r="D100" s="9"/>
      <c r="E100" s="10" t="s">
        <v>259</v>
      </c>
      <c r="G100" s="318" t="s">
        <v>85</v>
      </c>
      <c r="H100" s="421" t="str">
        <f>'0.2.Parameters'!H70</f>
        <v>Average</v>
      </c>
      <c r="I100" s="318"/>
      <c r="J100" s="422">
        <f>J98/J99</f>
        <v>1.516405527087349E-2</v>
      </c>
      <c r="K100" s="422">
        <f>K98/K99</f>
        <v>8.0078455921917726E-3</v>
      </c>
      <c r="L100" s="422">
        <f>L98/L99</f>
        <v>9.3817744610180925E-3</v>
      </c>
      <c r="M100" s="397"/>
      <c r="N100" s="397"/>
      <c r="O100" s="397"/>
      <c r="P100" s="397"/>
      <c r="Q100" s="128"/>
      <c r="R100" s="128"/>
      <c r="S100" s="128"/>
      <c r="T100" s="128"/>
      <c r="U100" s="327"/>
      <c r="V100" s="12"/>
      <c r="W100" s="31">
        <f t="shared" si="55"/>
        <v>-0.21343464286209346</v>
      </c>
      <c r="X100" s="31">
        <f t="shared" si="56"/>
        <v>-1</v>
      </c>
      <c r="Y100" s="31">
        <f t="shared" si="61"/>
        <v>0</v>
      </c>
    </row>
    <row r="101" spans="1:25" s="40" customFormat="1" ht="12" customHeight="1" outlineLevel="4" x14ac:dyDescent="0.25">
      <c r="A101" s="844"/>
      <c r="B101" s="109"/>
      <c r="C101" s="109"/>
      <c r="D101" s="109"/>
      <c r="E101" s="111"/>
      <c r="F101" s="40" t="s">
        <v>135</v>
      </c>
      <c r="G101" s="314">
        <f>($F101=H100)*1</f>
        <v>0</v>
      </c>
      <c r="H101" s="423"/>
      <c r="I101" s="424"/>
      <c r="J101" s="425">
        <f>J100</f>
        <v>1.516405527087349E-2</v>
      </c>
      <c r="K101" s="425">
        <f>K100</f>
        <v>8.0078455921917726E-3</v>
      </c>
      <c r="L101" s="425">
        <f>L100</f>
        <v>9.3817744610180925E-3</v>
      </c>
      <c r="M101" s="398"/>
      <c r="N101" s="398"/>
      <c r="O101" s="398"/>
      <c r="P101" s="398"/>
      <c r="Q101" s="399"/>
      <c r="R101" s="399"/>
      <c r="S101" s="399"/>
      <c r="T101" s="399"/>
      <c r="U101" s="329"/>
      <c r="W101" s="31">
        <f t="shared" si="55"/>
        <v>-0.21343464286209346</v>
      </c>
      <c r="X101" s="31">
        <f t="shared" si="56"/>
        <v>-1</v>
      </c>
      <c r="Y101" s="31">
        <f t="shared" si="61"/>
        <v>0</v>
      </c>
    </row>
    <row r="102" spans="1:25" s="40" customFormat="1" ht="12" customHeight="1" outlineLevel="4" x14ac:dyDescent="0.25">
      <c r="A102" s="844"/>
      <c r="B102" s="109"/>
      <c r="C102" s="109"/>
      <c r="D102" s="109"/>
      <c r="E102" s="111"/>
      <c r="F102" s="40" t="s">
        <v>116</v>
      </c>
      <c r="G102" s="316">
        <f>($F102=H100)*1</f>
        <v>1</v>
      </c>
      <c r="H102" s="423"/>
      <c r="I102" s="424"/>
      <c r="J102" s="425">
        <f>IF(ISERROR(AVERAGE($J100:J100)),"",AVERAGE($J100:J100))</f>
        <v>1.516405527087349E-2</v>
      </c>
      <c r="K102" s="425">
        <f>IF(ISERROR(AVERAGE($J100:K100)),"",AVERAGE($J100:K100))</f>
        <v>1.158595043153263E-2</v>
      </c>
      <c r="L102" s="425">
        <f>IF(ISERROR(AVERAGE($J100:L100)),"",AVERAGE($J100:L100))</f>
        <v>1.0851225108027785E-2</v>
      </c>
      <c r="M102" s="398"/>
      <c r="N102" s="398"/>
      <c r="O102" s="398"/>
      <c r="P102" s="398"/>
      <c r="Q102" s="399"/>
      <c r="R102" s="399"/>
      <c r="S102" s="399"/>
      <c r="T102" s="399"/>
      <c r="U102" s="329"/>
      <c r="W102" s="31">
        <f t="shared" si="55"/>
        <v>-0.15407529782945151</v>
      </c>
      <c r="X102" s="31">
        <f t="shared" si="56"/>
        <v>-1</v>
      </c>
      <c r="Y102" s="31">
        <f t="shared" si="61"/>
        <v>0</v>
      </c>
    </row>
    <row r="103" spans="1:25" s="40" customFormat="1" ht="12" customHeight="1" outlineLevel="4" x14ac:dyDescent="0.25">
      <c r="A103" s="844"/>
      <c r="B103" s="109"/>
      <c r="C103" s="109"/>
      <c r="D103" s="109"/>
      <c r="E103" s="111"/>
      <c r="F103" s="40" t="s">
        <v>118</v>
      </c>
      <c r="G103" s="316">
        <f>($F103=H100)*1</f>
        <v>0</v>
      </c>
      <c r="H103" s="423"/>
      <c r="I103" s="424"/>
      <c r="J103" s="425">
        <f>IF(ISERROR(MIN($J100:J100)),"",MIN($J100:J100))</f>
        <v>1.516405527087349E-2</v>
      </c>
      <c r="K103" s="425">
        <f>IF(ISERROR(MIN($J100:K100)),"",MIN($J100:K100))</f>
        <v>8.0078455921917726E-3</v>
      </c>
      <c r="L103" s="425">
        <f>IF(ISERROR(MIN($J100:L100)),"",MIN($J100:L100))</f>
        <v>8.0078455921917726E-3</v>
      </c>
      <c r="M103" s="398"/>
      <c r="N103" s="398"/>
      <c r="O103" s="398"/>
      <c r="P103" s="398"/>
      <c r="Q103" s="399"/>
      <c r="R103" s="399"/>
      <c r="S103" s="399"/>
      <c r="T103" s="399"/>
      <c r="U103" s="329"/>
      <c r="W103" s="31">
        <f t="shared" si="55"/>
        <v>-0.27330835688201938</v>
      </c>
      <c r="X103" s="31">
        <f t="shared" si="56"/>
        <v>-1</v>
      </c>
      <c r="Y103" s="31">
        <f t="shared" si="61"/>
        <v>0</v>
      </c>
    </row>
    <row r="104" spans="1:25" s="40" customFormat="1" ht="12" customHeight="1" outlineLevel="4" x14ac:dyDescent="0.25">
      <c r="A104" s="844"/>
      <c r="B104" s="109"/>
      <c r="C104" s="109"/>
      <c r="D104" s="109"/>
      <c r="E104" s="111"/>
      <c r="F104" s="40" t="s">
        <v>117</v>
      </c>
      <c r="G104" s="317">
        <f>($F104=H100)*1</f>
        <v>0</v>
      </c>
      <c r="H104" s="423"/>
      <c r="I104" s="424"/>
      <c r="J104" s="425">
        <f>IF(ISERROR(MAX($J100:J100)),"",MAX($J100:J100))</f>
        <v>1.516405527087349E-2</v>
      </c>
      <c r="K104" s="425">
        <f>IF(ISERROR(MAX($J100:K100)),"",MAX($J100:K100))</f>
        <v>1.516405527087349E-2</v>
      </c>
      <c r="L104" s="425">
        <f>IF(ISERROR(MAX($J100:L100)),"",MAX($J100:L100))</f>
        <v>1.516405527087349E-2</v>
      </c>
      <c r="M104" s="398"/>
      <c r="N104" s="398"/>
      <c r="O104" s="398"/>
      <c r="P104" s="398"/>
      <c r="Q104" s="399"/>
      <c r="R104" s="399"/>
      <c r="S104" s="399"/>
      <c r="T104" s="399"/>
      <c r="U104" s="329"/>
      <c r="W104" s="31">
        <f t="shared" si="55"/>
        <v>0</v>
      </c>
      <c r="X104" s="31">
        <f t="shared" si="56"/>
        <v>-1</v>
      </c>
      <c r="Y104" s="31">
        <f t="shared" si="61"/>
        <v>0</v>
      </c>
    </row>
    <row r="105" spans="1:25" s="40" customFormat="1" ht="12" customHeight="1" outlineLevel="4" x14ac:dyDescent="0.25">
      <c r="A105" s="844"/>
      <c r="B105" s="109"/>
      <c r="C105" s="109"/>
      <c r="D105" s="109"/>
      <c r="E105" s="111"/>
      <c r="G105" s="426"/>
      <c r="H105" s="429">
        <v>8.9999999999999998E-4</v>
      </c>
      <c r="I105" s="424"/>
      <c r="J105" s="422" t="str">
        <f>IF(J$4="Estimate",SUMPRODUCT(J101:J104,$G101:$G104),IF(J$4="Forecast",I105,""))</f>
        <v/>
      </c>
      <c r="K105" s="422" t="str">
        <f t="shared" ref="K105" si="78">IF(K$4="Estimate",SUMPRODUCT(K101:K104,$G101:$G104),IF(K$4="Forecast",J105,""))</f>
        <v/>
      </c>
      <c r="L105" s="422">
        <f>SUMPRODUCT(L101:L104,$G101:$G104)</f>
        <v>1.0851225108027785E-2</v>
      </c>
      <c r="M105" s="422">
        <f>IF(M$4="Estimate",SUMPRODUCT(M101:M104,$G101:$G104),IF(M$4="Forecast",L105,""))-H105</f>
        <v>9.9512251080277857E-3</v>
      </c>
      <c r="N105" s="422">
        <f t="shared" ref="N105:R105" si="79">IF(N$4="Estimate",SUMPRODUCT(N101:N104,$G101:$G104),IF(N$4="Forecast",M105,""))</f>
        <v>9.9512251080277857E-3</v>
      </c>
      <c r="O105" s="422">
        <f t="shared" si="79"/>
        <v>9.9512251080277857E-3</v>
      </c>
      <c r="P105" s="422">
        <f>IF(P$4="Estimate",SUMPRODUCT(P101:P104,$G101:$G104),IF(P$4="Forecast",O105,""))</f>
        <v>9.9512251080277857E-3</v>
      </c>
      <c r="Q105" s="422">
        <f t="shared" si="79"/>
        <v>9.9512251080277857E-3</v>
      </c>
      <c r="R105" s="422">
        <f t="shared" si="79"/>
        <v>9.9512251080277857E-3</v>
      </c>
      <c r="S105" s="399"/>
      <c r="T105" s="399"/>
      <c r="U105" s="329"/>
      <c r="W105" s="31">
        <f t="shared" si="55"/>
        <v>0</v>
      </c>
      <c r="X105" s="31">
        <f t="shared" si="56"/>
        <v>-8.2939943742773914E-2</v>
      </c>
      <c r="Y105" s="31">
        <f t="shared" si="61"/>
        <v>0</v>
      </c>
    </row>
    <row r="106" spans="1:25" s="28" customFormat="1" ht="12" customHeight="1" outlineLevel="3" x14ac:dyDescent="0.25">
      <c r="A106" s="27"/>
      <c r="B106" s="27"/>
      <c r="C106" s="27"/>
      <c r="D106" s="27"/>
      <c r="E106" s="27" t="str">
        <f>C97</f>
        <v>Third party services</v>
      </c>
      <c r="F106" s="109"/>
      <c r="G106" s="427" t="str">
        <f t="shared" ref="G106" si="80">"EUR "&amp;Multiplier</f>
        <v>EUR thd</v>
      </c>
      <c r="H106" s="423"/>
      <c r="I106" s="428"/>
      <c r="J106" s="116">
        <f t="shared" ref="J106:L106" si="81">IF(J$4="Forecast",J105*J99,J98)</f>
        <v>76.45863097889017</v>
      </c>
      <c r="K106" s="116">
        <f t="shared" si="81"/>
        <v>77.93279919441342</v>
      </c>
      <c r="L106" s="116">
        <f t="shared" si="81"/>
        <v>71.612867733963682</v>
      </c>
      <c r="M106" s="116">
        <f>IF(M$4="Forecast",M105*M99,M98)</f>
        <v>119.10291004660512</v>
      </c>
      <c r="N106" s="116">
        <f t="shared" ref="N106:P106" si="82">IF(N$4="Forecast",N105*N99,N98)</f>
        <v>125.05805554893539</v>
      </c>
      <c r="O106" s="116">
        <f t="shared" si="82"/>
        <v>131.31095832638215</v>
      </c>
      <c r="P106" s="116">
        <f t="shared" si="82"/>
        <v>137.87650624270125</v>
      </c>
      <c r="Q106" s="116">
        <f t="shared" ref="Q106" si="83">IF(Q$4="Forecast",Q105*Q99,Q98)</f>
        <v>144.77033155483633</v>
      </c>
      <c r="R106" s="116">
        <f t="shared" ref="R106" si="84">IF(R$4="Forecast",R105*R99,R98)</f>
        <v>152.00884813257815</v>
      </c>
      <c r="S106" s="399"/>
      <c r="T106" s="399"/>
      <c r="U106" s="332"/>
      <c r="W106" s="31">
        <f t="shared" si="55"/>
        <v>-3.220745155950222E-2</v>
      </c>
      <c r="X106" s="31">
        <f t="shared" si="56"/>
        <v>0.6631495681622932</v>
      </c>
      <c r="Y106" s="31">
        <f t="shared" si="61"/>
        <v>5.0000000000000044E-2</v>
      </c>
    </row>
    <row r="107" spans="1:25" s="10" customFormat="1" ht="12" customHeight="1" outlineLevel="3" x14ac:dyDescent="0.25">
      <c r="A107" s="845"/>
      <c r="B107" s="104">
        <f ca="1">MAX($A$1:B106)+0.1</f>
        <v>1.9000000000000008</v>
      </c>
      <c r="C107" s="9" t="str">
        <f>'1.2.Historical IS'!F43</f>
        <v>Other costs</v>
      </c>
      <c r="D107" s="9"/>
      <c r="E107" s="9"/>
      <c r="G107" s="318"/>
      <c r="H107" s="333"/>
      <c r="I107" s="318"/>
      <c r="J107" s="70"/>
      <c r="K107" s="70"/>
      <c r="L107" s="70"/>
      <c r="M107" s="70"/>
      <c r="N107" s="70"/>
      <c r="O107" s="70"/>
      <c r="P107" s="70"/>
      <c r="Q107" s="70"/>
      <c r="R107" s="70"/>
      <c r="S107" s="70"/>
      <c r="T107" s="70"/>
      <c r="U107" s="306"/>
      <c r="V107" s="91"/>
      <c r="W107" s="31">
        <f t="shared" si="55"/>
        <v>0</v>
      </c>
      <c r="X107" s="31">
        <f t="shared" si="56"/>
        <v>0</v>
      </c>
      <c r="Y107" s="31">
        <f t="shared" si="61"/>
        <v>0</v>
      </c>
    </row>
    <row r="108" spans="1:25" s="10" customFormat="1" ht="12" customHeight="1" outlineLevel="4" x14ac:dyDescent="0.25">
      <c r="A108" s="845"/>
      <c r="B108" s="9"/>
      <c r="C108" s="106"/>
      <c r="D108" s="9"/>
      <c r="E108" s="10" t="s">
        <v>258</v>
      </c>
      <c r="G108" s="420" t="str">
        <f t="shared" ref="G108:G109" si="85">"EUR "&amp;Multiplier</f>
        <v>EUR thd</v>
      </c>
      <c r="H108" s="333"/>
      <c r="I108" s="318"/>
      <c r="J108" s="345">
        <f>'1.2.Historical IS'!O43</f>
        <v>938.64996659837891</v>
      </c>
      <c r="K108" s="345">
        <f>'1.2.Historical IS'!P43</f>
        <v>1181.7303649219587</v>
      </c>
      <c r="L108" s="345">
        <f>'1.2.Historical IS'!Q43</f>
        <v>1344.0796003008486</v>
      </c>
      <c r="M108" s="128"/>
      <c r="N108" s="128"/>
      <c r="O108" s="128"/>
      <c r="P108" s="128"/>
      <c r="Q108" s="128"/>
      <c r="R108" s="128"/>
      <c r="S108" s="128"/>
      <c r="T108" s="128"/>
      <c r="U108" s="327"/>
      <c r="V108" s="12"/>
      <c r="W108" s="31">
        <f t="shared" si="55"/>
        <v>0.196632131899801</v>
      </c>
      <c r="X108" s="31">
        <f t="shared" si="56"/>
        <v>-1</v>
      </c>
      <c r="Y108" s="31">
        <f t="shared" si="61"/>
        <v>0</v>
      </c>
    </row>
    <row r="109" spans="1:25" s="10" customFormat="1" ht="12" customHeight="1" outlineLevel="4" x14ac:dyDescent="0.25">
      <c r="A109" s="845"/>
      <c r="B109" s="9"/>
      <c r="C109" s="106"/>
      <c r="D109" s="9"/>
      <c r="E109" s="434" t="s">
        <v>294</v>
      </c>
      <c r="G109" s="420" t="str">
        <f t="shared" si="85"/>
        <v>EUR thd</v>
      </c>
      <c r="H109" s="333"/>
      <c r="I109" s="318"/>
      <c r="J109" s="345">
        <f>'1.5 Assumptions book'!J8</f>
        <v>5042.096564086577</v>
      </c>
      <c r="K109" s="345">
        <f>'1.5 Assumptions book'!K8</f>
        <v>9732.0556817933048</v>
      </c>
      <c r="L109" s="345">
        <f>'1.5 Assumptions book'!L8</f>
        <v>7633.1900784355867</v>
      </c>
      <c r="M109" s="345">
        <f>'1.5 Assumptions book'!M8</f>
        <v>11968.668053798041</v>
      </c>
      <c r="N109" s="345">
        <f>'1.5 Assumptions book'!N8</f>
        <v>12567.101456487944</v>
      </c>
      <c r="O109" s="345">
        <f>'1.5 Assumptions book'!O8</f>
        <v>13195.45652931234</v>
      </c>
      <c r="P109" s="345">
        <f>'1.5 Assumptions book'!P8</f>
        <v>13855.229355777958</v>
      </c>
      <c r="Q109" s="345">
        <f>'1.5 Assumptions book'!Q8</f>
        <v>14547.990823566857</v>
      </c>
      <c r="R109" s="345">
        <f>'1.5 Assumptions book'!R8</f>
        <v>15275.390364745199</v>
      </c>
      <c r="S109" s="128"/>
      <c r="T109" s="128"/>
      <c r="U109" s="327"/>
      <c r="V109" s="12"/>
      <c r="W109" s="31">
        <f t="shared" ref="W109:W116" si="86">IF(ISERROR((($L109/$J109)^(1/($L$3-$J$3))-1)),0,(($L109/$J109)^(1/($L$3-$J$3))-1))</f>
        <v>0.23040322035288541</v>
      </c>
      <c r="X109" s="31">
        <f t="shared" ref="X109:X116" si="87">IF(ISERROR($M109/$L109-1),0,$M109/$L109-1)</f>
        <v>0.56797720622869718</v>
      </c>
      <c r="Y109" s="31">
        <f t="shared" si="61"/>
        <v>5.0000000000000044E-2</v>
      </c>
    </row>
    <row r="110" spans="1:25" s="10" customFormat="1" ht="12" customHeight="1" outlineLevel="4" x14ac:dyDescent="0.25">
      <c r="A110" s="845"/>
      <c r="B110" s="9"/>
      <c r="C110" s="106"/>
      <c r="D110" s="9"/>
      <c r="E110" s="10" t="s">
        <v>259</v>
      </c>
      <c r="G110" s="318" t="s">
        <v>85</v>
      </c>
      <c r="H110" s="421" t="str">
        <f>'0.2.Parameters'!H74</f>
        <v>Average</v>
      </c>
      <c r="I110" s="318"/>
      <c r="J110" s="422">
        <f>J108/J109</f>
        <v>0.18616263188692503</v>
      </c>
      <c r="K110" s="422">
        <f>K108/K109</f>
        <v>0.12142659306119011</v>
      </c>
      <c r="L110" s="422">
        <f>L108/L109</f>
        <v>0.17608360154661787</v>
      </c>
      <c r="M110" s="397"/>
      <c r="N110" s="397"/>
      <c r="O110" s="397"/>
      <c r="P110" s="397"/>
      <c r="Q110" s="128"/>
      <c r="R110" s="128"/>
      <c r="S110" s="128"/>
      <c r="T110" s="128"/>
      <c r="U110" s="327"/>
      <c r="V110" s="12"/>
      <c r="W110" s="31">
        <f t="shared" si="86"/>
        <v>-2.7447171703109507E-2</v>
      </c>
      <c r="X110" s="31">
        <f t="shared" si="87"/>
        <v>-1</v>
      </c>
      <c r="Y110" s="31">
        <f t="shared" ref="Y110:Y116" si="88">IF(ISERROR((($Q110/$M110)^(1/($Q$3-$M$3))-1)),0,(($Q110/$M110)^(1/($Q$3-$M$3))-1))</f>
        <v>0</v>
      </c>
    </row>
    <row r="111" spans="1:25" s="40" customFormat="1" ht="12" customHeight="1" outlineLevel="4" x14ac:dyDescent="0.25">
      <c r="A111" s="844"/>
      <c r="B111" s="109"/>
      <c r="C111" s="109"/>
      <c r="D111" s="109"/>
      <c r="E111" s="111"/>
      <c r="F111" s="40" t="s">
        <v>135</v>
      </c>
      <c r="G111" s="314">
        <f>($F111=H110)*1</f>
        <v>0</v>
      </c>
      <c r="H111" s="423"/>
      <c r="I111" s="424"/>
      <c r="J111" s="425">
        <f>J110</f>
        <v>0.18616263188692503</v>
      </c>
      <c r="K111" s="425">
        <f>K110</f>
        <v>0.12142659306119011</v>
      </c>
      <c r="L111" s="425">
        <f>L110</f>
        <v>0.17608360154661787</v>
      </c>
      <c r="M111" s="398"/>
      <c r="N111" s="398"/>
      <c r="O111" s="398"/>
      <c r="P111" s="398"/>
      <c r="Q111" s="399"/>
      <c r="R111" s="399"/>
      <c r="S111" s="399"/>
      <c r="T111" s="399"/>
      <c r="U111" s="329"/>
      <c r="W111" s="31">
        <f t="shared" si="86"/>
        <v>-2.7447171703109507E-2</v>
      </c>
      <c r="X111" s="31">
        <f t="shared" si="87"/>
        <v>-1</v>
      </c>
      <c r="Y111" s="31">
        <f t="shared" si="88"/>
        <v>0</v>
      </c>
    </row>
    <row r="112" spans="1:25" s="40" customFormat="1" ht="12" customHeight="1" outlineLevel="4" x14ac:dyDescent="0.25">
      <c r="A112" s="844"/>
      <c r="B112" s="109"/>
      <c r="C112" s="109"/>
      <c r="D112" s="109"/>
      <c r="E112" s="111"/>
      <c r="F112" s="40" t="s">
        <v>116</v>
      </c>
      <c r="G112" s="316">
        <f>($F112=H110)*1</f>
        <v>1</v>
      </c>
      <c r="H112" s="423"/>
      <c r="I112" s="424"/>
      <c r="J112" s="425">
        <f>IF(ISERROR(AVERAGE($J110:J110)),"",AVERAGE($J110:J110))</f>
        <v>0.18616263188692503</v>
      </c>
      <c r="K112" s="425">
        <f>IF(ISERROR(AVERAGE($J110:K110)),"",AVERAGE($J110:K110))</f>
        <v>0.15379461247405757</v>
      </c>
      <c r="L112" s="425">
        <f>IF(ISERROR(AVERAGE($J110:L110)),"",AVERAGE($J110:L110))</f>
        <v>0.16122427549824433</v>
      </c>
      <c r="M112" s="398"/>
      <c r="N112" s="398"/>
      <c r="O112" s="398"/>
      <c r="P112" s="398"/>
      <c r="Q112" s="399"/>
      <c r="R112" s="399"/>
      <c r="S112" s="399"/>
      <c r="T112" s="399"/>
      <c r="U112" s="329"/>
      <c r="W112" s="31">
        <f t="shared" si="86"/>
        <v>-6.9387328102710866E-2</v>
      </c>
      <c r="X112" s="31">
        <f t="shared" si="87"/>
        <v>-1</v>
      </c>
      <c r="Y112" s="31">
        <f t="shared" si="88"/>
        <v>0</v>
      </c>
    </row>
    <row r="113" spans="1:25" s="40" customFormat="1" ht="12" customHeight="1" outlineLevel="4" x14ac:dyDescent="0.25">
      <c r="A113" s="844"/>
      <c r="B113" s="109"/>
      <c r="C113" s="109"/>
      <c r="D113" s="109"/>
      <c r="E113" s="111"/>
      <c r="F113" s="40" t="s">
        <v>118</v>
      </c>
      <c r="G113" s="316">
        <f>($F113=H110)*1</f>
        <v>0</v>
      </c>
      <c r="H113" s="423"/>
      <c r="I113" s="424"/>
      <c r="J113" s="425">
        <f>IF(ISERROR(MIN($J110:J110)),"",MIN($J110:J110))</f>
        <v>0.18616263188692503</v>
      </c>
      <c r="K113" s="425">
        <f>IF(ISERROR(MIN($J110:K110)),"",MIN($J110:K110))</f>
        <v>0.12142659306119011</v>
      </c>
      <c r="L113" s="425">
        <f>IF(ISERROR(MIN($J110:L110)),"",MIN($J110:L110))</f>
        <v>0.12142659306119011</v>
      </c>
      <c r="M113" s="398"/>
      <c r="N113" s="398"/>
      <c r="O113" s="398"/>
      <c r="P113" s="398"/>
      <c r="Q113" s="399"/>
      <c r="R113" s="399"/>
      <c r="S113" s="399"/>
      <c r="T113" s="399"/>
      <c r="U113" s="329"/>
      <c r="W113" s="31">
        <f t="shared" si="86"/>
        <v>-0.1923733341084175</v>
      </c>
      <c r="X113" s="31">
        <f t="shared" si="87"/>
        <v>-1</v>
      </c>
      <c r="Y113" s="31">
        <f t="shared" si="88"/>
        <v>0</v>
      </c>
    </row>
    <row r="114" spans="1:25" s="40" customFormat="1" ht="12" customHeight="1" outlineLevel="4" x14ac:dyDescent="0.25">
      <c r="A114" s="844"/>
      <c r="B114" s="109"/>
      <c r="C114" s="109"/>
      <c r="D114" s="109"/>
      <c r="E114" s="111"/>
      <c r="F114" s="40" t="s">
        <v>117</v>
      </c>
      <c r="G114" s="317">
        <f>($F114=H110)*1</f>
        <v>0</v>
      </c>
      <c r="H114" s="423"/>
      <c r="I114" s="424"/>
      <c r="J114" s="425">
        <f>IF(ISERROR(MAX($J110:J110)),"",MAX($J110:J110))</f>
        <v>0.18616263188692503</v>
      </c>
      <c r="K114" s="425">
        <f>IF(ISERROR(MAX($J110:K110)),"",MAX($J110:K110))</f>
        <v>0.18616263188692503</v>
      </c>
      <c r="L114" s="425">
        <f>IF(ISERROR(MAX($J110:L110)),"",MAX($J110:L110))</f>
        <v>0.18616263188692503</v>
      </c>
      <c r="M114" s="398"/>
      <c r="N114" s="398"/>
      <c r="O114" s="398"/>
      <c r="P114" s="398"/>
      <c r="Q114" s="399"/>
      <c r="R114" s="399"/>
      <c r="S114" s="399"/>
      <c r="T114" s="399"/>
      <c r="U114" s="329"/>
      <c r="W114" s="31">
        <f t="shared" si="86"/>
        <v>0</v>
      </c>
      <c r="X114" s="31">
        <f t="shared" si="87"/>
        <v>-1</v>
      </c>
      <c r="Y114" s="31">
        <f t="shared" si="88"/>
        <v>0</v>
      </c>
    </row>
    <row r="115" spans="1:25" s="40" customFormat="1" ht="12" customHeight="1" outlineLevel="4" x14ac:dyDescent="0.25">
      <c r="A115" s="844"/>
      <c r="B115" s="109"/>
      <c r="C115" s="109"/>
      <c r="D115" s="109"/>
      <c r="E115" s="111"/>
      <c r="G115" s="426"/>
      <c r="H115" s="429">
        <v>0</v>
      </c>
      <c r="I115" s="424"/>
      <c r="J115" s="422" t="str">
        <f>IF(J$4="Estimate",SUMPRODUCT(J111:J114,$G111:$G114),IF(J$4="Forecast",I115,""))</f>
        <v/>
      </c>
      <c r="K115" s="422" t="str">
        <f t="shared" ref="K115" si="89">IF(K$4="Estimate",SUMPRODUCT(K111:K114,$G111:$G114),IF(K$4="Forecast",J115,""))</f>
        <v/>
      </c>
      <c r="L115" s="422">
        <f>SUMPRODUCT(L111:L114,$G111:$G114)</f>
        <v>0.16122427549824433</v>
      </c>
      <c r="M115" s="422">
        <f t="shared" ref="M115:N115" si="90">IF(M$4="Estimate",SUMPRODUCT(M111:M114,$G111:$G114),IF(M$4="Forecast",L115,""))</f>
        <v>0.16122427549824433</v>
      </c>
      <c r="N115" s="422">
        <f t="shared" si="90"/>
        <v>0.16122427549824433</v>
      </c>
      <c r="O115" s="422">
        <f t="shared" ref="O115" si="91">IF(O$4="Estimate",SUMPRODUCT(O111:O114,$G111:$G114),IF(O$4="Forecast",N115,""))</f>
        <v>0.16122427549824433</v>
      </c>
      <c r="P115" s="422">
        <f t="shared" ref="P115" si="92">IF(P$4="Estimate",SUMPRODUCT(P111:P114,$G111:$G114),IF(P$4="Forecast",O115,""))</f>
        <v>0.16122427549824433</v>
      </c>
      <c r="Q115" s="422">
        <f t="shared" ref="Q115:R115" si="93">IF(Q$4="Estimate",SUMPRODUCT(Q111:Q114,$G111:$G114),IF(Q$4="Forecast",P115,""))</f>
        <v>0.16122427549824433</v>
      </c>
      <c r="R115" s="422">
        <f t="shared" si="93"/>
        <v>0.16122427549824433</v>
      </c>
      <c r="S115" s="399"/>
      <c r="T115" s="399"/>
      <c r="U115" s="329"/>
      <c r="W115" s="31">
        <f t="shared" si="86"/>
        <v>0</v>
      </c>
      <c r="X115" s="31">
        <f t="shared" si="87"/>
        <v>0</v>
      </c>
      <c r="Y115" s="31">
        <f t="shared" si="88"/>
        <v>0</v>
      </c>
    </row>
    <row r="116" spans="1:25" s="28" customFormat="1" ht="12" customHeight="1" outlineLevel="3" x14ac:dyDescent="0.25">
      <c r="A116" s="27"/>
      <c r="B116" s="27"/>
      <c r="C116" s="27"/>
      <c r="D116" s="27"/>
      <c r="E116" s="27" t="str">
        <f>C107</f>
        <v>Other costs</v>
      </c>
      <c r="F116" s="109"/>
      <c r="G116" s="427" t="str">
        <f t="shared" ref="G116" si="94">"EUR "&amp;Multiplier</f>
        <v>EUR thd</v>
      </c>
      <c r="H116" s="423"/>
      <c r="I116" s="428"/>
      <c r="J116" s="116">
        <f t="shared" ref="J116:L116" si="95">IF(J$4="Forecast",J115*J109,J108)</f>
        <v>938.64996659837891</v>
      </c>
      <c r="K116" s="116">
        <f t="shared" si="95"/>
        <v>1181.7303649219587</v>
      </c>
      <c r="L116" s="116">
        <f t="shared" si="95"/>
        <v>1344.0796003008486</v>
      </c>
      <c r="M116" s="116">
        <f>IF(M$4="Forecast",M115*M109,M108)</f>
        <v>1929.6398356525713</v>
      </c>
      <c r="N116" s="116">
        <f t="shared" ref="N116:Q116" si="96">IF(N$4="Forecast",N115*N109,N108)</f>
        <v>2026.1218274352</v>
      </c>
      <c r="O116" s="116">
        <f t="shared" si="96"/>
        <v>2127.4279188069595</v>
      </c>
      <c r="P116" s="116">
        <f t="shared" si="96"/>
        <v>2233.799314747308</v>
      </c>
      <c r="Q116" s="116">
        <f t="shared" si="96"/>
        <v>2345.4892804846736</v>
      </c>
      <c r="R116" s="116">
        <f t="shared" ref="R116" si="97">IF(R$4="Forecast",R115*R109,R108)</f>
        <v>2462.7637445089072</v>
      </c>
      <c r="S116" s="399"/>
      <c r="T116" s="399"/>
      <c r="U116" s="332"/>
      <c r="W116" s="31">
        <f t="shared" si="86"/>
        <v>0.196632131899801</v>
      </c>
      <c r="X116" s="31">
        <f t="shared" si="87"/>
        <v>0.43565889640811095</v>
      </c>
      <c r="Y116" s="31">
        <f t="shared" si="88"/>
        <v>5.0000000000000044E-2</v>
      </c>
    </row>
    <row r="117" spans="1:25" ht="12" customHeight="1" x14ac:dyDescent="0.25">
      <c r="G117" s="318"/>
      <c r="H117" s="333"/>
      <c r="I117" s="318"/>
      <c r="J117" s="306"/>
      <c r="K117" s="306"/>
      <c r="L117" s="306"/>
      <c r="M117" s="306"/>
      <c r="N117" s="306"/>
      <c r="O117" s="306"/>
      <c r="P117" s="306"/>
      <c r="Q117" s="306"/>
      <c r="R117" s="306"/>
      <c r="S117" s="118"/>
      <c r="T117" s="118"/>
      <c r="U117" s="118"/>
    </row>
    <row r="118" spans="1:25" ht="12" customHeight="1" x14ac:dyDescent="0.25">
      <c r="A118" s="27">
        <f ca="1">MAX($A$1:A8)+1</f>
        <v>2</v>
      </c>
      <c r="B118" s="101" t="str">
        <f>'1.2.Historical IS'!C50</f>
        <v>Net financial loss / (revenues)</v>
      </c>
      <c r="G118" s="318"/>
      <c r="H118" s="333"/>
      <c r="I118" s="318"/>
      <c r="J118" s="306"/>
      <c r="K118" s="306"/>
      <c r="L118" s="306"/>
      <c r="M118" s="306"/>
      <c r="N118" s="306"/>
      <c r="O118" s="306"/>
      <c r="P118" s="306"/>
      <c r="Q118" s="306"/>
      <c r="R118" s="306"/>
      <c r="S118" s="118"/>
      <c r="T118" s="118"/>
      <c r="U118" s="118"/>
    </row>
    <row r="119" spans="1:25" ht="12" customHeight="1" x14ac:dyDescent="0.25">
      <c r="A119" s="845"/>
      <c r="B119" s="104">
        <f ca="1">MAX($A$1:A118)+0.1</f>
        <v>2.1</v>
      </c>
      <c r="C119" s="9" t="str">
        <f>'1.2.Historical IS'!F53</f>
        <v>Other financial costs</v>
      </c>
      <c r="G119" s="318"/>
      <c r="H119" s="333"/>
      <c r="I119" s="318"/>
      <c r="J119" s="70"/>
      <c r="K119" s="70"/>
      <c r="L119" s="70"/>
      <c r="M119" s="70"/>
      <c r="N119" s="70"/>
      <c r="O119" s="70"/>
      <c r="P119" s="70"/>
      <c r="Q119" s="70"/>
      <c r="R119" s="70"/>
      <c r="S119" s="70"/>
      <c r="T119" s="70"/>
      <c r="U119" s="306"/>
      <c r="V119" s="91"/>
      <c r="W119" s="31">
        <f t="shared" ref="W119:W138" si="98">IF(ISERROR((($L119/$J119)^(1/($L$3-$J$3))-1)),0,(($L119/$J119)^(1/($L$3-$J$3))-1))</f>
        <v>0</v>
      </c>
      <c r="X119" s="31">
        <f t="shared" ref="X119:X138" si="99">IF(ISERROR($M119/$L119-1),0,$M119/$L119-1)</f>
        <v>0</v>
      </c>
      <c r="Y119" s="31">
        <f t="shared" ref="Y119:Y138" si="100">IF(ISERROR((($Q119/$M119)^(1/($Q$3-$M$3))-1)),0,(($Q119/$M119)^(1/($Q$3-$M$3))-1))</f>
        <v>0</v>
      </c>
    </row>
    <row r="120" spans="1:25" ht="12" customHeight="1" x14ac:dyDescent="0.25">
      <c r="A120" s="845"/>
      <c r="C120" s="106"/>
      <c r="E120" s="10" t="s">
        <v>258</v>
      </c>
      <c r="G120" s="420" t="str">
        <f t="shared" ref="G120:G121" si="101">"EUR "&amp;Multiplier</f>
        <v>EUR thd</v>
      </c>
      <c r="H120" s="333"/>
      <c r="I120" s="318"/>
      <c r="J120" s="345">
        <f>'1.2.Historical IS'!O53</f>
        <v>0</v>
      </c>
      <c r="K120" s="345">
        <f>'1.2.Historical IS'!P53</f>
        <v>0</v>
      </c>
      <c r="L120" s="345">
        <f>'1.2.Historical IS'!Q53</f>
        <v>0</v>
      </c>
      <c r="M120" s="128"/>
      <c r="N120" s="128"/>
      <c r="O120" s="128"/>
      <c r="P120" s="128"/>
      <c r="Q120" s="128"/>
      <c r="R120" s="128"/>
      <c r="S120" s="128"/>
      <c r="T120" s="128"/>
      <c r="U120" s="327"/>
      <c r="W120" s="31">
        <f t="shared" si="98"/>
        <v>0</v>
      </c>
      <c r="X120" s="31">
        <f t="shared" si="99"/>
        <v>0</v>
      </c>
      <c r="Y120" s="31">
        <f t="shared" si="100"/>
        <v>0</v>
      </c>
    </row>
    <row r="121" spans="1:25" ht="12" customHeight="1" x14ac:dyDescent="0.25">
      <c r="A121" s="845"/>
      <c r="C121" s="106"/>
      <c r="E121" s="434" t="s">
        <v>294</v>
      </c>
      <c r="G121" s="420" t="str">
        <f t="shared" si="101"/>
        <v>EUR thd</v>
      </c>
      <c r="H121" s="333"/>
      <c r="I121" s="318"/>
      <c r="J121" s="345">
        <f>'1.5 Assumptions book'!J8</f>
        <v>5042.096564086577</v>
      </c>
      <c r="K121" s="345">
        <f>'1.5 Assumptions book'!K8</f>
        <v>9732.0556817933048</v>
      </c>
      <c r="L121" s="345">
        <f>'1.5 Assumptions book'!L8</f>
        <v>7633.1900784355867</v>
      </c>
      <c r="M121" s="345">
        <f>'1.5 Assumptions book'!M8</f>
        <v>11968.668053798041</v>
      </c>
      <c r="N121" s="345">
        <f>'1.5 Assumptions book'!N8</f>
        <v>12567.101456487944</v>
      </c>
      <c r="O121" s="345">
        <f>'1.5 Assumptions book'!O8</f>
        <v>13195.45652931234</v>
      </c>
      <c r="P121" s="345">
        <f>'1.5 Assumptions book'!P8</f>
        <v>13855.229355777958</v>
      </c>
      <c r="Q121" s="345">
        <f>'1.5 Assumptions book'!Q8</f>
        <v>14547.990823566857</v>
      </c>
      <c r="R121" s="345">
        <f>'1.5 Assumptions book'!R8</f>
        <v>15275.390364745199</v>
      </c>
      <c r="S121" s="128"/>
      <c r="T121" s="128"/>
      <c r="U121" s="327"/>
      <c r="W121" s="31">
        <f t="shared" si="98"/>
        <v>0.23040322035288541</v>
      </c>
      <c r="X121" s="31">
        <f t="shared" si="99"/>
        <v>0.56797720622869718</v>
      </c>
      <c r="Y121" s="31">
        <f t="shared" si="100"/>
        <v>5.0000000000000044E-2</v>
      </c>
    </row>
    <row r="122" spans="1:25" ht="12" customHeight="1" x14ac:dyDescent="0.25">
      <c r="A122" s="845"/>
      <c r="C122" s="106"/>
      <c r="E122" s="10" t="s">
        <v>259</v>
      </c>
      <c r="G122" s="318" t="s">
        <v>85</v>
      </c>
      <c r="H122" s="421" t="str">
        <f>'0.2.Parameters'!H81</f>
        <v>Average</v>
      </c>
      <c r="I122" s="318"/>
      <c r="J122" s="422">
        <f>J120/J121</f>
        <v>0</v>
      </c>
      <c r="K122" s="422">
        <f>K120/K121</f>
        <v>0</v>
      </c>
      <c r="L122" s="422">
        <f>L120/L121</f>
        <v>0</v>
      </c>
      <c r="M122" s="397"/>
      <c r="N122" s="397"/>
      <c r="O122" s="397"/>
      <c r="P122" s="397"/>
      <c r="Q122" s="128"/>
      <c r="R122" s="128"/>
      <c r="S122" s="128"/>
      <c r="T122" s="128"/>
      <c r="U122" s="327"/>
      <c r="W122" s="31">
        <f t="shared" si="98"/>
        <v>0</v>
      </c>
      <c r="X122" s="31">
        <f t="shared" si="99"/>
        <v>0</v>
      </c>
      <c r="Y122" s="31">
        <f t="shared" si="100"/>
        <v>0</v>
      </c>
    </row>
    <row r="123" spans="1:25" ht="12" customHeight="1" x14ac:dyDescent="0.25">
      <c r="A123" s="845"/>
      <c r="B123" s="109"/>
      <c r="C123" s="109"/>
      <c r="D123" s="109"/>
      <c r="E123" s="111"/>
      <c r="F123" s="40" t="s">
        <v>135</v>
      </c>
      <c r="G123" s="314">
        <f>($F123=H122)*1</f>
        <v>0</v>
      </c>
      <c r="H123" s="423"/>
      <c r="I123" s="424"/>
      <c r="J123" s="425">
        <f>J122</f>
        <v>0</v>
      </c>
      <c r="K123" s="425">
        <f>K122</f>
        <v>0</v>
      </c>
      <c r="L123" s="425">
        <f>L122</f>
        <v>0</v>
      </c>
      <c r="M123" s="398"/>
      <c r="N123" s="398"/>
      <c r="O123" s="398"/>
      <c r="P123" s="398"/>
      <c r="Q123" s="399"/>
      <c r="R123" s="399"/>
      <c r="S123" s="399"/>
      <c r="T123" s="399"/>
      <c r="U123" s="329"/>
      <c r="V123" s="40"/>
      <c r="W123" s="31">
        <f t="shared" si="98"/>
        <v>0</v>
      </c>
      <c r="X123" s="31">
        <f t="shared" si="99"/>
        <v>0</v>
      </c>
      <c r="Y123" s="31">
        <f t="shared" si="100"/>
        <v>0</v>
      </c>
    </row>
    <row r="124" spans="1:25" ht="12" customHeight="1" x14ac:dyDescent="0.25">
      <c r="A124" s="845"/>
      <c r="B124" s="109"/>
      <c r="C124" s="109"/>
      <c r="D124" s="109"/>
      <c r="E124" s="111"/>
      <c r="F124" s="40" t="s">
        <v>116</v>
      </c>
      <c r="G124" s="316">
        <f>($F124=H122)*1</f>
        <v>1</v>
      </c>
      <c r="H124" s="423"/>
      <c r="I124" s="424"/>
      <c r="J124" s="425">
        <f>IF(ISERROR(AVERAGE($J122:J122)),"",AVERAGE($J122:J122))</f>
        <v>0</v>
      </c>
      <c r="K124" s="425">
        <f>IF(ISERROR(AVERAGE($J122:K122)),"",AVERAGE($J122:K122))</f>
        <v>0</v>
      </c>
      <c r="L124" s="425">
        <f>IF(ISERROR(AVERAGE($J122:L122)),"",AVERAGE($J122:L122))</f>
        <v>0</v>
      </c>
      <c r="M124" s="398"/>
      <c r="N124" s="398"/>
      <c r="O124" s="398"/>
      <c r="P124" s="398"/>
      <c r="Q124" s="399"/>
      <c r="R124" s="399"/>
      <c r="S124" s="399"/>
      <c r="T124" s="399"/>
      <c r="U124" s="329"/>
      <c r="V124" s="40"/>
      <c r="W124" s="31">
        <f t="shared" si="98"/>
        <v>0</v>
      </c>
      <c r="X124" s="31">
        <f t="shared" si="99"/>
        <v>0</v>
      </c>
      <c r="Y124" s="31">
        <f t="shared" si="100"/>
        <v>0</v>
      </c>
    </row>
    <row r="125" spans="1:25" ht="12" customHeight="1" x14ac:dyDescent="0.25">
      <c r="A125" s="845"/>
      <c r="B125" s="109"/>
      <c r="C125" s="109"/>
      <c r="D125" s="109"/>
      <c r="E125" s="111"/>
      <c r="F125" s="40" t="s">
        <v>118</v>
      </c>
      <c r="G125" s="316">
        <f>($F125=H122)*1</f>
        <v>0</v>
      </c>
      <c r="H125" s="423"/>
      <c r="I125" s="424"/>
      <c r="J125" s="425">
        <f>IF(ISERROR(MIN($J122:J122)),"",MIN($J122:J122))</f>
        <v>0</v>
      </c>
      <c r="K125" s="425">
        <f>IF(ISERROR(MIN($J122:K122)),"",MIN($J122:K122))</f>
        <v>0</v>
      </c>
      <c r="L125" s="425">
        <f>IF(ISERROR(MIN($J122:L122)),"",MIN($J122:L122))</f>
        <v>0</v>
      </c>
      <c r="M125" s="398"/>
      <c r="N125" s="398"/>
      <c r="O125" s="398"/>
      <c r="P125" s="398"/>
      <c r="Q125" s="399"/>
      <c r="R125" s="399"/>
      <c r="S125" s="399"/>
      <c r="T125" s="399"/>
      <c r="U125" s="329"/>
      <c r="V125" s="40"/>
      <c r="W125" s="31">
        <f t="shared" si="98"/>
        <v>0</v>
      </c>
      <c r="X125" s="31">
        <f t="shared" si="99"/>
        <v>0</v>
      </c>
      <c r="Y125" s="31">
        <f t="shared" si="100"/>
        <v>0</v>
      </c>
    </row>
    <row r="126" spans="1:25" ht="12" customHeight="1" x14ac:dyDescent="0.25">
      <c r="A126" s="845"/>
      <c r="B126" s="109"/>
      <c r="C126" s="109"/>
      <c r="D126" s="109"/>
      <c r="E126" s="111"/>
      <c r="F126" s="40" t="s">
        <v>117</v>
      </c>
      <c r="G126" s="317">
        <f>($F126=H122)*1</f>
        <v>0</v>
      </c>
      <c r="H126" s="423"/>
      <c r="I126" s="424"/>
      <c r="J126" s="425">
        <f>IF(ISERROR(MAX($J122:J122)),"",MAX($J122:J122))</f>
        <v>0</v>
      </c>
      <c r="K126" s="425">
        <f>IF(ISERROR(MAX($J122:K122)),"",MAX($J122:K122))</f>
        <v>0</v>
      </c>
      <c r="L126" s="425">
        <f>IF(ISERROR(MAX($J122:L122)),"",MAX($J122:L122))</f>
        <v>0</v>
      </c>
      <c r="M126" s="398"/>
      <c r="N126" s="398"/>
      <c r="O126" s="398"/>
      <c r="P126" s="398"/>
      <c r="Q126" s="399"/>
      <c r="R126" s="399"/>
      <c r="S126" s="399"/>
      <c r="T126" s="399"/>
      <c r="U126" s="329"/>
      <c r="V126" s="40"/>
      <c r="W126" s="31">
        <f t="shared" si="98"/>
        <v>0</v>
      </c>
      <c r="X126" s="31">
        <f t="shared" si="99"/>
        <v>0</v>
      </c>
      <c r="Y126" s="31">
        <f t="shared" si="100"/>
        <v>0</v>
      </c>
    </row>
    <row r="127" spans="1:25" ht="12" customHeight="1" x14ac:dyDescent="0.25">
      <c r="A127" s="845"/>
      <c r="B127" s="109"/>
      <c r="C127" s="109"/>
      <c r="D127" s="109"/>
      <c r="E127" s="111"/>
      <c r="F127" s="40"/>
      <c r="G127" s="426"/>
      <c r="H127" s="429">
        <v>0</v>
      </c>
      <c r="I127" s="424"/>
      <c r="J127" s="422" t="str">
        <f>IF(J$4="Estimate",SUMPRODUCT(J123:J126,$G123:$G126),IF(J$4="Forecast",I127,""))</f>
        <v/>
      </c>
      <c r="K127" s="422" t="str">
        <f t="shared" ref="K127" si="102">IF(K$4="Estimate",SUMPRODUCT(K123:K126,$G123:$G126),IF(K$4="Forecast",J127,""))</f>
        <v/>
      </c>
      <c r="L127" s="422">
        <f>SUMPRODUCT(L123:L126,$G123:$G126)</f>
        <v>0</v>
      </c>
      <c r="M127" s="422">
        <f t="shared" ref="M127:N127" si="103">IF(M$4="Estimate",SUMPRODUCT(M123:M126,$G123:$G126),IF(M$4="Forecast",L127,""))</f>
        <v>0</v>
      </c>
      <c r="N127" s="422">
        <f t="shared" si="103"/>
        <v>0</v>
      </c>
      <c r="O127" s="422">
        <f t="shared" ref="O127" si="104">IF(O$4="Estimate",SUMPRODUCT(O123:O126,$G123:$G126),IF(O$4="Forecast",N127,""))</f>
        <v>0</v>
      </c>
      <c r="P127" s="422">
        <f t="shared" ref="P127" si="105">IF(P$4="Estimate",SUMPRODUCT(P123:P126,$G123:$G126),IF(P$4="Forecast",O127,""))</f>
        <v>0</v>
      </c>
      <c r="Q127" s="422">
        <f t="shared" ref="Q127:R127" si="106">IF(Q$4="Estimate",SUMPRODUCT(Q123:Q126,$G123:$G126),IF(Q$4="Forecast",P127,""))</f>
        <v>0</v>
      </c>
      <c r="R127" s="422">
        <f t="shared" si="106"/>
        <v>0</v>
      </c>
      <c r="S127" s="399"/>
      <c r="T127" s="399"/>
      <c r="U127" s="329"/>
      <c r="V127" s="40"/>
      <c r="W127" s="31">
        <f t="shared" si="98"/>
        <v>0</v>
      </c>
      <c r="X127" s="31">
        <f t="shared" si="99"/>
        <v>0</v>
      </c>
      <c r="Y127" s="31">
        <f t="shared" si="100"/>
        <v>0</v>
      </c>
    </row>
    <row r="128" spans="1:25" ht="12" customHeight="1" x14ac:dyDescent="0.25">
      <c r="B128" s="27"/>
      <c r="C128" s="27"/>
      <c r="D128" s="27"/>
      <c r="E128" s="27" t="str">
        <f>C119</f>
        <v>Other financial costs</v>
      </c>
      <c r="F128" s="109"/>
      <c r="G128" s="427" t="str">
        <f t="shared" ref="G128" si="107">"EUR "&amp;Multiplier</f>
        <v>EUR thd</v>
      </c>
      <c r="H128" s="423"/>
      <c r="I128" s="428"/>
      <c r="J128" s="116">
        <f t="shared" ref="J128:L128" si="108">IF(J$4="Forecast",J127*J121,J120)</f>
        <v>0</v>
      </c>
      <c r="K128" s="116">
        <f t="shared" si="108"/>
        <v>0</v>
      </c>
      <c r="L128" s="116">
        <f t="shared" si="108"/>
        <v>0</v>
      </c>
      <c r="M128" s="116">
        <f>IF(M$4="Forecast",M127*M121,M120)</f>
        <v>0</v>
      </c>
      <c r="N128" s="116">
        <f t="shared" ref="N128:Q128" si="109">IF(N$4="Forecast",N127*N121,N120)</f>
        <v>0</v>
      </c>
      <c r="O128" s="116">
        <f t="shared" si="109"/>
        <v>0</v>
      </c>
      <c r="P128" s="116">
        <f t="shared" si="109"/>
        <v>0</v>
      </c>
      <c r="Q128" s="116">
        <f t="shared" si="109"/>
        <v>0</v>
      </c>
      <c r="R128" s="116">
        <f t="shared" ref="R128" si="110">IF(R$4="Forecast",R127*R121,R120)</f>
        <v>0</v>
      </c>
      <c r="S128" s="399"/>
      <c r="T128" s="399"/>
      <c r="U128" s="332"/>
      <c r="V128" s="28"/>
      <c r="W128" s="31">
        <f t="shared" si="98"/>
        <v>0</v>
      </c>
      <c r="X128" s="31">
        <f t="shared" si="99"/>
        <v>0</v>
      </c>
      <c r="Y128" s="31">
        <f t="shared" si="100"/>
        <v>0</v>
      </c>
    </row>
    <row r="129" spans="1:25" ht="12" customHeight="1" x14ac:dyDescent="0.25">
      <c r="A129" s="845"/>
      <c r="B129" s="104">
        <f ca="1">MAX($A$117:B128)+0.1</f>
        <v>2.2000000000000002</v>
      </c>
      <c r="C129" s="9" t="str">
        <f>'1.2.Historical IS'!F56</f>
        <v>Other financial revenues</v>
      </c>
      <c r="G129" s="318"/>
      <c r="H129" s="333"/>
      <c r="I129" s="318"/>
      <c r="J129" s="70"/>
      <c r="K129" s="70"/>
      <c r="L129" s="70"/>
      <c r="M129" s="70"/>
      <c r="N129" s="70"/>
      <c r="O129" s="70"/>
      <c r="P129" s="70"/>
      <c r="Q129" s="70"/>
      <c r="R129" s="70"/>
      <c r="S129" s="70"/>
      <c r="T129" s="70"/>
      <c r="U129" s="306"/>
      <c r="V129" s="91"/>
      <c r="W129" s="31">
        <f t="shared" si="98"/>
        <v>0</v>
      </c>
      <c r="X129" s="31">
        <f t="shared" si="99"/>
        <v>0</v>
      </c>
      <c r="Y129" s="31">
        <f t="shared" si="100"/>
        <v>0</v>
      </c>
    </row>
    <row r="130" spans="1:25" ht="12" customHeight="1" x14ac:dyDescent="0.25">
      <c r="A130" s="845"/>
      <c r="C130" s="106"/>
      <c r="E130" s="10" t="s">
        <v>258</v>
      </c>
      <c r="G130" s="420" t="str">
        <f t="shared" ref="G130:G131" si="111">"EUR "&amp;Multiplier</f>
        <v>EUR thd</v>
      </c>
      <c r="H130" s="333"/>
      <c r="I130" s="318"/>
      <c r="J130" s="345">
        <f>'1.2.Historical IS'!O56</f>
        <v>-1.3745880466731987E-2</v>
      </c>
      <c r="K130" s="345">
        <f>'1.2.Historical IS'!P56</f>
        <v>3.4890435848602266</v>
      </c>
      <c r="L130" s="345">
        <f>'1.2.Historical IS'!Q56</f>
        <v>0</v>
      </c>
      <c r="M130" s="128"/>
      <c r="N130" s="128"/>
      <c r="O130" s="128"/>
      <c r="P130" s="128"/>
      <c r="Q130" s="128"/>
      <c r="R130" s="128"/>
      <c r="S130" s="128"/>
      <c r="T130" s="128"/>
      <c r="U130" s="327"/>
      <c r="W130" s="31">
        <f t="shared" si="98"/>
        <v>-1</v>
      </c>
      <c r="X130" s="31">
        <f t="shared" si="99"/>
        <v>0</v>
      </c>
      <c r="Y130" s="31">
        <f t="shared" si="100"/>
        <v>0</v>
      </c>
    </row>
    <row r="131" spans="1:25" ht="12" customHeight="1" x14ac:dyDescent="0.25">
      <c r="A131" s="845"/>
      <c r="C131" s="106"/>
      <c r="E131" s="434" t="s">
        <v>294</v>
      </c>
      <c r="G131" s="420" t="str">
        <f t="shared" si="111"/>
        <v>EUR thd</v>
      </c>
      <c r="H131" s="333"/>
      <c r="I131" s="318"/>
      <c r="J131" s="345">
        <f>'1.5 Assumptions book'!J8</f>
        <v>5042.096564086577</v>
      </c>
      <c r="K131" s="345">
        <f>'1.5 Assumptions book'!K8</f>
        <v>9732.0556817933048</v>
      </c>
      <c r="L131" s="345">
        <f>'1.5 Assumptions book'!L8</f>
        <v>7633.1900784355867</v>
      </c>
      <c r="M131" s="345">
        <f>'1.5 Assumptions book'!M8</f>
        <v>11968.668053798041</v>
      </c>
      <c r="N131" s="345">
        <f>'1.5 Assumptions book'!N8</f>
        <v>12567.101456487944</v>
      </c>
      <c r="O131" s="345">
        <f>'1.5 Assumptions book'!O8</f>
        <v>13195.45652931234</v>
      </c>
      <c r="P131" s="345">
        <f>'1.5 Assumptions book'!P8</f>
        <v>13855.229355777958</v>
      </c>
      <c r="Q131" s="345">
        <f>'1.5 Assumptions book'!Q8</f>
        <v>14547.990823566857</v>
      </c>
      <c r="R131" s="345">
        <f>'1.5 Assumptions book'!R8</f>
        <v>15275.390364745199</v>
      </c>
      <c r="S131" s="128"/>
      <c r="T131" s="128"/>
      <c r="U131" s="327"/>
      <c r="W131" s="31">
        <f t="shared" si="98"/>
        <v>0.23040322035288541</v>
      </c>
      <c r="X131" s="31">
        <f t="shared" si="99"/>
        <v>0.56797720622869718</v>
      </c>
      <c r="Y131" s="31">
        <f t="shared" si="100"/>
        <v>5.0000000000000044E-2</v>
      </c>
    </row>
    <row r="132" spans="1:25" ht="12" customHeight="1" x14ac:dyDescent="0.25">
      <c r="A132" s="845"/>
      <c r="C132" s="106"/>
      <c r="E132" s="10" t="s">
        <v>259</v>
      </c>
      <c r="G132" s="318" t="s">
        <v>85</v>
      </c>
      <c r="H132" s="421" t="str">
        <f>'0.2.Parameters'!H85</f>
        <v>Average</v>
      </c>
      <c r="I132" s="318"/>
      <c r="J132" s="422">
        <f>J130/J131</f>
        <v>-2.7262231676878209E-6</v>
      </c>
      <c r="K132" s="422">
        <f>K130/K131</f>
        <v>3.5851044208342508E-4</v>
      </c>
      <c r="L132" s="422">
        <f>L130/L131</f>
        <v>0</v>
      </c>
      <c r="M132" s="397"/>
      <c r="N132" s="397"/>
      <c r="O132" s="397"/>
      <c r="P132" s="397"/>
      <c r="Q132" s="128"/>
      <c r="R132" s="128"/>
      <c r="S132" s="128"/>
      <c r="T132" s="128"/>
      <c r="U132" s="327"/>
      <c r="W132" s="31">
        <f t="shared" si="98"/>
        <v>-1</v>
      </c>
      <c r="X132" s="31">
        <f t="shared" si="99"/>
        <v>0</v>
      </c>
      <c r="Y132" s="31">
        <f t="shared" si="100"/>
        <v>0</v>
      </c>
    </row>
    <row r="133" spans="1:25" ht="12" customHeight="1" x14ac:dyDescent="0.25">
      <c r="A133" s="845"/>
      <c r="B133" s="109"/>
      <c r="C133" s="109"/>
      <c r="D133" s="109"/>
      <c r="E133" s="111"/>
      <c r="F133" s="40" t="s">
        <v>135</v>
      </c>
      <c r="G133" s="314">
        <f>($F133=H132)*1</f>
        <v>0</v>
      </c>
      <c r="H133" s="423"/>
      <c r="I133" s="424"/>
      <c r="J133" s="425">
        <f>J132</f>
        <v>-2.7262231676878209E-6</v>
      </c>
      <c r="K133" s="425">
        <f>K132</f>
        <v>3.5851044208342508E-4</v>
      </c>
      <c r="L133" s="425">
        <f>L132</f>
        <v>0</v>
      </c>
      <c r="M133" s="398"/>
      <c r="N133" s="398"/>
      <c r="O133" s="398"/>
      <c r="P133" s="398"/>
      <c r="Q133" s="399"/>
      <c r="R133" s="399"/>
      <c r="S133" s="399"/>
      <c r="T133" s="399"/>
      <c r="U133" s="329"/>
      <c r="V133" s="40"/>
      <c r="W133" s="31">
        <f t="shared" si="98"/>
        <v>-1</v>
      </c>
      <c r="X133" s="31">
        <f t="shared" si="99"/>
        <v>0</v>
      </c>
      <c r="Y133" s="31">
        <f t="shared" si="100"/>
        <v>0</v>
      </c>
    </row>
    <row r="134" spans="1:25" ht="12" customHeight="1" x14ac:dyDescent="0.25">
      <c r="A134" s="845"/>
      <c r="B134" s="109"/>
      <c r="C134" s="109"/>
      <c r="D134" s="109"/>
      <c r="E134" s="111"/>
      <c r="F134" s="40" t="s">
        <v>116</v>
      </c>
      <c r="G134" s="316">
        <f>($F134=H132)*1</f>
        <v>1</v>
      </c>
      <c r="H134" s="423"/>
      <c r="I134" s="424"/>
      <c r="J134" s="425">
        <f>IF(ISERROR(AVERAGE($J132:J132)),"",AVERAGE($J132:J132))</f>
        <v>-2.7262231676878209E-6</v>
      </c>
      <c r="K134" s="425">
        <f>IF(ISERROR(AVERAGE($J132:K132)),"",AVERAGE($J132:K132))</f>
        <v>1.7789210945786863E-4</v>
      </c>
      <c r="L134" s="425">
        <f>IF(ISERROR(AVERAGE($J132:L132)),"",AVERAGE($J132:L132))</f>
        <v>1.1859473963857909E-4</v>
      </c>
      <c r="M134" s="398"/>
      <c r="N134" s="398"/>
      <c r="O134" s="398"/>
      <c r="P134" s="398"/>
      <c r="Q134" s="399"/>
      <c r="R134" s="399"/>
      <c r="S134" s="399"/>
      <c r="T134" s="399"/>
      <c r="U134" s="329"/>
      <c r="V134" s="40"/>
      <c r="W134" s="31">
        <f t="shared" si="98"/>
        <v>0</v>
      </c>
      <c r="X134" s="31">
        <f t="shared" si="99"/>
        <v>-1</v>
      </c>
      <c r="Y134" s="31">
        <f t="shared" si="100"/>
        <v>0</v>
      </c>
    </row>
    <row r="135" spans="1:25" ht="12" customHeight="1" x14ac:dyDescent="0.25">
      <c r="A135" s="845"/>
      <c r="B135" s="109"/>
      <c r="C135" s="109"/>
      <c r="D135" s="109"/>
      <c r="E135" s="111"/>
      <c r="F135" s="40" t="s">
        <v>118</v>
      </c>
      <c r="G135" s="316">
        <f>($F135=H132)*1</f>
        <v>0</v>
      </c>
      <c r="H135" s="423"/>
      <c r="I135" s="424"/>
      <c r="J135" s="425">
        <f>IF(ISERROR(MIN($J132:J132)),"",MIN($J132:J132))</f>
        <v>-2.7262231676878209E-6</v>
      </c>
      <c r="K135" s="425">
        <f>IF(ISERROR(MIN($J132:K132)),"",MIN($J132:K132))</f>
        <v>-2.7262231676878209E-6</v>
      </c>
      <c r="L135" s="425">
        <f>IF(ISERROR(MIN($J132:L132)),"",MIN($J132:L132))</f>
        <v>-2.7262231676878209E-6</v>
      </c>
      <c r="M135" s="398"/>
      <c r="N135" s="398"/>
      <c r="O135" s="398"/>
      <c r="P135" s="398"/>
      <c r="Q135" s="399"/>
      <c r="R135" s="399"/>
      <c r="S135" s="399"/>
      <c r="T135" s="399"/>
      <c r="U135" s="329"/>
      <c r="V135" s="40"/>
      <c r="W135" s="31">
        <f t="shared" si="98"/>
        <v>0</v>
      </c>
      <c r="X135" s="31">
        <f t="shared" si="99"/>
        <v>-1</v>
      </c>
      <c r="Y135" s="31">
        <f t="shared" si="100"/>
        <v>0</v>
      </c>
    </row>
    <row r="136" spans="1:25" ht="12" customHeight="1" x14ac:dyDescent="0.25">
      <c r="A136" s="845"/>
      <c r="B136" s="109"/>
      <c r="C136" s="109"/>
      <c r="D136" s="109"/>
      <c r="E136" s="111"/>
      <c r="F136" s="40" t="s">
        <v>117</v>
      </c>
      <c r="G136" s="317">
        <f>($F136=H132)*1</f>
        <v>0</v>
      </c>
      <c r="H136" s="423"/>
      <c r="I136" s="424"/>
      <c r="J136" s="425">
        <f>IF(ISERROR(MAX($J132:J132)),"",MAX($J132:J132))</f>
        <v>-2.7262231676878209E-6</v>
      </c>
      <c r="K136" s="425">
        <f>IF(ISERROR(MAX($J132:K132)),"",MAX($J132:K132))</f>
        <v>3.5851044208342508E-4</v>
      </c>
      <c r="L136" s="425">
        <f>IF(ISERROR(MAX($J132:L132)),"",MAX($J132:L132))</f>
        <v>3.5851044208342508E-4</v>
      </c>
      <c r="M136" s="398"/>
      <c r="N136" s="398"/>
      <c r="O136" s="398"/>
      <c r="P136" s="398"/>
      <c r="Q136" s="399"/>
      <c r="R136" s="399"/>
      <c r="S136" s="399"/>
      <c r="T136" s="399"/>
      <c r="U136" s="329"/>
      <c r="V136" s="40"/>
      <c r="W136" s="31">
        <f t="shared" si="98"/>
        <v>0</v>
      </c>
      <c r="X136" s="31">
        <f t="shared" si="99"/>
        <v>-1</v>
      </c>
      <c r="Y136" s="31">
        <f t="shared" si="100"/>
        <v>0</v>
      </c>
    </row>
    <row r="137" spans="1:25" ht="12" customHeight="1" x14ac:dyDescent="0.25">
      <c r="A137" s="845"/>
      <c r="B137" s="109"/>
      <c r="C137" s="109"/>
      <c r="D137" s="109"/>
      <c r="E137" s="111"/>
      <c r="F137" s="40"/>
      <c r="G137" s="426"/>
      <c r="H137" s="429">
        <v>0</v>
      </c>
      <c r="I137" s="424"/>
      <c r="J137" s="422" t="str">
        <f>IF(J$4="Estimate",SUMPRODUCT(J133:J136,$G133:$G136),IF(J$4="Forecast",I137,""))</f>
        <v/>
      </c>
      <c r="K137" s="422" t="str">
        <f t="shared" ref="K137" si="112">IF(K$4="Estimate",SUMPRODUCT(K133:K136,$G133:$G136),IF(K$4="Forecast",J137,""))</f>
        <v/>
      </c>
      <c r="L137" s="422">
        <f>SUMPRODUCT(L133:L136,$G133:$G136)</f>
        <v>1.1859473963857909E-4</v>
      </c>
      <c r="M137" s="645">
        <f t="shared" ref="M137:N137" si="113">IF(M$4="Estimate",SUMPRODUCT(M133:M136,$G133:$G136),IF(M$4="Forecast",L137,""))</f>
        <v>1.1859473963857909E-4</v>
      </c>
      <c r="N137" s="645">
        <f t="shared" si="113"/>
        <v>1.1859473963857909E-4</v>
      </c>
      <c r="O137" s="422">
        <f t="shared" ref="O137" si="114">IF(O$4="Estimate",SUMPRODUCT(O133:O136,$G133:$G136),IF(O$4="Forecast",N137,""))</f>
        <v>1.1859473963857909E-4</v>
      </c>
      <c r="P137" s="422">
        <f t="shared" ref="P137" si="115">IF(P$4="Estimate",SUMPRODUCT(P133:P136,$G133:$G136),IF(P$4="Forecast",O137,""))</f>
        <v>1.1859473963857909E-4</v>
      </c>
      <c r="Q137" s="422">
        <f t="shared" ref="Q137:R137" si="116">IF(Q$4="Estimate",SUMPRODUCT(Q133:Q136,$G133:$G136),IF(Q$4="Forecast",P137,""))</f>
        <v>1.1859473963857909E-4</v>
      </c>
      <c r="R137" s="422">
        <f t="shared" si="116"/>
        <v>1.1859473963857909E-4</v>
      </c>
      <c r="S137" s="399"/>
      <c r="T137" s="399"/>
      <c r="U137" s="329"/>
      <c r="V137" s="40"/>
      <c r="W137" s="31">
        <f t="shared" si="98"/>
        <v>0</v>
      </c>
      <c r="X137" s="31">
        <f t="shared" si="99"/>
        <v>0</v>
      </c>
      <c r="Y137" s="31">
        <f t="shared" si="100"/>
        <v>0</v>
      </c>
    </row>
    <row r="138" spans="1:25" ht="12" customHeight="1" x14ac:dyDescent="0.25">
      <c r="A138" s="845"/>
      <c r="B138" s="27"/>
      <c r="C138" s="27"/>
      <c r="D138" s="27"/>
      <c r="E138" s="27" t="str">
        <f>C129</f>
        <v>Other financial revenues</v>
      </c>
      <c r="F138" s="109"/>
      <c r="G138" s="427" t="str">
        <f t="shared" ref="G138" si="117">"EUR "&amp;Multiplier</f>
        <v>EUR thd</v>
      </c>
      <c r="H138" s="423"/>
      <c r="I138" s="428"/>
      <c r="J138" s="116">
        <f t="shared" ref="J138:L138" si="118">IF(J$4="Forecast",J137*J131,J130)</f>
        <v>-1.3745880466731987E-2</v>
      </c>
      <c r="K138" s="116">
        <f t="shared" si="118"/>
        <v>3.4890435848602266</v>
      </c>
      <c r="L138" s="116">
        <f t="shared" si="118"/>
        <v>0</v>
      </c>
      <c r="M138" s="116">
        <f>IF(M$4="Forecast",M137*M131,M130)</f>
        <v>1.4194210716607578</v>
      </c>
      <c r="N138" s="116">
        <f t="shared" ref="N138:Q138" si="119">IF(N$4="Forecast",N137*N131,N130)</f>
        <v>1.4903921252437957</v>
      </c>
      <c r="O138" s="116">
        <f t="shared" si="119"/>
        <v>1.5649117315059853</v>
      </c>
      <c r="P138" s="116">
        <f t="shared" si="119"/>
        <v>1.6431573180812846</v>
      </c>
      <c r="Q138" s="116">
        <f t="shared" si="119"/>
        <v>1.7253151839853491</v>
      </c>
      <c r="R138" s="116">
        <f t="shared" ref="R138" si="120">IF(R$4="Forecast",R137*R131,R130)</f>
        <v>1.8115809431846164</v>
      </c>
      <c r="S138" s="399"/>
      <c r="T138" s="399"/>
      <c r="U138" s="332"/>
      <c r="V138" s="28"/>
      <c r="W138" s="31">
        <f t="shared" si="98"/>
        <v>-1</v>
      </c>
      <c r="X138" s="31">
        <f t="shared" si="99"/>
        <v>0</v>
      </c>
      <c r="Y138" s="31">
        <f t="shared" si="100"/>
        <v>5.0000000000000044E-2</v>
      </c>
    </row>
    <row r="139" spans="1:25" ht="12" customHeight="1" x14ac:dyDescent="0.25">
      <c r="A139" s="845"/>
      <c r="B139" s="27"/>
      <c r="C139" s="27"/>
      <c r="D139" s="27"/>
      <c r="E139" s="27"/>
      <c r="F139" s="109"/>
      <c r="G139" s="427"/>
      <c r="H139" s="423"/>
      <c r="I139" s="428"/>
      <c r="J139" s="116"/>
      <c r="K139" s="116"/>
      <c r="L139" s="116"/>
      <c r="M139" s="116"/>
      <c r="N139" s="116"/>
      <c r="O139" s="116"/>
      <c r="P139" s="116"/>
      <c r="Q139" s="116"/>
      <c r="R139" s="116"/>
      <c r="S139" s="399"/>
      <c r="T139" s="399"/>
      <c r="U139" s="332"/>
      <c r="V139" s="28"/>
      <c r="W139" s="31"/>
      <c r="X139" s="31"/>
      <c r="Y139" s="31"/>
    </row>
    <row r="140" spans="1:25" ht="12" customHeight="1" x14ac:dyDescent="0.25">
      <c r="A140" s="27">
        <f ca="1">MAX($A$1:A139)+1</f>
        <v>3</v>
      </c>
      <c r="B140" s="101" t="s">
        <v>1564</v>
      </c>
      <c r="C140" s="27"/>
      <c r="D140" s="27"/>
      <c r="E140" s="27"/>
      <c r="F140" s="109"/>
      <c r="G140" s="427"/>
      <c r="H140" s="423"/>
      <c r="I140" s="428"/>
      <c r="J140" s="116"/>
      <c r="K140" s="116"/>
      <c r="L140" s="116"/>
      <c r="M140" s="116"/>
      <c r="N140" s="116"/>
      <c r="O140" s="116"/>
      <c r="P140" s="116"/>
      <c r="Q140" s="116"/>
      <c r="R140" s="116"/>
      <c r="S140" s="399"/>
      <c r="T140" s="399"/>
      <c r="U140" s="332"/>
      <c r="V140" s="28"/>
      <c r="W140" s="31"/>
      <c r="X140" s="31"/>
      <c r="Y140" s="31"/>
    </row>
    <row r="141" spans="1:25" ht="12" customHeight="1" x14ac:dyDescent="0.25">
      <c r="A141" s="845"/>
      <c r="B141" s="104">
        <f ca="1">MAX($A$117:B140)+0.1</f>
        <v>3.1</v>
      </c>
      <c r="C141" s="9" t="str">
        <f>'1.2.Historical IS'!F52</f>
        <v>Interest expense</v>
      </c>
      <c r="D141" s="27"/>
      <c r="E141" s="27"/>
      <c r="F141" s="109"/>
      <c r="G141" s="427"/>
      <c r="H141" s="423"/>
      <c r="I141" s="428"/>
      <c r="J141" s="116"/>
      <c r="K141" s="116"/>
      <c r="L141" s="116"/>
      <c r="M141" s="116"/>
      <c r="N141" s="116"/>
      <c r="O141" s="116"/>
      <c r="P141" s="116"/>
      <c r="Q141" s="116"/>
      <c r="R141" s="116"/>
      <c r="S141" s="399"/>
      <c r="T141" s="399"/>
      <c r="U141" s="332"/>
      <c r="V141" s="28"/>
      <c r="W141" s="31"/>
      <c r="X141" s="31"/>
      <c r="Y141" s="31"/>
    </row>
    <row r="142" spans="1:25" ht="12" customHeight="1" x14ac:dyDescent="0.25">
      <c r="A142" s="845"/>
      <c r="B142" s="27"/>
      <c r="C142" s="27"/>
      <c r="D142" s="27"/>
      <c r="E142" s="10" t="s">
        <v>258</v>
      </c>
      <c r="G142" s="420" t="str">
        <f t="shared" ref="G142" si="121">"EUR "&amp;Multiplier</f>
        <v>EUR thd</v>
      </c>
      <c r="H142" s="333"/>
      <c r="I142" s="318"/>
      <c r="J142" s="345">
        <f>'1.2.Historical IS'!O52</f>
        <v>4.5935891155250728</v>
      </c>
      <c r="K142" s="345">
        <f>'1.2.Historical IS'!P52</f>
        <v>10.874063615069721</v>
      </c>
      <c r="L142" s="345">
        <f>'1.2.Historical IS'!Q52</f>
        <v>33.835934243042864</v>
      </c>
      <c r="M142" s="128"/>
      <c r="N142" s="128"/>
      <c r="O142" s="128"/>
      <c r="P142" s="128"/>
      <c r="Q142" s="128"/>
      <c r="R142" s="128"/>
      <c r="S142" s="128"/>
      <c r="T142" s="128"/>
      <c r="U142" s="327"/>
      <c r="W142" s="31">
        <f t="shared" ref="W142:W148" si="122">IF(ISERROR((($L142/$J142)^(1/($L$3-$J$3))-1)),0,(($L142/$J142)^(1/($L$3-$J$3))-1))</f>
        <v>1.7140198086319183</v>
      </c>
      <c r="X142" s="31">
        <f t="shared" ref="X142:X148" si="123">IF(ISERROR($M142/$L142-1),0,$M142/$L142-1)</f>
        <v>-1</v>
      </c>
      <c r="Y142" s="31">
        <f t="shared" ref="Y142:Y148" si="124">IF(ISERROR((($Q142/$M142)^(1/($Q$3-$M$3))-1)),0,(($Q142/$M142)^(1/($Q$3-$M$3))-1))</f>
        <v>0</v>
      </c>
    </row>
    <row r="143" spans="1:25" ht="12" customHeight="1" x14ac:dyDescent="0.25">
      <c r="A143" s="845"/>
      <c r="B143" s="27"/>
      <c r="C143" s="27"/>
      <c r="D143" s="27"/>
      <c r="E143" s="434" t="s">
        <v>1566</v>
      </c>
      <c r="G143" s="318" t="s">
        <v>85</v>
      </c>
      <c r="H143" s="333"/>
      <c r="I143" s="318"/>
      <c r="J143" s="422">
        <v>1.4999999999999999E-2</v>
      </c>
      <c r="K143" s="422">
        <v>1.4999999999999999E-2</v>
      </c>
      <c r="L143" s="422">
        <v>1.4999999999999999E-2</v>
      </c>
      <c r="M143" s="422">
        <v>1.4999999999999999E-2</v>
      </c>
      <c r="N143" s="422">
        <v>1.4999999999999999E-2</v>
      </c>
      <c r="O143" s="422">
        <v>1.4999999999999999E-2</v>
      </c>
      <c r="P143" s="422">
        <v>1.4999999999999999E-2</v>
      </c>
      <c r="Q143" s="422">
        <v>1.4999999999999999E-2</v>
      </c>
      <c r="R143" s="422">
        <v>1.4999999999999999E-2</v>
      </c>
      <c r="S143" s="128"/>
      <c r="T143" s="128"/>
      <c r="U143" s="327"/>
      <c r="W143" s="31">
        <f t="shared" si="122"/>
        <v>0</v>
      </c>
      <c r="X143" s="31">
        <f t="shared" si="123"/>
        <v>0</v>
      </c>
      <c r="Y143" s="31">
        <f t="shared" si="124"/>
        <v>0</v>
      </c>
    </row>
    <row r="144" spans="1:25" ht="12" customHeight="1" x14ac:dyDescent="0.25">
      <c r="A144" s="845"/>
      <c r="B144" s="27"/>
      <c r="C144" s="27"/>
      <c r="D144" s="27"/>
      <c r="E144" s="434" t="s">
        <v>1565</v>
      </c>
      <c r="G144" s="318" t="s">
        <v>85</v>
      </c>
      <c r="H144" s="421">
        <f>'0.2.Parameters'!H97</f>
        <v>0</v>
      </c>
      <c r="I144" s="318"/>
      <c r="J144" s="422">
        <f>'Money market'!E8/100</f>
        <v>3.4399999999999999E-3</v>
      </c>
      <c r="K144" s="422">
        <f>'Money market'!F8/100</f>
        <v>6.8300000000000001E-3</v>
      </c>
      <c r="L144" s="422">
        <f>'Money market'!G8/100</f>
        <v>2.2170000000000002E-2</v>
      </c>
      <c r="M144" s="422">
        <f>'Money market'!H8/100</f>
        <v>2.7999999999999997E-2</v>
      </c>
      <c r="N144" s="422">
        <f>'Money market'!I8/100</f>
        <v>3.2000000000000001E-2</v>
      </c>
      <c r="O144" s="422">
        <f>'Money market'!J8/100</f>
        <v>3.6000000000000004E-2</v>
      </c>
      <c r="P144" s="422">
        <f>'Money market'!K8/100</f>
        <v>3.7000000000000005E-2</v>
      </c>
      <c r="Q144" s="422">
        <f>'Money market'!L8/100</f>
        <v>3.9E-2</v>
      </c>
      <c r="R144" s="422">
        <f>Q144</f>
        <v>3.9E-2</v>
      </c>
      <c r="S144" s="128"/>
      <c r="T144" s="128"/>
      <c r="U144" s="327"/>
      <c r="W144" s="31">
        <f t="shared" si="122"/>
        <v>1.5386546519486393</v>
      </c>
      <c r="X144" s="31">
        <f t="shared" si="123"/>
        <v>0.26296797474064015</v>
      </c>
      <c r="Y144" s="31">
        <f t="shared" si="124"/>
        <v>8.6367197914298588E-2</v>
      </c>
    </row>
    <row r="145" spans="1:26" ht="12" customHeight="1" x14ac:dyDescent="0.25">
      <c r="A145" s="845"/>
      <c r="B145" s="27"/>
      <c r="C145" s="27"/>
      <c r="D145" s="27"/>
      <c r="E145" s="434" t="s">
        <v>1567</v>
      </c>
      <c r="G145" s="318" t="s">
        <v>85</v>
      </c>
      <c r="H145" s="879"/>
      <c r="I145" s="318"/>
      <c r="J145" s="398"/>
      <c r="K145" s="398"/>
      <c r="L145" s="398"/>
      <c r="M145" s="422">
        <f t="shared" ref="M145:R145" si="125">M143+M144</f>
        <v>4.2999999999999997E-2</v>
      </c>
      <c r="N145" s="422">
        <f t="shared" si="125"/>
        <v>4.7E-2</v>
      </c>
      <c r="O145" s="422">
        <f t="shared" si="125"/>
        <v>5.1000000000000004E-2</v>
      </c>
      <c r="P145" s="422">
        <f t="shared" si="125"/>
        <v>5.2000000000000005E-2</v>
      </c>
      <c r="Q145" s="422">
        <f t="shared" si="125"/>
        <v>5.3999999999999999E-2</v>
      </c>
      <c r="R145" s="422">
        <f t="shared" si="125"/>
        <v>5.3999999999999999E-2</v>
      </c>
      <c r="S145" s="128"/>
      <c r="T145" s="128"/>
      <c r="U145" s="327"/>
      <c r="W145" s="31"/>
      <c r="X145" s="31"/>
      <c r="Y145" s="31"/>
    </row>
    <row r="146" spans="1:26" ht="12" customHeight="1" x14ac:dyDescent="0.25">
      <c r="A146" s="845"/>
      <c r="B146" s="27"/>
      <c r="C146" s="27"/>
      <c r="D146" s="27"/>
      <c r="E146" s="434" t="s">
        <v>1568</v>
      </c>
      <c r="G146" s="318"/>
      <c r="H146" s="879"/>
      <c r="I146" s="318"/>
      <c r="J146" s="881">
        <f>'3.3. Balance sheet'!J55</f>
        <v>0</v>
      </c>
      <c r="K146" s="881">
        <f>'3.3. Balance sheet'!K55</f>
        <v>673.21651179260471</v>
      </c>
      <c r="L146" s="881">
        <f>'3.3. Balance sheet'!L55</f>
        <v>554.33967923840567</v>
      </c>
      <c r="M146" s="881">
        <f>'3.3. Balance sheet'!M55</f>
        <v>364.33967923840567</v>
      </c>
      <c r="N146" s="881">
        <f>'3.3. Balance sheet'!N55</f>
        <v>4.6792384056857372E-3</v>
      </c>
      <c r="O146" s="881">
        <f>'3.3. Balance sheet'!O55</f>
        <v>4.6792384056857372E-3</v>
      </c>
      <c r="P146" s="881">
        <f>'3.3. Balance sheet'!P55</f>
        <v>4.6792384056857372E-3</v>
      </c>
      <c r="Q146" s="881">
        <f>'3.3. Balance sheet'!Q55</f>
        <v>4.6792384056857372E-3</v>
      </c>
      <c r="R146" s="881">
        <f>'3.3. Balance sheet'!R55</f>
        <v>4.6792384056857372E-3</v>
      </c>
      <c r="S146" s="128"/>
      <c r="T146" s="128"/>
      <c r="U146" s="327"/>
      <c r="W146" s="31"/>
      <c r="X146" s="31"/>
      <c r="Y146" s="31"/>
    </row>
    <row r="147" spans="1:26" ht="12" customHeight="1" x14ac:dyDescent="0.25">
      <c r="A147" s="845"/>
      <c r="B147" s="27"/>
      <c r="C147" s="27"/>
      <c r="D147" s="27"/>
      <c r="E147" s="434"/>
      <c r="G147" s="318"/>
      <c r="H147" s="879"/>
      <c r="I147" s="318"/>
      <c r="J147" s="880"/>
      <c r="K147" s="880"/>
      <c r="L147" s="880"/>
      <c r="M147" s="880"/>
      <c r="N147" s="880"/>
      <c r="O147" s="880"/>
      <c r="P147" s="880"/>
      <c r="Q147" s="880"/>
      <c r="R147" s="880"/>
      <c r="S147" s="128"/>
      <c r="T147" s="128"/>
      <c r="U147" s="327"/>
      <c r="W147" s="31"/>
      <c r="X147" s="31"/>
      <c r="Y147" s="31"/>
    </row>
    <row r="148" spans="1:26" ht="12" customHeight="1" x14ac:dyDescent="0.25">
      <c r="A148" s="845"/>
      <c r="B148" s="27"/>
      <c r="C148" s="27"/>
      <c r="D148" s="27"/>
      <c r="E148" s="27" t="str">
        <f>C141</f>
        <v>Interest expense</v>
      </c>
      <c r="F148" s="109"/>
      <c r="G148" s="427" t="str">
        <f t="shared" ref="G148" si="126">"EUR "&amp;Multiplier</f>
        <v>EUR thd</v>
      </c>
      <c r="H148" s="423"/>
      <c r="I148" s="428"/>
      <c r="J148" s="116">
        <f>IF(J$4="Forecast",#REF!*J143,J142)</f>
        <v>4.5935891155250728</v>
      </c>
      <c r="K148" s="116">
        <f>IF(K$4="Forecast",#REF!*K143,K142)</f>
        <v>10.874063615069721</v>
      </c>
      <c r="L148" s="116">
        <f>IF(L$4="Forecast",#REF!*L143,L142)</f>
        <v>33.835934243042864</v>
      </c>
      <c r="M148" s="116">
        <f>M146*M145</f>
        <v>15.666606207251442</v>
      </c>
      <c r="N148" s="116">
        <f t="shared" ref="N148:R148" si="127">N146*N145</f>
        <v>2.1992420506722964E-4</v>
      </c>
      <c r="O148" s="116">
        <f t="shared" si="127"/>
        <v>2.3864115868997261E-4</v>
      </c>
      <c r="P148" s="116">
        <f t="shared" si="127"/>
        <v>2.4332039709565835E-4</v>
      </c>
      <c r="Q148" s="116">
        <f t="shared" si="127"/>
        <v>2.526788739070298E-4</v>
      </c>
      <c r="R148" s="116">
        <f t="shared" si="127"/>
        <v>2.526788739070298E-4</v>
      </c>
      <c r="S148" s="399"/>
      <c r="T148" s="399"/>
      <c r="U148" s="332"/>
      <c r="V148" s="28"/>
      <c r="W148" s="31">
        <f t="shared" si="122"/>
        <v>1.7140198086319183</v>
      </c>
      <c r="X148" s="31">
        <f t="shared" si="123"/>
        <v>-0.53698319382232773</v>
      </c>
      <c r="Y148" s="31">
        <f t="shared" si="124"/>
        <v>-0.93662784126223142</v>
      </c>
    </row>
    <row r="149" spans="1:26" ht="12" customHeight="1" x14ac:dyDescent="0.25">
      <c r="G149" s="215"/>
      <c r="H149" s="215"/>
      <c r="I149" s="215"/>
      <c r="J149" s="118"/>
      <c r="K149" s="118"/>
      <c r="L149" s="118"/>
      <c r="M149" s="118"/>
      <c r="N149" s="118"/>
      <c r="O149" s="118"/>
      <c r="P149" s="118"/>
      <c r="Q149" s="118"/>
      <c r="R149" s="118"/>
      <c r="S149" s="118"/>
      <c r="T149" s="118"/>
      <c r="U149" s="118"/>
    </row>
    <row r="150" spans="1:26" ht="12" customHeight="1" x14ac:dyDescent="0.25">
      <c r="A150" s="96" t="s">
        <v>0</v>
      </c>
      <c r="B150" s="64"/>
      <c r="C150" s="64"/>
      <c r="D150" s="64"/>
      <c r="E150" s="64"/>
      <c r="F150" s="81"/>
      <c r="G150" s="392"/>
      <c r="H150" s="393"/>
      <c r="I150" s="392"/>
      <c r="J150" s="119"/>
      <c r="K150" s="119"/>
      <c r="L150" s="119"/>
      <c r="M150" s="119"/>
      <c r="N150" s="119"/>
      <c r="O150" s="119"/>
      <c r="P150" s="119"/>
      <c r="Q150" s="119"/>
      <c r="R150" s="119"/>
      <c r="S150" s="119"/>
      <c r="T150" s="119"/>
      <c r="U150" s="98"/>
      <c r="V150" s="98"/>
      <c r="W150" s="100"/>
      <c r="X150" s="100"/>
      <c r="Y150" s="100"/>
      <c r="Z150" s="81"/>
    </row>
    <row r="151" spans="1:26" ht="12" customHeight="1" x14ac:dyDescent="0.25">
      <c r="G151" s="215"/>
      <c r="H151" s="84"/>
      <c r="I151" s="215"/>
      <c r="J151" s="118"/>
      <c r="K151" s="118"/>
      <c r="L151" s="118"/>
      <c r="M151" s="118"/>
      <c r="N151" s="118"/>
      <c r="O151" s="118"/>
      <c r="P151" s="118"/>
      <c r="Q151" s="118"/>
      <c r="R151" s="118"/>
      <c r="S151" s="118"/>
      <c r="T151" s="118"/>
    </row>
  </sheetData>
  <conditionalFormatting sqref="A3">
    <cfRule type="containsText" dxfId="11" priority="1" operator="containsText" text="OK">
      <formula>NOT(ISERROR(SEARCH("OK",A3)))</formula>
    </cfRule>
    <cfRule type="containsText" dxfId="10" priority="2" operator="containsText" text="Error">
      <formula>NOT(ISERROR(SEARCH("Error",A3)))</formula>
    </cfRule>
  </conditionalFormatting>
  <pageMargins left="0.7" right="0.7" top="0.75" bottom="0.75" header="0.3" footer="0.3"/>
  <pageSetup paperSize="9" orientation="portrait" r:id="rId1"/>
  <headerFooter>
    <oddFooter>&amp;C&amp;7&amp;B&amp;"Arial"Document Classification: KPMG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20289" r:id="rId4" name="Button 1">
              <controlPr defaultSize="0" autoFill="0" autoPict="0" macro="[0]!scenario1">
                <anchor moveWithCells="1" sizeWithCells="1">
                  <from>
                    <xdr:col>6</xdr:col>
                    <xdr:colOff>518160</xdr:colOff>
                    <xdr:row>1</xdr:row>
                    <xdr:rowOff>7620</xdr:rowOff>
                  </from>
                  <to>
                    <xdr:col>7</xdr:col>
                    <xdr:colOff>99060</xdr:colOff>
                    <xdr:row>2</xdr:row>
                    <xdr:rowOff>106680</xdr:rowOff>
                  </to>
                </anchor>
              </controlPr>
            </control>
          </mc:Choice>
        </mc:AlternateContent>
        <mc:AlternateContent xmlns:mc="http://schemas.openxmlformats.org/markup-compatibility/2006">
          <mc:Choice Requires="x14">
            <control shapeId="1420290" r:id="rId5" name="Button 2">
              <controlPr defaultSize="0" autoFill="0" autoPict="0" macro="[0]!scenario2">
                <anchor moveWithCells="1" sizeWithCells="1">
                  <from>
                    <xdr:col>7</xdr:col>
                    <xdr:colOff>106680</xdr:colOff>
                    <xdr:row>1</xdr:row>
                    <xdr:rowOff>7620</xdr:rowOff>
                  </from>
                  <to>
                    <xdr:col>7</xdr:col>
                    <xdr:colOff>419100</xdr:colOff>
                    <xdr:row>2</xdr:row>
                    <xdr:rowOff>106680</xdr:rowOff>
                  </to>
                </anchor>
              </controlPr>
            </control>
          </mc:Choice>
        </mc:AlternateContent>
        <mc:AlternateContent xmlns:mc="http://schemas.openxmlformats.org/markup-compatibility/2006">
          <mc:Choice Requires="x14">
            <control shapeId="1420291" r:id="rId6" name="Button 3">
              <controlPr defaultSize="0" autoFill="0" autoPict="0" macro="[0]!scenario3">
                <anchor moveWithCells="1" sizeWithCells="1">
                  <from>
                    <xdr:col>7</xdr:col>
                    <xdr:colOff>426720</xdr:colOff>
                    <xdr:row>1</xdr:row>
                    <xdr:rowOff>7620</xdr:rowOff>
                  </from>
                  <to>
                    <xdr:col>8</xdr:col>
                    <xdr:colOff>0</xdr:colOff>
                    <xdr:row>2</xdr:row>
                    <xdr:rowOff>106680</xdr:rowOff>
                  </to>
                </anchor>
              </controlPr>
            </control>
          </mc:Choice>
        </mc:AlternateContent>
        <mc:AlternateContent xmlns:mc="http://schemas.openxmlformats.org/markup-compatibility/2006">
          <mc:Choice Requires="x14">
            <control shapeId="1420292" r:id="rId7" name="Button 4">
              <controlPr defaultSize="0" print="0" autoFill="0" autoPict="0" macro="[0]!Module3.ModelMap">
                <anchor moveWithCells="1" sizeWithCells="1">
                  <from>
                    <xdr:col>5</xdr:col>
                    <xdr:colOff>2331720</xdr:colOff>
                    <xdr:row>1</xdr:row>
                    <xdr:rowOff>7620</xdr:rowOff>
                  </from>
                  <to>
                    <xdr:col>6</xdr:col>
                    <xdr:colOff>510540</xdr:colOff>
                    <xdr:row>2</xdr:row>
                    <xdr:rowOff>106680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1">
    <tabColor theme="5" tint="-0.249977111117893"/>
    <outlinePr summaryBelow="0" summaryRight="0"/>
  </sheetPr>
  <dimension ref="A1:Y324"/>
  <sheetViews>
    <sheetView showGridLines="0" zoomScale="85" zoomScaleNormal="85" workbookViewId="0">
      <pane xSplit="9" ySplit="4" topLeftCell="J5" activePane="bottomRight" state="frozen"/>
      <selection activeCell="L10" sqref="L10"/>
      <selection pane="topRight" activeCell="L10" sqref="L10"/>
      <selection pane="bottomLeft" activeCell="L10" sqref="L10"/>
      <selection pane="bottomRight" activeCell="M5" sqref="M5"/>
    </sheetView>
  </sheetViews>
  <sheetFormatPr defaultColWidth="0" defaultRowHeight="12" customHeight="1" outlineLevelRow="3" outlineLevelCol="1" x14ac:dyDescent="0.25"/>
  <cols>
    <col min="1" max="1" width="2.6640625" style="9" customWidth="1"/>
    <col min="2" max="4" width="5.6640625" style="9" customWidth="1"/>
    <col min="5" max="5" width="2.6640625" style="9" customWidth="1"/>
    <col min="6" max="6" width="55.6640625" style="10" customWidth="1"/>
    <col min="7" max="8" width="10.6640625" style="10" customWidth="1"/>
    <col min="9" max="9" width="2.6640625" style="10" customWidth="1"/>
    <col min="10" max="17" width="10.6640625" style="12" customWidth="1"/>
    <col min="18" max="18" width="10.6640625" style="12" customWidth="1" collapsed="1"/>
    <col min="19" max="20" width="10.6640625" style="12" hidden="1" customWidth="1" outlineLevel="1"/>
    <col min="21" max="21" width="2.6640625" style="12" customWidth="1"/>
    <col min="22" max="22" width="9.109375" style="13" customWidth="1"/>
    <col min="23" max="23" width="12.33203125" style="13" bestFit="1" customWidth="1"/>
    <col min="24" max="24" width="10.33203125" style="13" bestFit="1" customWidth="1"/>
    <col min="25" max="25" width="25.6640625" style="10" customWidth="1"/>
    <col min="26" max="16384" width="9.109375" style="12" hidden="1"/>
  </cols>
  <sheetData>
    <row r="1" spans="1:25" s="6" customFormat="1" ht="12" customHeight="1" x14ac:dyDescent="0.25">
      <c r="A1" s="1" t="str">
        <f ca="1">MID(CELL("filename"),SEARCH("[",CELL("filename"))+1, SEARCH("]",CELL("filename"))-SEARCH("[",CELL("filename"))-1)</f>
        <v>Project Horeco_190409_1810.xlsm</v>
      </c>
      <c r="B1" s="1"/>
      <c r="C1" s="1"/>
      <c r="D1" s="1"/>
      <c r="E1" s="1"/>
      <c r="F1" s="1"/>
      <c r="G1" s="1"/>
      <c r="H1" s="83"/>
      <c r="I1" s="1"/>
      <c r="J1" s="3">
        <f>'1.0.Model timing'!J9</f>
        <v>42370</v>
      </c>
      <c r="K1" s="3">
        <f>'1.0.Model timing'!K9</f>
        <v>42736</v>
      </c>
      <c r="L1" s="3">
        <f>'1.0.Model timing'!L9</f>
        <v>43101</v>
      </c>
      <c r="M1" s="3">
        <f>'1.0.Model timing'!M9</f>
        <v>43466</v>
      </c>
      <c r="N1" s="3">
        <f>'1.0.Model timing'!N9</f>
        <v>43831</v>
      </c>
      <c r="O1" s="3">
        <f>'1.0.Model timing'!O9</f>
        <v>44197</v>
      </c>
      <c r="P1" s="3">
        <f>'1.0.Model timing'!P9</f>
        <v>44562</v>
      </c>
      <c r="Q1" s="3">
        <f>'1.0.Model timing'!Q9</f>
        <v>44927</v>
      </c>
      <c r="R1" s="3">
        <f>'1.0.Model timing'!R9</f>
        <v>45292</v>
      </c>
      <c r="S1" s="3">
        <f>'1.0.Model timing'!S9</f>
        <v>45658</v>
      </c>
      <c r="T1" s="3">
        <f>'1.0.Model timing'!T9</f>
        <v>46023</v>
      </c>
      <c r="U1" s="4"/>
      <c r="V1" s="5"/>
      <c r="W1" s="5"/>
      <c r="X1" s="5"/>
      <c r="Y1" s="1" t="s">
        <v>11</v>
      </c>
    </row>
    <row r="2" spans="1:25" s="6" customFormat="1" ht="12" customHeight="1" x14ac:dyDescent="0.25">
      <c r="A2" s="1" t="str">
        <f ca="1">RIGHT(CELL("filename",A2),LEN(CELL("filename",A2))-FIND("]",CELL("filename",A2)))</f>
        <v>2.3. Working Capital</v>
      </c>
      <c r="B2" s="1"/>
      <c r="C2" s="1"/>
      <c r="D2" s="1"/>
      <c r="E2" s="1"/>
      <c r="F2" s="1"/>
      <c r="G2" s="1"/>
      <c r="H2" s="83"/>
      <c r="I2" s="1"/>
      <c r="J2" s="3">
        <f>'1.0.Model timing'!J10</f>
        <v>42735</v>
      </c>
      <c r="K2" s="3">
        <f>'1.0.Model timing'!K10</f>
        <v>43100</v>
      </c>
      <c r="L2" s="3">
        <f>'1.0.Model timing'!L10</f>
        <v>43465</v>
      </c>
      <c r="M2" s="3">
        <f>'1.0.Model timing'!M10</f>
        <v>43830</v>
      </c>
      <c r="N2" s="3">
        <f>'1.0.Model timing'!N10</f>
        <v>44196</v>
      </c>
      <c r="O2" s="3">
        <f>'1.0.Model timing'!O10</f>
        <v>44561</v>
      </c>
      <c r="P2" s="3">
        <f>'1.0.Model timing'!P10</f>
        <v>44926</v>
      </c>
      <c r="Q2" s="3">
        <f>'1.0.Model timing'!Q10</f>
        <v>45291</v>
      </c>
      <c r="R2" s="3">
        <f>'1.0.Model timing'!R10</f>
        <v>45657</v>
      </c>
      <c r="S2" s="3">
        <f>'1.0.Model timing'!S10</f>
        <v>46022</v>
      </c>
      <c r="T2" s="3">
        <f>'1.0.Model timing'!T10</f>
        <v>46387</v>
      </c>
      <c r="U2" s="4"/>
      <c r="V2" s="5"/>
      <c r="W2" s="5"/>
      <c r="X2" s="5"/>
      <c r="Y2" s="1"/>
    </row>
    <row r="3" spans="1:25" s="6" customFormat="1" ht="12" customHeight="1" x14ac:dyDescent="0.25">
      <c r="A3" s="1"/>
      <c r="B3" s="1"/>
      <c r="C3" s="1"/>
      <c r="D3" s="1"/>
      <c r="E3" s="1"/>
      <c r="F3" s="1"/>
      <c r="G3" s="1"/>
      <c r="H3" s="83"/>
      <c r="I3" s="1"/>
      <c r="J3" s="7">
        <f>'1.0.Model timing'!J11</f>
        <v>2016</v>
      </c>
      <c r="K3" s="7">
        <f>'1.0.Model timing'!K11</f>
        <v>2017</v>
      </c>
      <c r="L3" s="7">
        <f>'1.0.Model timing'!L11</f>
        <v>2018</v>
      </c>
      <c r="M3" s="7">
        <f>'1.0.Model timing'!M11</f>
        <v>2019</v>
      </c>
      <c r="N3" s="7">
        <f>'1.0.Model timing'!N11</f>
        <v>2020</v>
      </c>
      <c r="O3" s="7">
        <f>'1.0.Model timing'!O11</f>
        <v>2021</v>
      </c>
      <c r="P3" s="7">
        <f>'1.0.Model timing'!P11</f>
        <v>2022</v>
      </c>
      <c r="Q3" s="7">
        <f>'1.0.Model timing'!Q11</f>
        <v>2023</v>
      </c>
      <c r="R3" s="7">
        <f>'1.0.Model timing'!R11</f>
        <v>2024</v>
      </c>
      <c r="S3" s="7">
        <f>'1.0.Model timing'!S11</f>
        <v>2025</v>
      </c>
      <c r="T3" s="7">
        <f>'1.0.Model timing'!T11</f>
        <v>2026</v>
      </c>
      <c r="U3" s="4"/>
      <c r="V3" s="5" t="s">
        <v>9</v>
      </c>
      <c r="W3" s="5" t="s">
        <v>10</v>
      </c>
      <c r="X3" s="5" t="s">
        <v>9</v>
      </c>
      <c r="Y3" s="1"/>
    </row>
    <row r="4" spans="1:25" s="6" customFormat="1" ht="12" customHeight="1" x14ac:dyDescent="0.25">
      <c r="A4" s="1"/>
      <c r="B4" s="1"/>
      <c r="C4" s="1"/>
      <c r="D4" s="1"/>
      <c r="E4" s="1"/>
      <c r="F4" s="1"/>
      <c r="G4" s="1" t="s">
        <v>8</v>
      </c>
      <c r="H4" s="83" t="s">
        <v>7</v>
      </c>
      <c r="I4" s="1"/>
      <c r="J4" s="8" t="str">
        <f>'1.0.Model timing'!J15</f>
        <v>Actual</v>
      </c>
      <c r="K4" s="8" t="str">
        <f>'1.0.Model timing'!K15</f>
        <v>Actual</v>
      </c>
      <c r="L4" s="8" t="str">
        <f>'1.0.Model timing'!L15</f>
        <v>Actual</v>
      </c>
      <c r="M4" s="8" t="str">
        <f>'1.0.Model timing'!M15</f>
        <v>Forecast</v>
      </c>
      <c r="N4" s="8" t="str">
        <f>'1.0.Model timing'!N15</f>
        <v>Forecast</v>
      </c>
      <c r="O4" s="8" t="str">
        <f>'1.0.Model timing'!O15</f>
        <v>Forecast</v>
      </c>
      <c r="P4" s="8" t="str">
        <f>'1.0.Model timing'!P15</f>
        <v>Forecast</v>
      </c>
      <c r="Q4" s="8" t="str">
        <f>'1.0.Model timing'!Q15</f>
        <v>Forecast</v>
      </c>
      <c r="R4" s="8" t="str">
        <f>'1.0.Model timing'!R15</f>
        <v>Forecast</v>
      </c>
      <c r="S4" s="8" t="str">
        <f>'1.0.Model timing'!S15</f>
        <v>Forecast</v>
      </c>
      <c r="T4" s="8" t="str">
        <f>'1.0.Model timing'!T15</f>
        <v>Forecast</v>
      </c>
      <c r="U4" s="4"/>
      <c r="V4" s="5" t="s">
        <v>256</v>
      </c>
      <c r="W4" s="5" t="s">
        <v>257</v>
      </c>
      <c r="X4" s="5" t="s">
        <v>375</v>
      </c>
      <c r="Y4" s="1"/>
    </row>
    <row r="6" spans="1:25" ht="12" customHeight="1" x14ac:dyDescent="0.25">
      <c r="A6" s="14">
        <f ca="1">MAX($A$1:A5)+1</f>
        <v>1</v>
      </c>
      <c r="B6" s="15" t="s">
        <v>94</v>
      </c>
      <c r="C6" s="15"/>
      <c r="D6" s="15"/>
      <c r="E6" s="15"/>
      <c r="F6" s="16"/>
      <c r="G6" s="17"/>
      <c r="H6" s="17"/>
      <c r="I6" s="17"/>
      <c r="J6" s="19"/>
      <c r="K6" s="19"/>
      <c r="L6" s="19"/>
      <c r="M6" s="19"/>
      <c r="N6" s="19"/>
      <c r="O6" s="19"/>
      <c r="P6" s="19"/>
      <c r="Q6" s="19"/>
      <c r="R6" s="19"/>
      <c r="S6" s="19"/>
      <c r="T6" s="19"/>
      <c r="U6" s="19"/>
      <c r="V6" s="20"/>
      <c r="W6" s="20"/>
      <c r="X6" s="20"/>
      <c r="Y6" s="21"/>
    </row>
    <row r="7" spans="1:25" ht="12" customHeight="1" outlineLevel="1" x14ac:dyDescent="0.25">
      <c r="G7" s="105"/>
      <c r="H7" s="121"/>
      <c r="I7" s="79"/>
      <c r="J7" s="42"/>
      <c r="Y7" s="122"/>
    </row>
    <row r="8" spans="1:25" ht="12" customHeight="1" outlineLevel="1" x14ac:dyDescent="0.25">
      <c r="A8" s="845"/>
      <c r="B8" s="25">
        <f ca="1">MAX(A1:A6)+0.1</f>
        <v>1.1000000000000001</v>
      </c>
      <c r="C8" s="9" t="str">
        <f>'1.3.Historical BS'!D31</f>
        <v>Raw materials and consumables</v>
      </c>
      <c r="D8" s="10"/>
      <c r="H8" s="85"/>
      <c r="J8" s="123"/>
      <c r="Y8" s="122"/>
    </row>
    <row r="9" spans="1:25" ht="12" customHeight="1" outlineLevel="1" x14ac:dyDescent="0.25">
      <c r="A9" s="845"/>
      <c r="B9" s="25"/>
      <c r="E9" s="10" t="str">
        <f>'0.2.Parameters'!$F$98</f>
        <v>Sale of finished goods, of which:</v>
      </c>
      <c r="G9" s="291" t="str">
        <f t="shared" ref="G9:G13" si="0">"EUR "&amp;Multiplier</f>
        <v>EUR thd</v>
      </c>
      <c r="H9" s="416">
        <f>'0.2.Parameters'!H91</f>
        <v>1</v>
      </c>
      <c r="I9" s="215"/>
      <c r="J9" s="107">
        <f>'3.1. Income Statement'!J$10</f>
        <v>3581.311171728868</v>
      </c>
      <c r="K9" s="107">
        <f>'3.1. Income Statement'!K$10</f>
        <v>8365.4754405551539</v>
      </c>
      <c r="L9" s="107">
        <f>'3.1. Income Statement'!L$10</f>
        <v>6263.9606425271304</v>
      </c>
      <c r="M9" s="107">
        <f>'3.1. Income Statement'!M$10</f>
        <v>9801.1922500000001</v>
      </c>
      <c r="N9" s="107">
        <f>'3.1. Income Statement'!N$10</f>
        <v>10291.251862500001</v>
      </c>
      <c r="O9" s="107">
        <f>'3.1. Income Statement'!O$10</f>
        <v>10805.814455625001</v>
      </c>
      <c r="P9" s="107">
        <f>'3.1. Income Statement'!P$10</f>
        <v>11346.105178406251</v>
      </c>
      <c r="Q9" s="107">
        <f>'3.1. Income Statement'!Q$10</f>
        <v>11913.410437326564</v>
      </c>
      <c r="R9" s="107">
        <f>'3.1. Income Statement'!R$10</f>
        <v>12509.080959192892</v>
      </c>
      <c r="S9" s="341"/>
      <c r="T9" s="341"/>
      <c r="U9" s="118"/>
      <c r="V9" s="220">
        <f>IF(ISERROR((($L9/$J9)^(1/($L$3-$J$3))-1)),0,(($L9/$J9)^(1/($L$3-$J$3))-1))</f>
        <v>0.32252375469423566</v>
      </c>
      <c r="W9" s="220">
        <f>IF(ISERROR($M9/$L9-1),0,$M9/$L9-1)</f>
        <v>0.56469569483849913</v>
      </c>
      <c r="X9" s="220">
        <f>IF(ISERROR((($P9/$M9)^(1/($P$3-$M$3))-1)),0,(($P9/$M9)^(1/($P$3-$M$3))-1))</f>
        <v>5.0000000000000044E-2</v>
      </c>
      <c r="Y9" s="122"/>
    </row>
    <row r="10" spans="1:25" ht="12" customHeight="1" outlineLevel="1" x14ac:dyDescent="0.25">
      <c r="A10" s="845"/>
      <c r="B10" s="25"/>
      <c r="D10" s="12"/>
      <c r="E10" s="10" t="str">
        <f>'0.2.Parameters'!$F$99</f>
        <v>Services rendered</v>
      </c>
      <c r="F10" s="12"/>
      <c r="G10" s="291" t="str">
        <f t="shared" si="0"/>
        <v>EUR thd</v>
      </c>
      <c r="H10" s="416">
        <f>'0.2.Parameters'!H92</f>
        <v>1</v>
      </c>
      <c r="I10" s="215"/>
      <c r="J10" s="107">
        <f>'3.1. Income Statement'!J$11</f>
        <v>379.61050146967131</v>
      </c>
      <c r="K10" s="107">
        <f>'3.1. Income Statement'!K$11</f>
        <v>691.0021080974584</v>
      </c>
      <c r="L10" s="107">
        <f>'3.1. Income Statement'!L$11</f>
        <v>416.49837756527342</v>
      </c>
      <c r="M10" s="107">
        <f>'3.1. Income Statement'!M$11</f>
        <v>651.69321828360307</v>
      </c>
      <c r="N10" s="107">
        <f>'3.1. Income Statement'!N$11</f>
        <v>684.27787919778325</v>
      </c>
      <c r="O10" s="107">
        <f>'3.1. Income Statement'!O$11</f>
        <v>718.49177315767247</v>
      </c>
      <c r="P10" s="107">
        <f>'3.1. Income Statement'!P$11</f>
        <v>754.41636181555612</v>
      </c>
      <c r="Q10" s="107">
        <f>'3.1. Income Statement'!Q$11</f>
        <v>792.13717990633393</v>
      </c>
      <c r="R10" s="107">
        <f>'3.1. Income Statement'!R$11</f>
        <v>831.7440389016507</v>
      </c>
      <c r="S10" s="341"/>
      <c r="T10" s="341"/>
      <c r="U10" s="118"/>
      <c r="V10" s="220">
        <f t="shared" ref="V10:V54" si="1">IF(ISERROR((($L10/$J10)^(1/($L$3-$J$3))-1)),0,(($L10/$J10)^(1/($L$3-$J$3))-1))</f>
        <v>4.7460242708311728E-2</v>
      </c>
      <c r="W10" s="220">
        <f t="shared" ref="W10:W54" si="2">IF(ISERROR($M10/$L10-1),0,$M10/$L10-1)</f>
        <v>0.56469569483849913</v>
      </c>
      <c r="X10" s="220">
        <f t="shared" ref="X10:X54" si="3">IF(ISERROR((($P10/$M10)^(1/($P$3-$M$3))-1)),0,(($P10/$M10)^(1/($P$3-$M$3))-1))</f>
        <v>5.0000000000000044E-2</v>
      </c>
      <c r="Y10" s="122"/>
    </row>
    <row r="11" spans="1:25" ht="12" customHeight="1" outlineLevel="1" x14ac:dyDescent="0.25">
      <c r="A11" s="845"/>
      <c r="B11" s="25"/>
      <c r="D11" s="12"/>
      <c r="E11" s="10" t="str">
        <f>'0.2.Parameters'!$F$100</f>
        <v>Sale of goods purchased for resale</v>
      </c>
      <c r="F11" s="12"/>
      <c r="G11" s="291" t="str">
        <f t="shared" si="0"/>
        <v>EUR thd</v>
      </c>
      <c r="H11" s="416">
        <f>'0.2.Parameters'!H93</f>
        <v>0</v>
      </c>
      <c r="I11" s="215"/>
      <c r="J11" s="107">
        <f>'3.1. Income Statement'!J$12</f>
        <v>1025.8539703393606</v>
      </c>
      <c r="K11" s="107">
        <f>'3.1. Income Statement'!K$12</f>
        <v>636.83500142291098</v>
      </c>
      <c r="L11" s="107">
        <f>'3.1. Income Statement'!L$12</f>
        <v>913.85854303212636</v>
      </c>
      <c r="M11" s="107">
        <f>'3.1. Income Statement'!M$12</f>
        <v>1429.9105279737514</v>
      </c>
      <c r="N11" s="107">
        <f>'3.1. Income Statement'!N$12</f>
        <v>1501.406054372439</v>
      </c>
      <c r="O11" s="107">
        <f>'3.1. Income Statement'!O$12</f>
        <v>1576.4763570910611</v>
      </c>
      <c r="P11" s="107">
        <f>'3.1. Income Statement'!P$12</f>
        <v>1655.3001749456143</v>
      </c>
      <c r="Q11" s="107">
        <f>'3.1. Income Statement'!Q$12</f>
        <v>1738.0651836928951</v>
      </c>
      <c r="R11" s="107">
        <f>'3.1. Income Statement'!R$12</f>
        <v>1824.9684428775399</v>
      </c>
      <c r="S11" s="341"/>
      <c r="T11" s="341"/>
      <c r="U11" s="118"/>
      <c r="V11" s="220">
        <f t="shared" si="1"/>
        <v>-5.6163613243395027E-2</v>
      </c>
      <c r="W11" s="220">
        <f t="shared" si="2"/>
        <v>0.56469569483849913</v>
      </c>
      <c r="X11" s="220">
        <f t="shared" si="3"/>
        <v>5.0000000000000044E-2</v>
      </c>
      <c r="Y11" s="122"/>
    </row>
    <row r="12" spans="1:25" ht="12" customHeight="1" outlineLevel="1" x14ac:dyDescent="0.25">
      <c r="A12" s="845"/>
      <c r="B12" s="25"/>
      <c r="D12" s="12"/>
      <c r="E12" s="10" t="str">
        <f>'0.2.Parameters'!$F$101</f>
        <v>Other operating revenues except revenues from subsidiese, fines and penalties</v>
      </c>
      <c r="F12" s="12"/>
      <c r="G12" s="291" t="str">
        <f t="shared" si="0"/>
        <v>EUR thd</v>
      </c>
      <c r="H12" s="416">
        <f>'0.2.Parameters'!H94</f>
        <v>0</v>
      </c>
      <c r="I12" s="215"/>
      <c r="J12" s="107">
        <f>'3.1. Income Statement'!J$15-'3.1. Income Statement'!J$16</f>
        <v>55.3209205486773</v>
      </c>
      <c r="K12" s="107">
        <f>'3.1. Income Statement'!K$15-'3.1. Income Statement'!K$16</f>
        <v>38.743131717782006</v>
      </c>
      <c r="L12" s="107">
        <f>'3.1. Income Statement'!L$15-'3.1. Income Statement'!L$16</f>
        <v>38.872515311056191</v>
      </c>
      <c r="M12" s="107">
        <f>'3.1. Income Statement'!M$15-'3.1. Income Statement'!M$16</f>
        <v>85.872057540685987</v>
      </c>
      <c r="N12" s="107">
        <f ca="1">'3.1. Income Statement'!N$15-'3.1. Income Statement'!N$16</f>
        <v>90.165660417720304</v>
      </c>
      <c r="O12" s="107">
        <f ca="1">'3.1. Income Statement'!O$15-'3.1. Income Statement'!O$16</f>
        <v>94.673943438606315</v>
      </c>
      <c r="P12" s="107">
        <f ca="1">'3.1. Income Statement'!P$15-'3.1. Income Statement'!P$16</f>
        <v>99.407640610536632</v>
      </c>
      <c r="Q12" s="107">
        <f ca="1">'3.1. Income Statement'!Q$15-'3.1. Income Statement'!Q$16</f>
        <v>104.37802264106347</v>
      </c>
      <c r="R12" s="107">
        <f ca="1">'3.1. Income Statement'!R$15-'3.1. Income Statement'!R$16</f>
        <v>109.59692377311663</v>
      </c>
      <c r="S12" s="341"/>
      <c r="T12" s="341"/>
      <c r="U12" s="118"/>
      <c r="V12" s="220">
        <f t="shared" si="1"/>
        <v>-0.16174409291086433</v>
      </c>
      <c r="W12" s="220">
        <f t="shared" si="2"/>
        <v>1.2090687174097554</v>
      </c>
      <c r="X12" s="220">
        <f t="shared" ca="1" si="3"/>
        <v>5.0000000000000044E-2</v>
      </c>
      <c r="Y12" s="122"/>
    </row>
    <row r="13" spans="1:25" ht="12" customHeight="1" outlineLevel="1" x14ac:dyDescent="0.25">
      <c r="A13" s="845"/>
      <c r="B13" s="25"/>
      <c r="D13" s="9" t="s">
        <v>93</v>
      </c>
      <c r="G13" s="310" t="str">
        <f t="shared" si="0"/>
        <v>EUR thd</v>
      </c>
      <c r="H13" s="417"/>
      <c r="I13" s="214"/>
      <c r="J13" s="216">
        <f>SUMIF($H9:$H12,1,J9:J12)</f>
        <v>3960.9216731985393</v>
      </c>
      <c r="K13" s="216">
        <f t="shared" ref="K13" si="4">SUMIF($H9:$H12,1,K9:K12)</f>
        <v>9056.4775486526123</v>
      </c>
      <c r="L13" s="216">
        <f t="shared" ref="L13" si="5">SUMIF($H9:$H12,1,L9:L12)</f>
        <v>6680.459020092404</v>
      </c>
      <c r="M13" s="216">
        <f t="shared" ref="M13" si="6">SUMIF($H9:$H12,1,M9:M12)</f>
        <v>10452.885468283603</v>
      </c>
      <c r="N13" s="216">
        <f t="shared" ref="N13" si="7">SUMIF($H9:$H12,1,N9:N12)</f>
        <v>10975.529741697785</v>
      </c>
      <c r="O13" s="216">
        <f t="shared" ref="O13" si="8">SUMIF($H9:$H12,1,O9:O12)</f>
        <v>11524.306228782672</v>
      </c>
      <c r="P13" s="216">
        <f t="shared" ref="P13:Q13" si="9">SUMIF($H9:$H12,1,P9:P12)</f>
        <v>12100.521540221807</v>
      </c>
      <c r="Q13" s="216">
        <f t="shared" si="9"/>
        <v>12705.547617232898</v>
      </c>
      <c r="R13" s="216">
        <f t="shared" ref="R13" si="10">SUMIF($H9:$H12,1,R9:R12)</f>
        <v>13340.824998094542</v>
      </c>
      <c r="S13" s="341"/>
      <c r="T13" s="341"/>
      <c r="U13" s="118"/>
      <c r="V13" s="220">
        <f t="shared" si="1"/>
        <v>0.29868859003563819</v>
      </c>
      <c r="W13" s="220">
        <f t="shared" si="2"/>
        <v>0.56469569483849913</v>
      </c>
      <c r="X13" s="220">
        <f t="shared" si="3"/>
        <v>5.0000000000000044E-2</v>
      </c>
      <c r="Y13" s="122"/>
    </row>
    <row r="14" spans="1:25" ht="12" customHeight="1" outlineLevel="1" x14ac:dyDescent="0.25">
      <c r="A14" s="845"/>
      <c r="B14" s="25"/>
      <c r="D14" s="10"/>
      <c r="G14" s="215"/>
      <c r="H14" s="417"/>
      <c r="I14" s="215"/>
      <c r="J14" s="108"/>
      <c r="K14" s="108"/>
      <c r="L14" s="108"/>
      <c r="M14" s="108"/>
      <c r="N14" s="108"/>
      <c r="O14" s="108"/>
      <c r="P14" s="108"/>
      <c r="Q14" s="341"/>
      <c r="R14" s="341"/>
      <c r="S14" s="341"/>
      <c r="T14" s="341"/>
      <c r="U14" s="118"/>
      <c r="V14" s="220">
        <f t="shared" si="1"/>
        <v>0</v>
      </c>
      <c r="W14" s="220">
        <f t="shared" si="2"/>
        <v>0</v>
      </c>
      <c r="X14" s="220">
        <f t="shared" si="3"/>
        <v>0</v>
      </c>
      <c r="Y14" s="122"/>
    </row>
    <row r="15" spans="1:25" ht="12" customHeight="1" outlineLevel="1" x14ac:dyDescent="0.25">
      <c r="A15" s="845"/>
      <c r="B15" s="25"/>
      <c r="D15" s="9" t="str">
        <f>"Closing balance "&amp;LOWER(C8)</f>
        <v>Closing balance raw materials and consumables</v>
      </c>
      <c r="E15" s="6"/>
      <c r="F15" s="6"/>
      <c r="G15" s="310" t="str">
        <f>"EUR "&amp;Multiplier</f>
        <v>EUR thd</v>
      </c>
      <c r="H15" s="417"/>
      <c r="I15" s="214"/>
      <c r="J15" s="312">
        <f>IF((J$4="Actual"),SUMIF('1.3.Historical BS'!$D$30:$D$38,$C8,'1.3.Historical BS'!O$30:O$38),"n/a")</f>
        <v>830.17515800136528</v>
      </c>
      <c r="K15" s="312">
        <f>IF((K$4="Actual"),SUMIF('1.3.Historical BS'!$D$30:$D$38,$C8,'1.3.Historical BS'!P$30:P$38),"n/a")</f>
        <v>880.10040560551101</v>
      </c>
      <c r="L15" s="312">
        <f>IF((L$4="Actual"),SUMIF('1.3.Historical BS'!$D$30:$D$38,$C8,'1.3.Historical BS'!Q$30:Q$38),"n/a")</f>
        <v>818.26755076223765</v>
      </c>
      <c r="M15" s="312" t="str">
        <f>IF((M$4="Actual"),SUMIF('1.3.Historical BS'!$D$30:$D$38,$C8,'1.3.Historical BS'!R$30:R$38),"n/a")</f>
        <v>n/a</v>
      </c>
      <c r="N15" s="312" t="str">
        <f>IF((N$4="Actual"),SUMIF('1.3.Historical BS'!$D$30:$D$38,$C8,'1.3.Historical BS'!S$30:S$38),"n/a")</f>
        <v>n/a</v>
      </c>
      <c r="O15" s="312" t="str">
        <f>IF((O$4="Actual"),SUMIF('1.3.Historical BS'!$D$30:$D$38,$C8,'1.3.Historical BS'!T$30:T$38),"n/a")</f>
        <v>n/a</v>
      </c>
      <c r="P15" s="312" t="str">
        <f>IF((P$4="Actual"),SUMIF('1.3.Historical BS'!$D$30:$D$38,$C8,'1.3.Historical BS'!U$30:U$38),"n/a")</f>
        <v>n/a</v>
      </c>
      <c r="Q15" s="312" t="str">
        <f>IF((Q$4="Actual"),SUMIF('1.3.Historical BS'!$D$30:$D$38,$C8,'1.3.Historical BS'!V$30:V$38),"n/a")</f>
        <v>n/a</v>
      </c>
      <c r="R15" s="312" t="str">
        <f>IF((R$4="Actual"),SUMIF('1.3.Historical BS'!$D$30:$D$38,$C8,'1.3.Historical BS'!W$30:W$38),"n/a")</f>
        <v>n/a</v>
      </c>
      <c r="S15" s="341"/>
      <c r="T15" s="341"/>
      <c r="U15" s="218"/>
      <c r="V15" s="220">
        <f t="shared" si="1"/>
        <v>-7.1976469538933552E-3</v>
      </c>
      <c r="W15" s="220">
        <f t="shared" si="2"/>
        <v>0</v>
      </c>
      <c r="X15" s="220">
        <f t="shared" si="3"/>
        <v>0</v>
      </c>
      <c r="Y15" s="122"/>
    </row>
    <row r="16" spans="1:25" ht="12" customHeight="1" outlineLevel="1" x14ac:dyDescent="0.25">
      <c r="A16" s="845"/>
      <c r="B16" s="25"/>
      <c r="D16" s="10"/>
      <c r="G16" s="215"/>
      <c r="H16" s="417"/>
      <c r="I16" s="215"/>
      <c r="J16" s="108"/>
      <c r="K16" s="108"/>
      <c r="L16" s="108"/>
      <c r="M16" s="108"/>
      <c r="N16" s="108"/>
      <c r="O16" s="108"/>
      <c r="P16" s="108"/>
      <c r="Q16" s="341"/>
      <c r="R16" s="341"/>
      <c r="S16" s="341"/>
      <c r="T16" s="341"/>
      <c r="U16" s="118"/>
      <c r="V16" s="220">
        <f t="shared" si="1"/>
        <v>0</v>
      </c>
      <c r="W16" s="220">
        <f t="shared" si="2"/>
        <v>0</v>
      </c>
      <c r="X16" s="220">
        <f t="shared" si="3"/>
        <v>0</v>
      </c>
      <c r="Y16" s="122"/>
    </row>
    <row r="17" spans="1:25" ht="12" customHeight="1" outlineLevel="1" x14ac:dyDescent="0.25">
      <c r="A17" s="845"/>
      <c r="B17" s="25"/>
      <c r="D17" s="9" t="s">
        <v>92</v>
      </c>
      <c r="E17" s="6"/>
      <c r="F17" s="6"/>
      <c r="G17" s="214" t="s">
        <v>16</v>
      </c>
      <c r="H17" s="416" t="str">
        <f>'0.2.Parameters'!H95</f>
        <v>Average</v>
      </c>
      <c r="I17" s="313"/>
      <c r="J17" s="216">
        <f t="shared" ref="J17:P17" si="11">IF(ISERROR(J15/J13*(J$2-J$1+1)),"",J15/J13*(J$2-J$1+1))</f>
        <v>76.710456024528824</v>
      </c>
      <c r="K17" s="216">
        <f t="shared" si="11"/>
        <v>35.470374250947472</v>
      </c>
      <c r="L17" s="216">
        <f t="shared" si="11"/>
        <v>44.707654837778733</v>
      </c>
      <c r="M17" s="430" t="str">
        <f t="shared" ref="M17" si="12">IF(ISERROR(M15/M13*(M$2-M$1+1)),"",M15/M13*(M$2-M$1+1))</f>
        <v/>
      </c>
      <c r="N17" s="430" t="str">
        <f t="shared" si="11"/>
        <v/>
      </c>
      <c r="O17" s="430" t="str">
        <f t="shared" si="11"/>
        <v/>
      </c>
      <c r="P17" s="430" t="str">
        <f t="shared" si="11"/>
        <v/>
      </c>
      <c r="Q17" s="338"/>
      <c r="R17" s="338"/>
      <c r="S17" s="430" t="str">
        <f t="shared" ref="S17:T17" si="13">IF(ISERROR(S15/S13*(S$2-S$1+1)),"",S15/S13*(S$2-S$1+1))</f>
        <v/>
      </c>
      <c r="T17" s="430" t="str">
        <f t="shared" si="13"/>
        <v/>
      </c>
      <c r="U17" s="218"/>
      <c r="V17" s="220">
        <f t="shared" si="1"/>
        <v>-0.23657977317119683</v>
      </c>
      <c r="W17" s="220">
        <f t="shared" si="2"/>
        <v>0</v>
      </c>
      <c r="X17" s="220">
        <f t="shared" si="3"/>
        <v>0</v>
      </c>
      <c r="Y17" s="122"/>
    </row>
    <row r="18" spans="1:25" ht="12" customHeight="1" outlineLevel="1" x14ac:dyDescent="0.25">
      <c r="A18" s="845"/>
      <c r="B18" s="56"/>
      <c r="C18" s="43"/>
      <c r="D18" s="13"/>
      <c r="E18" s="13"/>
      <c r="F18" s="11" t="s">
        <v>135</v>
      </c>
      <c r="G18" s="314">
        <f>($F18=H17)*1</f>
        <v>0</v>
      </c>
      <c r="H18" s="417"/>
      <c r="I18" s="315"/>
      <c r="J18" s="223">
        <f>J17</f>
        <v>76.710456024528824</v>
      </c>
      <c r="K18" s="223">
        <f>K17</f>
        <v>35.470374250947472</v>
      </c>
      <c r="L18" s="223">
        <f>L17</f>
        <v>44.707654837778733</v>
      </c>
      <c r="M18" s="341"/>
      <c r="N18" s="341"/>
      <c r="O18" s="341"/>
      <c r="P18" s="341"/>
      <c r="Q18" s="341"/>
      <c r="R18" s="341"/>
      <c r="S18" s="341"/>
      <c r="T18" s="341"/>
      <c r="U18" s="225"/>
      <c r="V18" s="220">
        <f t="shared" si="1"/>
        <v>-0.23657977317119683</v>
      </c>
      <c r="W18" s="220">
        <f t="shared" si="2"/>
        <v>-1</v>
      </c>
      <c r="X18" s="220">
        <f t="shared" si="3"/>
        <v>0</v>
      </c>
      <c r="Y18" s="122"/>
    </row>
    <row r="19" spans="1:25" ht="12" customHeight="1" outlineLevel="1" x14ac:dyDescent="0.25">
      <c r="A19" s="845"/>
      <c r="B19" s="56"/>
      <c r="C19" s="43"/>
      <c r="D19" s="13"/>
      <c r="E19" s="13"/>
      <c r="F19" s="11" t="s">
        <v>116</v>
      </c>
      <c r="G19" s="316">
        <f>($F19=H17)*1</f>
        <v>1</v>
      </c>
      <c r="H19" s="417"/>
      <c r="I19" s="315"/>
      <c r="J19" s="223">
        <f>IF(ISERROR(AVERAGE($J17:J17)),"",AVERAGE($J17:J17))</f>
        <v>76.710456024528824</v>
      </c>
      <c r="K19" s="223">
        <f>IF(ISERROR(AVERAGE($J17:K17)),"",AVERAGE($J17:K17))</f>
        <v>56.090415137738148</v>
      </c>
      <c r="L19" s="223">
        <f>IF(ISERROR(AVERAGE($J17:L17)),"",AVERAGE($J17:L17))</f>
        <v>52.296161704418346</v>
      </c>
      <c r="M19" s="341"/>
      <c r="N19" s="341"/>
      <c r="O19" s="341"/>
      <c r="P19" s="341"/>
      <c r="Q19" s="341"/>
      <c r="R19" s="341"/>
      <c r="S19" s="341"/>
      <c r="T19" s="341"/>
      <c r="U19" s="225"/>
      <c r="V19" s="220">
        <f t="shared" si="1"/>
        <v>-0.17432787070991007</v>
      </c>
      <c r="W19" s="220">
        <f t="shared" si="2"/>
        <v>-1</v>
      </c>
      <c r="X19" s="220">
        <f t="shared" si="3"/>
        <v>0</v>
      </c>
      <c r="Y19" s="122"/>
    </row>
    <row r="20" spans="1:25" ht="12" customHeight="1" outlineLevel="1" x14ac:dyDescent="0.25">
      <c r="A20" s="845"/>
      <c r="B20" s="56"/>
      <c r="C20" s="43"/>
      <c r="D20" s="13"/>
      <c r="E20" s="13"/>
      <c r="F20" s="11" t="s">
        <v>118</v>
      </c>
      <c r="G20" s="316">
        <f>($F20=H17)*1</f>
        <v>0</v>
      </c>
      <c r="H20" s="417"/>
      <c r="I20" s="315"/>
      <c r="J20" s="223">
        <f>IF(ISERROR(MIN($J17:J17)),"",MIN($J17:J17))</f>
        <v>76.710456024528824</v>
      </c>
      <c r="K20" s="223">
        <f>IF(ISERROR(MIN($J17:K17)),"",MIN($J17:K17))</f>
        <v>35.470374250947472</v>
      </c>
      <c r="L20" s="223">
        <f>IF(ISERROR(MIN($J17:L17)),"",MIN($J17:L17))</f>
        <v>35.470374250947472</v>
      </c>
      <c r="M20" s="341"/>
      <c r="N20" s="341"/>
      <c r="O20" s="341"/>
      <c r="P20" s="341"/>
      <c r="Q20" s="341"/>
      <c r="R20" s="341"/>
      <c r="S20" s="341"/>
      <c r="T20" s="341"/>
      <c r="U20" s="225"/>
      <c r="V20" s="220">
        <f t="shared" si="1"/>
        <v>-0.32000518198448635</v>
      </c>
      <c r="W20" s="220">
        <f t="shared" si="2"/>
        <v>-1</v>
      </c>
      <c r="X20" s="220">
        <f t="shared" si="3"/>
        <v>0</v>
      </c>
      <c r="Y20" s="122"/>
    </row>
    <row r="21" spans="1:25" ht="12" customHeight="1" outlineLevel="1" x14ac:dyDescent="0.25">
      <c r="A21" s="845"/>
      <c r="B21" s="56"/>
      <c r="C21" s="43"/>
      <c r="D21" s="13"/>
      <c r="E21" s="13"/>
      <c r="F21" s="11" t="s">
        <v>117</v>
      </c>
      <c r="G21" s="317">
        <f>($F21=H17)*1</f>
        <v>0</v>
      </c>
      <c r="H21" s="417"/>
      <c r="I21" s="315"/>
      <c r="J21" s="223">
        <f>IF(ISERROR(MAX($J17:J17)),"",MAX($J17:J17))</f>
        <v>76.710456024528824</v>
      </c>
      <c r="K21" s="223">
        <f>IF(ISERROR(MAX($J17:K17)),"",MAX($J17:K17))</f>
        <v>76.710456024528824</v>
      </c>
      <c r="L21" s="223">
        <f>IF(ISERROR(MAX($J17:L17)),"",MAX($J17:L17))</f>
        <v>76.710456024528824</v>
      </c>
      <c r="M21" s="341"/>
      <c r="N21" s="341"/>
      <c r="O21" s="341"/>
      <c r="P21" s="341"/>
      <c r="Q21" s="341"/>
      <c r="R21" s="341"/>
      <c r="S21" s="341"/>
      <c r="T21" s="341"/>
      <c r="U21" s="225"/>
      <c r="V21" s="220">
        <f t="shared" si="1"/>
        <v>0</v>
      </c>
      <c r="W21" s="220">
        <f t="shared" si="2"/>
        <v>-1</v>
      </c>
      <c r="X21" s="220">
        <f t="shared" si="3"/>
        <v>0</v>
      </c>
      <c r="Y21" s="122"/>
    </row>
    <row r="22" spans="1:25" ht="12" customHeight="1" outlineLevel="1" x14ac:dyDescent="0.25">
      <c r="A22" s="845"/>
      <c r="B22" s="25"/>
      <c r="E22" s="10" t="s">
        <v>91</v>
      </c>
      <c r="G22" s="215" t="s">
        <v>16</v>
      </c>
      <c r="H22" s="418">
        <v>0</v>
      </c>
      <c r="I22" s="318"/>
      <c r="J22" s="117" t="str">
        <f t="shared" ref="J22:L22" si="14">IF(J$4="Estimate",SUMPRODUCT(I18:I21,$G18:$G21),IF(J$4="Forecast",I22,""))</f>
        <v/>
      </c>
      <c r="K22" s="117" t="str">
        <f t="shared" si="14"/>
        <v/>
      </c>
      <c r="L22" s="117" t="str">
        <f t="shared" si="14"/>
        <v/>
      </c>
      <c r="M22" s="117">
        <f>SUMPRODUCT(L18:L21,$G18:$G21)</f>
        <v>52.296161704418346</v>
      </c>
      <c r="N22" s="117">
        <f t="shared" ref="N22:P22" si="15">IF(N$4="Estimate",SUMPRODUCT(M18:M21,$G18:$G21),IF(N$4="Forecast",M22,""))</f>
        <v>52.296161704418346</v>
      </c>
      <c r="O22" s="117">
        <f t="shared" si="15"/>
        <v>52.296161704418346</v>
      </c>
      <c r="P22" s="117">
        <f t="shared" si="15"/>
        <v>52.296161704418346</v>
      </c>
      <c r="Q22" s="117">
        <f t="shared" ref="Q22" si="16">IF(Q$4="Estimate",SUMPRODUCT(P18:P21,$G18:$G21),IF(Q$4="Forecast",P22,""))</f>
        <v>52.296161704418346</v>
      </c>
      <c r="R22" s="117">
        <f t="shared" ref="R22" si="17">IF(R$4="Estimate",SUMPRODUCT(Q18:Q21,$G18:$G21),IF(R$4="Forecast",Q22,""))</f>
        <v>52.296161704418346</v>
      </c>
      <c r="S22" s="341"/>
      <c r="T22" s="341"/>
      <c r="U22" s="118"/>
      <c r="V22" s="220">
        <f t="shared" si="1"/>
        <v>0</v>
      </c>
      <c r="W22" s="220">
        <f t="shared" si="2"/>
        <v>0</v>
      </c>
      <c r="X22" s="220">
        <f t="shared" si="3"/>
        <v>0</v>
      </c>
      <c r="Y22" s="122"/>
    </row>
    <row r="23" spans="1:25" ht="12" customHeight="1" outlineLevel="1" x14ac:dyDescent="0.25">
      <c r="A23" s="845"/>
      <c r="B23" s="25"/>
      <c r="D23" s="9" t="s">
        <v>90</v>
      </c>
      <c r="G23" s="214" t="s">
        <v>16</v>
      </c>
      <c r="H23" s="311"/>
      <c r="I23" s="214"/>
      <c r="J23" s="319">
        <f>SUM(J17,J22)</f>
        <v>76.710456024528824</v>
      </c>
      <c r="K23" s="319">
        <f t="shared" ref="K23:P23" si="18">SUM(K17,K22)</f>
        <v>35.470374250947472</v>
      </c>
      <c r="L23" s="319">
        <f t="shared" si="18"/>
        <v>44.707654837778733</v>
      </c>
      <c r="M23" s="319">
        <f t="shared" si="18"/>
        <v>52.296161704418346</v>
      </c>
      <c r="N23" s="319">
        <f t="shared" si="18"/>
        <v>52.296161704418346</v>
      </c>
      <c r="O23" s="319">
        <f t="shared" si="18"/>
        <v>52.296161704418346</v>
      </c>
      <c r="P23" s="319">
        <f t="shared" si="18"/>
        <v>52.296161704418346</v>
      </c>
      <c r="Q23" s="319">
        <f t="shared" ref="Q23:R23" si="19">SUM(Q17,Q22)</f>
        <v>52.296161704418346</v>
      </c>
      <c r="R23" s="319">
        <f t="shared" si="19"/>
        <v>52.296161704418346</v>
      </c>
      <c r="S23" s="341"/>
      <c r="T23" s="341"/>
      <c r="U23" s="118"/>
      <c r="V23" s="220">
        <f t="shared" si="1"/>
        <v>-0.23657977317119683</v>
      </c>
      <c r="W23" s="220">
        <f t="shared" si="2"/>
        <v>0.16973618710653526</v>
      </c>
      <c r="X23" s="220">
        <f t="shared" si="3"/>
        <v>0</v>
      </c>
      <c r="Y23" s="122"/>
    </row>
    <row r="24" spans="1:25" ht="12" customHeight="1" outlineLevel="1" x14ac:dyDescent="0.25">
      <c r="A24" s="845"/>
      <c r="B24" s="25"/>
      <c r="D24" s="10"/>
      <c r="G24" s="215"/>
      <c r="H24" s="311"/>
      <c r="I24" s="215"/>
      <c r="J24" s="108"/>
      <c r="K24" s="108"/>
      <c r="L24" s="108"/>
      <c r="M24" s="108"/>
      <c r="N24" s="108"/>
      <c r="O24" s="108"/>
      <c r="P24" s="108"/>
      <c r="Q24" s="341"/>
      <c r="R24" s="341"/>
      <c r="S24" s="341"/>
      <c r="T24" s="341"/>
      <c r="U24" s="118"/>
      <c r="V24" s="220">
        <f t="shared" si="1"/>
        <v>0</v>
      </c>
      <c r="W24" s="220">
        <f t="shared" si="2"/>
        <v>0</v>
      </c>
      <c r="X24" s="220">
        <f t="shared" si="3"/>
        <v>0</v>
      </c>
      <c r="Y24" s="122"/>
    </row>
    <row r="25" spans="1:25" ht="12" customHeight="1" outlineLevel="1" x14ac:dyDescent="0.25">
      <c r="A25" s="845"/>
      <c r="B25" s="25"/>
      <c r="D25" s="74" t="str">
        <f>D15</f>
        <v>Closing balance raw materials and consumables</v>
      </c>
      <c r="E25" s="50"/>
      <c r="F25" s="50"/>
      <c r="G25" s="320" t="str">
        <f>"EUR "&amp;Multiplier</f>
        <v>EUR thd</v>
      </c>
      <c r="H25" s="321"/>
      <c r="I25" s="322"/>
      <c r="J25" s="227">
        <f t="shared" ref="J25:R25" si="20">J23/(J$2-J$1+1)*J13</f>
        <v>830.17515800136528</v>
      </c>
      <c r="K25" s="227">
        <f t="shared" si="20"/>
        <v>880.10040560551101</v>
      </c>
      <c r="L25" s="227">
        <f t="shared" si="20"/>
        <v>818.26755076223765</v>
      </c>
      <c r="M25" s="227">
        <f t="shared" si="20"/>
        <v>1497.6596951428053</v>
      </c>
      <c r="N25" s="227">
        <f t="shared" si="20"/>
        <v>1568.2461152007656</v>
      </c>
      <c r="O25" s="227">
        <f t="shared" si="20"/>
        <v>1651.169813894943</v>
      </c>
      <c r="P25" s="227">
        <f t="shared" si="20"/>
        <v>1733.7283045896902</v>
      </c>
      <c r="Q25" s="227">
        <f t="shared" si="20"/>
        <v>1820.4147198191749</v>
      </c>
      <c r="R25" s="227">
        <f t="shared" si="20"/>
        <v>1906.2129545647506</v>
      </c>
      <c r="S25" s="341"/>
      <c r="T25" s="341"/>
      <c r="U25" s="118"/>
      <c r="V25" s="220">
        <f t="shared" si="1"/>
        <v>-7.1976469538933552E-3</v>
      </c>
      <c r="W25" s="220">
        <f t="shared" si="2"/>
        <v>0.83028117606239671</v>
      </c>
      <c r="X25" s="220">
        <f t="shared" si="3"/>
        <v>5.0000000000000044E-2</v>
      </c>
      <c r="Y25" s="122"/>
    </row>
    <row r="26" spans="1:25" ht="12" customHeight="1" outlineLevel="1" x14ac:dyDescent="0.25">
      <c r="G26" s="105"/>
      <c r="H26" s="121"/>
      <c r="I26" s="79"/>
      <c r="J26" s="42"/>
      <c r="V26" s="220">
        <f t="shared" si="1"/>
        <v>0</v>
      </c>
      <c r="W26" s="220">
        <f t="shared" si="2"/>
        <v>0</v>
      </c>
      <c r="X26" s="220">
        <f t="shared" si="3"/>
        <v>0</v>
      </c>
      <c r="Y26" s="122"/>
    </row>
    <row r="27" spans="1:25" ht="12" customHeight="1" outlineLevel="1" x14ac:dyDescent="0.25">
      <c r="A27" s="845"/>
      <c r="G27" s="105"/>
      <c r="H27" s="121"/>
      <c r="I27" s="79"/>
      <c r="J27" s="42"/>
      <c r="V27" s="220">
        <f t="shared" si="1"/>
        <v>0</v>
      </c>
      <c r="W27" s="220">
        <f t="shared" si="2"/>
        <v>0</v>
      </c>
      <c r="X27" s="220">
        <f t="shared" si="3"/>
        <v>0</v>
      </c>
      <c r="Y27" s="122"/>
    </row>
    <row r="28" spans="1:25" ht="12" customHeight="1" outlineLevel="1" x14ac:dyDescent="0.25">
      <c r="A28" s="845"/>
      <c r="B28" s="25">
        <f ca="1">MAX($A$1:B8)+0.1</f>
        <v>1.2000000000000002</v>
      </c>
      <c r="C28" s="9" t="str">
        <f>'1.3.Historical BS'!D32</f>
        <v>Production in progress</v>
      </c>
      <c r="D28" s="10"/>
      <c r="H28" s="85"/>
      <c r="J28" s="123"/>
      <c r="V28" s="220">
        <f t="shared" si="1"/>
        <v>0</v>
      </c>
      <c r="W28" s="220">
        <f t="shared" si="2"/>
        <v>0</v>
      </c>
      <c r="X28" s="220">
        <f t="shared" si="3"/>
        <v>0</v>
      </c>
      <c r="Y28" s="122"/>
    </row>
    <row r="29" spans="1:25" ht="12" customHeight="1" outlineLevel="2" x14ac:dyDescent="0.25">
      <c r="A29" s="845"/>
      <c r="B29" s="25"/>
      <c r="E29" s="10" t="str">
        <f>'0.2.Parameters'!$F$98</f>
        <v>Sale of finished goods, of which:</v>
      </c>
      <c r="G29" s="291" t="str">
        <f t="shared" ref="G29:G33" si="21">"EUR "&amp;Multiplier</f>
        <v>EUR thd</v>
      </c>
      <c r="H29" s="416">
        <f>'0.2.Parameters'!H98</f>
        <v>1</v>
      </c>
      <c r="I29" s="215"/>
      <c r="J29" s="107">
        <f>'3.1. Income Statement'!J$10</f>
        <v>3581.311171728868</v>
      </c>
      <c r="K29" s="107">
        <f>'3.1. Income Statement'!K$10</f>
        <v>8365.4754405551539</v>
      </c>
      <c r="L29" s="107">
        <f>'3.1. Income Statement'!L$10</f>
        <v>6263.9606425271304</v>
      </c>
      <c r="M29" s="107">
        <f>'3.1. Income Statement'!M$10</f>
        <v>9801.1922500000001</v>
      </c>
      <c r="N29" s="107">
        <f>'3.1. Income Statement'!N$10</f>
        <v>10291.251862500001</v>
      </c>
      <c r="O29" s="107">
        <f>'3.1. Income Statement'!O$10</f>
        <v>10805.814455625001</v>
      </c>
      <c r="P29" s="107">
        <f>'3.1. Income Statement'!P$10</f>
        <v>11346.105178406251</v>
      </c>
      <c r="Q29" s="107">
        <f>'3.1. Income Statement'!Q$10</f>
        <v>11913.410437326564</v>
      </c>
      <c r="R29" s="107">
        <f>'3.1. Income Statement'!R$10</f>
        <v>12509.080959192892</v>
      </c>
      <c r="S29" s="341"/>
      <c r="T29" s="341"/>
      <c r="U29" s="118"/>
      <c r="V29" s="220">
        <f t="shared" si="1"/>
        <v>0.32252375469423566</v>
      </c>
      <c r="W29" s="220">
        <f t="shared" si="2"/>
        <v>0.56469569483849913</v>
      </c>
      <c r="X29" s="220">
        <f t="shared" si="3"/>
        <v>5.0000000000000044E-2</v>
      </c>
      <c r="Y29" s="122"/>
    </row>
    <row r="30" spans="1:25" ht="12" customHeight="1" outlineLevel="2" x14ac:dyDescent="0.25">
      <c r="A30" s="845"/>
      <c r="B30" s="25"/>
      <c r="D30" s="12"/>
      <c r="E30" s="10" t="str">
        <f>'0.2.Parameters'!$F$99</f>
        <v>Services rendered</v>
      </c>
      <c r="F30" s="12"/>
      <c r="G30" s="291" t="str">
        <f t="shared" si="21"/>
        <v>EUR thd</v>
      </c>
      <c r="H30" s="416">
        <f>'0.2.Parameters'!H99</f>
        <v>1</v>
      </c>
      <c r="I30" s="215"/>
      <c r="J30" s="107">
        <f>'3.1. Income Statement'!J$11</f>
        <v>379.61050146967131</v>
      </c>
      <c r="K30" s="107">
        <f>'3.1. Income Statement'!K$11</f>
        <v>691.0021080974584</v>
      </c>
      <c r="L30" s="107">
        <f>'3.1. Income Statement'!L$11</f>
        <v>416.49837756527342</v>
      </c>
      <c r="M30" s="107">
        <f>'3.1. Income Statement'!M$11</f>
        <v>651.69321828360307</v>
      </c>
      <c r="N30" s="107">
        <f>'3.1. Income Statement'!N$11</f>
        <v>684.27787919778325</v>
      </c>
      <c r="O30" s="107">
        <f>'3.1. Income Statement'!O$11</f>
        <v>718.49177315767247</v>
      </c>
      <c r="P30" s="107">
        <f>'3.1. Income Statement'!P$11</f>
        <v>754.41636181555612</v>
      </c>
      <c r="Q30" s="107">
        <f>'3.1. Income Statement'!Q$11</f>
        <v>792.13717990633393</v>
      </c>
      <c r="R30" s="107">
        <f>'3.1. Income Statement'!R$11</f>
        <v>831.7440389016507</v>
      </c>
      <c r="S30" s="341"/>
      <c r="T30" s="341"/>
      <c r="U30" s="118"/>
      <c r="V30" s="220">
        <f t="shared" si="1"/>
        <v>4.7460242708311728E-2</v>
      </c>
      <c r="W30" s="220">
        <f t="shared" si="2"/>
        <v>0.56469569483849913</v>
      </c>
      <c r="X30" s="220">
        <f t="shared" si="3"/>
        <v>5.0000000000000044E-2</v>
      </c>
      <c r="Y30" s="122"/>
    </row>
    <row r="31" spans="1:25" ht="12" customHeight="1" outlineLevel="2" x14ac:dyDescent="0.25">
      <c r="A31" s="845"/>
      <c r="B31" s="25"/>
      <c r="D31" s="12"/>
      <c r="E31" s="10" t="str">
        <f>'0.2.Parameters'!$F$100</f>
        <v>Sale of goods purchased for resale</v>
      </c>
      <c r="F31" s="12"/>
      <c r="G31" s="291" t="str">
        <f t="shared" si="21"/>
        <v>EUR thd</v>
      </c>
      <c r="H31" s="416">
        <f>'0.2.Parameters'!H100</f>
        <v>0</v>
      </c>
      <c r="I31" s="215"/>
      <c r="J31" s="107">
        <f>'3.1. Income Statement'!J$12</f>
        <v>1025.8539703393606</v>
      </c>
      <c r="K31" s="107">
        <f>'3.1. Income Statement'!K$12</f>
        <v>636.83500142291098</v>
      </c>
      <c r="L31" s="107">
        <f>'3.1. Income Statement'!L$12</f>
        <v>913.85854303212636</v>
      </c>
      <c r="M31" s="107">
        <f>'3.1. Income Statement'!M$12</f>
        <v>1429.9105279737514</v>
      </c>
      <c r="N31" s="107">
        <f>'3.1. Income Statement'!N$12</f>
        <v>1501.406054372439</v>
      </c>
      <c r="O31" s="107">
        <f>'3.1. Income Statement'!O$12</f>
        <v>1576.4763570910611</v>
      </c>
      <c r="P31" s="107">
        <f>'3.1. Income Statement'!P$12</f>
        <v>1655.3001749456143</v>
      </c>
      <c r="Q31" s="107">
        <f>'3.1. Income Statement'!Q$12</f>
        <v>1738.0651836928951</v>
      </c>
      <c r="R31" s="107">
        <f>'3.1. Income Statement'!R$12</f>
        <v>1824.9684428775399</v>
      </c>
      <c r="S31" s="341"/>
      <c r="T31" s="341"/>
      <c r="U31" s="118"/>
      <c r="V31" s="220">
        <f t="shared" si="1"/>
        <v>-5.6163613243395027E-2</v>
      </c>
      <c r="W31" s="220">
        <f t="shared" si="2"/>
        <v>0.56469569483849913</v>
      </c>
      <c r="X31" s="220">
        <f t="shared" si="3"/>
        <v>5.0000000000000044E-2</v>
      </c>
      <c r="Y31" s="122"/>
    </row>
    <row r="32" spans="1:25" ht="12" customHeight="1" outlineLevel="2" x14ac:dyDescent="0.25">
      <c r="A32" s="845"/>
      <c r="B32" s="25"/>
      <c r="D32" s="12"/>
      <c r="E32" s="10" t="str">
        <f>'0.2.Parameters'!$F$101</f>
        <v>Other operating revenues except revenues from subsidiese, fines and penalties</v>
      </c>
      <c r="F32" s="12"/>
      <c r="G32" s="291" t="str">
        <f t="shared" si="21"/>
        <v>EUR thd</v>
      </c>
      <c r="H32" s="416">
        <f>'0.2.Parameters'!H101</f>
        <v>0</v>
      </c>
      <c r="I32" s="215"/>
      <c r="J32" s="107">
        <f>'3.1. Income Statement'!J$15-'3.1. Income Statement'!J$16</f>
        <v>55.3209205486773</v>
      </c>
      <c r="K32" s="107">
        <f>'3.1. Income Statement'!K$15-'3.1. Income Statement'!K$16</f>
        <v>38.743131717782006</v>
      </c>
      <c r="L32" s="107">
        <f>'3.1. Income Statement'!L$15-'3.1. Income Statement'!L$16</f>
        <v>38.872515311056191</v>
      </c>
      <c r="M32" s="107">
        <f>'3.1. Income Statement'!M$15-'3.1. Income Statement'!M$16</f>
        <v>85.872057540685987</v>
      </c>
      <c r="N32" s="107">
        <f ca="1">'3.1. Income Statement'!N$15-'3.1. Income Statement'!N$16</f>
        <v>90.165660417720304</v>
      </c>
      <c r="O32" s="107">
        <f ca="1">'3.1. Income Statement'!O$15-'3.1. Income Statement'!O$16</f>
        <v>94.673943438606315</v>
      </c>
      <c r="P32" s="107">
        <f ca="1">'3.1. Income Statement'!P$15-'3.1. Income Statement'!P$16</f>
        <v>99.407640610536632</v>
      </c>
      <c r="Q32" s="107">
        <f ca="1">'3.1. Income Statement'!Q$15-'3.1. Income Statement'!Q$16</f>
        <v>104.37802264106347</v>
      </c>
      <c r="R32" s="107">
        <f ca="1">'3.1. Income Statement'!R$15-'3.1. Income Statement'!R$16</f>
        <v>109.59692377311663</v>
      </c>
      <c r="S32" s="341"/>
      <c r="T32" s="341"/>
      <c r="U32" s="118"/>
      <c r="V32" s="220">
        <f t="shared" si="1"/>
        <v>-0.16174409291086433</v>
      </c>
      <c r="W32" s="220">
        <f t="shared" si="2"/>
        <v>1.2090687174097554</v>
      </c>
      <c r="X32" s="220">
        <f t="shared" ca="1" si="3"/>
        <v>5.0000000000000044E-2</v>
      </c>
      <c r="Y32" s="122"/>
    </row>
    <row r="33" spans="1:25" ht="12" customHeight="1" outlineLevel="2" x14ac:dyDescent="0.25">
      <c r="A33" s="845"/>
      <c r="B33" s="25"/>
      <c r="D33" s="9" t="s">
        <v>93</v>
      </c>
      <c r="G33" s="310" t="str">
        <f t="shared" si="21"/>
        <v>EUR thd</v>
      </c>
      <c r="H33" s="417"/>
      <c r="I33" s="214"/>
      <c r="J33" s="216">
        <f>SUMIF($H29:$H32,1,J29:J32)</f>
        <v>3960.9216731985393</v>
      </c>
      <c r="K33" s="216">
        <f t="shared" ref="K33" si="22">SUMIF($H29:$H32,1,K29:K32)</f>
        <v>9056.4775486526123</v>
      </c>
      <c r="L33" s="216">
        <f t="shared" ref="L33" si="23">SUMIF($H29:$H32,1,L29:L32)</f>
        <v>6680.459020092404</v>
      </c>
      <c r="M33" s="216">
        <f t="shared" ref="M33" si="24">SUMIF($H29:$H32,1,M29:M32)</f>
        <v>10452.885468283603</v>
      </c>
      <c r="N33" s="216">
        <f t="shared" ref="N33" si="25">SUMIF($H29:$H32,1,N29:N32)</f>
        <v>10975.529741697785</v>
      </c>
      <c r="O33" s="216">
        <f t="shared" ref="O33" si="26">SUMIF($H29:$H32,1,O29:O32)</f>
        <v>11524.306228782672</v>
      </c>
      <c r="P33" s="216">
        <f t="shared" ref="P33:R33" si="27">SUMIF($H29:$H32,1,P29:P32)</f>
        <v>12100.521540221807</v>
      </c>
      <c r="Q33" s="216">
        <f t="shared" si="27"/>
        <v>12705.547617232898</v>
      </c>
      <c r="R33" s="216">
        <f t="shared" si="27"/>
        <v>13340.824998094542</v>
      </c>
      <c r="S33" s="341"/>
      <c r="T33" s="341"/>
      <c r="U33" s="118"/>
      <c r="V33" s="220">
        <f t="shared" si="1"/>
        <v>0.29868859003563819</v>
      </c>
      <c r="W33" s="220">
        <f t="shared" si="2"/>
        <v>0.56469569483849913</v>
      </c>
      <c r="X33" s="220">
        <f t="shared" si="3"/>
        <v>5.0000000000000044E-2</v>
      </c>
      <c r="Y33" s="122"/>
    </row>
    <row r="34" spans="1:25" ht="12" customHeight="1" outlineLevel="2" x14ac:dyDescent="0.25">
      <c r="A34" s="845"/>
      <c r="B34" s="25"/>
      <c r="D34" s="10"/>
      <c r="G34" s="215"/>
      <c r="H34" s="417"/>
      <c r="I34" s="215"/>
      <c r="J34" s="108"/>
      <c r="K34" s="108"/>
      <c r="L34" s="108"/>
      <c r="M34" s="108"/>
      <c r="N34" s="108"/>
      <c r="O34" s="108"/>
      <c r="P34" s="108"/>
      <c r="Q34" s="341"/>
      <c r="R34" s="341"/>
      <c r="S34" s="341"/>
      <c r="T34" s="341"/>
      <c r="U34" s="118"/>
      <c r="V34" s="220">
        <f t="shared" si="1"/>
        <v>0</v>
      </c>
      <c r="W34" s="220">
        <f t="shared" si="2"/>
        <v>0</v>
      </c>
      <c r="X34" s="220">
        <f t="shared" si="3"/>
        <v>0</v>
      </c>
      <c r="Y34" s="122"/>
    </row>
    <row r="35" spans="1:25" s="6" customFormat="1" ht="12" customHeight="1" outlineLevel="2" x14ac:dyDescent="0.25">
      <c r="A35" s="845"/>
      <c r="B35" s="25"/>
      <c r="C35" s="9"/>
      <c r="D35" s="9" t="str">
        <f>"Closing balance "&amp;LOWER(C28)</f>
        <v>Closing balance production in progress</v>
      </c>
      <c r="G35" s="310" t="str">
        <f>"EUR "&amp;Multiplier</f>
        <v>EUR thd</v>
      </c>
      <c r="H35" s="417"/>
      <c r="I35" s="214"/>
      <c r="J35" s="312">
        <f>IF((J$4="Actual"),SUMIF('1.3.Historical BS'!$D$30:$D$38,$C28,'1.3.Historical BS'!O$30:O$38),"n/a")</f>
        <v>380.07874303582832</v>
      </c>
      <c r="K35" s="312">
        <f>IF((K$4="Actual"),SUMIF('1.3.Historical BS'!$D$30:$D$38,$C28,'1.3.Historical BS'!P$30:P$38),"n/a")</f>
        <v>273.7363456874906</v>
      </c>
      <c r="L35" s="312">
        <f>IF((L$4="Actual"),SUMIF('1.3.Historical BS'!$D$30:$D$38,$C28,'1.3.Historical BS'!Q$30:Q$38),"n/a")</f>
        <v>790.14065481678426</v>
      </c>
      <c r="M35" s="312" t="str">
        <f>IF((M$4="Actual"),SUMIF('1.3.Historical BS'!$D$30:$D$38,$C28,'1.3.Historical BS'!R$30:R$38),"n/a")</f>
        <v>n/a</v>
      </c>
      <c r="N35" s="312" t="str">
        <f>IF((N$4="Actual"),SUMIF('1.3.Historical BS'!$D$30:$D$38,$C28,'1.3.Historical BS'!S$30:S$38),"n/a")</f>
        <v>n/a</v>
      </c>
      <c r="O35" s="312" t="str">
        <f>IF((O$4="Actual"),SUMIF('1.3.Historical BS'!$D$30:$D$38,$C28,'1.3.Historical BS'!T$30:T$38),"n/a")</f>
        <v>n/a</v>
      </c>
      <c r="P35" s="312" t="str">
        <f>IF((P$4="Actual"),SUMIF('1.3.Historical BS'!$D$30:$D$38,$C28,'1.3.Historical BS'!U$30:U$38),"n/a")</f>
        <v>n/a</v>
      </c>
      <c r="Q35" s="312" t="str">
        <f>IF((Q$4="Actual"),SUMIF('1.3.Historical BS'!$D$30:$D$38,$C28,'1.3.Historical BS'!V$30:V$38),"n/a")</f>
        <v>n/a</v>
      </c>
      <c r="R35" s="312" t="str">
        <f>IF((R$4="Actual"),SUMIF('1.3.Historical BS'!$D$30:$D$38,$C28,'1.3.Historical BS'!W$30:W$38),"n/a")</f>
        <v>n/a</v>
      </c>
      <c r="S35" s="341"/>
      <c r="T35" s="341"/>
      <c r="U35" s="218"/>
      <c r="V35" s="220">
        <f t="shared" si="1"/>
        <v>0.4418345012012439</v>
      </c>
      <c r="W35" s="220">
        <f t="shared" si="2"/>
        <v>0</v>
      </c>
      <c r="X35" s="220">
        <f t="shared" si="3"/>
        <v>0</v>
      </c>
      <c r="Y35" s="125"/>
    </row>
    <row r="36" spans="1:25" ht="12" customHeight="1" outlineLevel="2" x14ac:dyDescent="0.25">
      <c r="A36" s="845"/>
      <c r="B36" s="25"/>
      <c r="D36" s="10"/>
      <c r="G36" s="215"/>
      <c r="H36" s="417"/>
      <c r="I36" s="215"/>
      <c r="J36" s="108"/>
      <c r="K36" s="108"/>
      <c r="L36" s="108"/>
      <c r="M36" s="108"/>
      <c r="N36" s="108"/>
      <c r="O36" s="108"/>
      <c r="P36" s="108"/>
      <c r="Q36" s="341"/>
      <c r="R36" s="341"/>
      <c r="S36" s="341"/>
      <c r="T36" s="341"/>
      <c r="U36" s="118"/>
      <c r="V36" s="220">
        <f t="shared" si="1"/>
        <v>0</v>
      </c>
      <c r="W36" s="220">
        <f t="shared" si="2"/>
        <v>0</v>
      </c>
      <c r="X36" s="220">
        <f t="shared" si="3"/>
        <v>0</v>
      </c>
      <c r="Y36" s="122"/>
    </row>
    <row r="37" spans="1:25" s="6" customFormat="1" ht="12" customHeight="1" outlineLevel="2" x14ac:dyDescent="0.25">
      <c r="A37" s="845"/>
      <c r="B37" s="25"/>
      <c r="C37" s="9"/>
      <c r="D37" s="9" t="s">
        <v>92</v>
      </c>
      <c r="G37" s="214" t="s">
        <v>16</v>
      </c>
      <c r="H37" s="416" t="str">
        <f>'0.2.Parameters'!H102</f>
        <v>Average</v>
      </c>
      <c r="I37" s="313"/>
      <c r="J37" s="216">
        <f t="shared" ref="J37:T37" si="28">IF(ISERROR(J35/J33*(J$2-J$1+1)),"",J35/J33*(J$2-J$1+1))</f>
        <v>35.120315782154677</v>
      </c>
      <c r="K37" s="216">
        <f t="shared" si="28"/>
        <v>11.032298776117305</v>
      </c>
      <c r="L37" s="216">
        <f t="shared" si="28"/>
        <v>43.170886632298675</v>
      </c>
      <c r="M37" s="430" t="str">
        <f t="shared" ref="M37" si="29">IF(ISERROR(M35/M33*(M$2-M$1+1)),"",M35/M33*(M$2-M$1+1))</f>
        <v/>
      </c>
      <c r="N37" s="430" t="str">
        <f t="shared" si="28"/>
        <v/>
      </c>
      <c r="O37" s="430" t="str">
        <f t="shared" si="28"/>
        <v/>
      </c>
      <c r="P37" s="430" t="str">
        <f t="shared" si="28"/>
        <v/>
      </c>
      <c r="Q37" s="338"/>
      <c r="R37" s="338"/>
      <c r="S37" s="430" t="str">
        <f t="shared" si="28"/>
        <v/>
      </c>
      <c r="T37" s="430" t="str">
        <f t="shared" si="28"/>
        <v/>
      </c>
      <c r="U37" s="218"/>
      <c r="V37" s="220">
        <f t="shared" si="1"/>
        <v>0.10870569411868547</v>
      </c>
      <c r="W37" s="220">
        <f t="shared" si="2"/>
        <v>0</v>
      </c>
      <c r="X37" s="220">
        <f t="shared" si="3"/>
        <v>0</v>
      </c>
      <c r="Y37" s="125"/>
    </row>
    <row r="38" spans="1:25" s="13" customFormat="1" ht="12" customHeight="1" outlineLevel="3" x14ac:dyDescent="0.25">
      <c r="A38" s="850"/>
      <c r="B38" s="56"/>
      <c r="C38" s="43"/>
      <c r="F38" s="11" t="s">
        <v>135</v>
      </c>
      <c r="G38" s="314">
        <f>($F38=H37)*1</f>
        <v>0</v>
      </c>
      <c r="H38" s="417"/>
      <c r="I38" s="315"/>
      <c r="J38" s="223">
        <f>J37</f>
        <v>35.120315782154677</v>
      </c>
      <c r="K38" s="223">
        <f>K37</f>
        <v>11.032298776117305</v>
      </c>
      <c r="L38" s="223">
        <f>L37</f>
        <v>43.170886632298675</v>
      </c>
      <c r="M38" s="341"/>
      <c r="N38" s="341"/>
      <c r="O38" s="341"/>
      <c r="P38" s="341"/>
      <c r="Q38" s="341"/>
      <c r="R38" s="341"/>
      <c r="S38" s="341"/>
      <c r="T38" s="341"/>
      <c r="U38" s="225"/>
      <c r="V38" s="220">
        <f t="shared" si="1"/>
        <v>0.10870569411868547</v>
      </c>
      <c r="W38" s="220">
        <f t="shared" si="2"/>
        <v>-1</v>
      </c>
      <c r="X38" s="220">
        <f t="shared" si="3"/>
        <v>0</v>
      </c>
      <c r="Y38" s="126"/>
    </row>
    <row r="39" spans="1:25" s="13" customFormat="1" ht="12" customHeight="1" outlineLevel="3" x14ac:dyDescent="0.25">
      <c r="A39" s="850"/>
      <c r="B39" s="56"/>
      <c r="C39" s="43"/>
      <c r="F39" s="11" t="s">
        <v>116</v>
      </c>
      <c r="G39" s="316">
        <f>($F39=H37)*1</f>
        <v>1</v>
      </c>
      <c r="H39" s="417"/>
      <c r="I39" s="315"/>
      <c r="J39" s="223">
        <f>IF(ISERROR(AVERAGE($J37:J37)),"",AVERAGE($J37:J37))</f>
        <v>35.120315782154677</v>
      </c>
      <c r="K39" s="223">
        <f>IF(ISERROR(AVERAGE($J37:K37)),"",AVERAGE($J37:K37))</f>
        <v>23.076307279135989</v>
      </c>
      <c r="L39" s="223">
        <f>IF(ISERROR(AVERAGE($J37:L37)),"",AVERAGE($J37:L37))</f>
        <v>29.774500396856883</v>
      </c>
      <c r="M39" s="341"/>
      <c r="N39" s="341"/>
      <c r="O39" s="341"/>
      <c r="P39" s="341"/>
      <c r="Q39" s="341"/>
      <c r="R39" s="341"/>
      <c r="S39" s="341"/>
      <c r="T39" s="341"/>
      <c r="U39" s="225"/>
      <c r="V39" s="220">
        <f t="shared" si="1"/>
        <v>-7.924722720964239E-2</v>
      </c>
      <c r="W39" s="220">
        <f t="shared" si="2"/>
        <v>-1</v>
      </c>
      <c r="X39" s="220">
        <f t="shared" si="3"/>
        <v>0</v>
      </c>
      <c r="Y39" s="126"/>
    </row>
    <row r="40" spans="1:25" s="13" customFormat="1" ht="12" customHeight="1" outlineLevel="3" x14ac:dyDescent="0.25">
      <c r="A40" s="850"/>
      <c r="B40" s="56"/>
      <c r="C40" s="43"/>
      <c r="F40" s="11" t="s">
        <v>118</v>
      </c>
      <c r="G40" s="316">
        <f>($F40=H37)*1</f>
        <v>0</v>
      </c>
      <c r="H40" s="417"/>
      <c r="I40" s="315"/>
      <c r="J40" s="223">
        <f>IF(ISERROR(MIN($J37:J37)),"",MIN($J37:J37))</f>
        <v>35.120315782154677</v>
      </c>
      <c r="K40" s="223">
        <f>IF(ISERROR(MIN($J37:K37)),"",MIN($J37:K37))</f>
        <v>11.032298776117305</v>
      </c>
      <c r="L40" s="223">
        <f>IF(ISERROR(MIN($J37:L37)),"",MIN($J37:L37))</f>
        <v>11.032298776117305</v>
      </c>
      <c r="M40" s="341"/>
      <c r="N40" s="341"/>
      <c r="O40" s="341"/>
      <c r="P40" s="341"/>
      <c r="Q40" s="341"/>
      <c r="R40" s="341"/>
      <c r="S40" s="341"/>
      <c r="T40" s="341"/>
      <c r="U40" s="225"/>
      <c r="V40" s="220">
        <f t="shared" si="1"/>
        <v>-0.43952815446964733</v>
      </c>
      <c r="W40" s="220">
        <f t="shared" si="2"/>
        <v>-1</v>
      </c>
      <c r="X40" s="220">
        <f t="shared" si="3"/>
        <v>0</v>
      </c>
      <c r="Y40" s="126"/>
    </row>
    <row r="41" spans="1:25" s="13" customFormat="1" ht="12" customHeight="1" outlineLevel="3" x14ac:dyDescent="0.25">
      <c r="A41" s="850"/>
      <c r="B41" s="56"/>
      <c r="C41" s="43"/>
      <c r="F41" s="11" t="s">
        <v>117</v>
      </c>
      <c r="G41" s="317">
        <f>($F41=H37)*1</f>
        <v>0</v>
      </c>
      <c r="H41" s="417"/>
      <c r="I41" s="315"/>
      <c r="J41" s="223">
        <f>IF(ISERROR(MAX($J37:J37)),"",MAX($J37:J37))</f>
        <v>35.120315782154677</v>
      </c>
      <c r="K41" s="223">
        <f>IF(ISERROR(MAX($J37:K37)),"",MAX($J37:K37))</f>
        <v>35.120315782154677</v>
      </c>
      <c r="L41" s="223">
        <f>IF(ISERROR(MAX($J37:L37)),"",MAX($J37:L37))</f>
        <v>43.170886632298675</v>
      </c>
      <c r="M41" s="341"/>
      <c r="N41" s="341"/>
      <c r="O41" s="341"/>
      <c r="P41" s="341"/>
      <c r="Q41" s="341"/>
      <c r="R41" s="341"/>
      <c r="S41" s="341"/>
      <c r="T41" s="341"/>
      <c r="U41" s="225"/>
      <c r="V41" s="220">
        <f t="shared" si="1"/>
        <v>0.10870569411868547</v>
      </c>
      <c r="W41" s="220">
        <f t="shared" si="2"/>
        <v>-1</v>
      </c>
      <c r="X41" s="220">
        <f t="shared" si="3"/>
        <v>0</v>
      </c>
      <c r="Y41" s="126"/>
    </row>
    <row r="42" spans="1:25" ht="12" customHeight="1" outlineLevel="2" x14ac:dyDescent="0.25">
      <c r="A42" s="845"/>
      <c r="B42" s="25"/>
      <c r="E42" s="10" t="s">
        <v>91</v>
      </c>
      <c r="G42" s="215" t="s">
        <v>16</v>
      </c>
      <c r="H42" s="418">
        <v>0</v>
      </c>
      <c r="I42" s="318"/>
      <c r="J42" s="117" t="str">
        <f t="shared" ref="J42" si="30">IF(J$4="Estimate",SUMPRODUCT(I38:I41,$G38:$G41),IF(J$4="Forecast",I42,""))</f>
        <v/>
      </c>
      <c r="K42" s="117" t="str">
        <f t="shared" ref="K42" si="31">IF(K$4="Estimate",SUMPRODUCT(J38:J41,$G38:$G41),IF(K$4="Forecast",J42,""))</f>
        <v/>
      </c>
      <c r="L42" s="117" t="str">
        <f t="shared" ref="L42" si="32">IF(L$4="Estimate",SUMPRODUCT(K38:K41,$G38:$G41),IF(L$4="Forecast",K42,""))</f>
        <v/>
      </c>
      <c r="M42" s="117">
        <f>SUMPRODUCT(L38:L41,$G38:$G41)</f>
        <v>29.774500396856883</v>
      </c>
      <c r="N42" s="117">
        <f t="shared" ref="N42" si="33">IF(N$4="Estimate",SUMPRODUCT(M38:M41,$G38:$G41),IF(N$4="Forecast",M42,""))</f>
        <v>29.774500396856883</v>
      </c>
      <c r="O42" s="117">
        <f t="shared" ref="O42" si="34">IF(O$4="Estimate",SUMPRODUCT(N38:N41,$G38:$G41),IF(O$4="Forecast",N42,""))</f>
        <v>29.774500396856883</v>
      </c>
      <c r="P42" s="117">
        <f t="shared" ref="P42" si="35">IF(P$4="Estimate",SUMPRODUCT(O38:O41,$G38:$G41),IF(P$4="Forecast",O42,""))</f>
        <v>29.774500396856883</v>
      </c>
      <c r="Q42" s="117">
        <f t="shared" ref="Q42" si="36">IF(Q$4="Estimate",SUMPRODUCT(P38:P41,$G38:$G41),IF(Q$4="Forecast",P42,""))</f>
        <v>29.774500396856883</v>
      </c>
      <c r="R42" s="117">
        <f t="shared" ref="R42" si="37">IF(R$4="Estimate",SUMPRODUCT(Q38:Q41,$G38:$G41),IF(R$4="Forecast",Q42,""))</f>
        <v>29.774500396856883</v>
      </c>
      <c r="S42" s="341"/>
      <c r="T42" s="341"/>
      <c r="U42" s="118"/>
      <c r="V42" s="220">
        <f t="shared" si="1"/>
        <v>0</v>
      </c>
      <c r="W42" s="220">
        <f t="shared" si="2"/>
        <v>0</v>
      </c>
      <c r="X42" s="220">
        <f t="shared" si="3"/>
        <v>0</v>
      </c>
      <c r="Y42" s="122"/>
    </row>
    <row r="43" spans="1:25" ht="12" customHeight="1" outlineLevel="2" x14ac:dyDescent="0.25">
      <c r="A43" s="845"/>
      <c r="B43" s="25"/>
      <c r="D43" s="9" t="s">
        <v>90</v>
      </c>
      <c r="G43" s="214" t="s">
        <v>16</v>
      </c>
      <c r="H43" s="311"/>
      <c r="I43" s="214"/>
      <c r="J43" s="319">
        <f>SUM(J37,J42)</f>
        <v>35.120315782154677</v>
      </c>
      <c r="K43" s="319">
        <f t="shared" ref="K43" si="38">SUM(K37,K42)</f>
        <v>11.032298776117305</v>
      </c>
      <c r="L43" s="319">
        <f t="shared" ref="L43" si="39">SUM(L37,L42)</f>
        <v>43.170886632298675</v>
      </c>
      <c r="M43" s="319">
        <f t="shared" ref="M43" si="40">SUM(M37,M42)</f>
        <v>29.774500396856883</v>
      </c>
      <c r="N43" s="319">
        <f t="shared" ref="N43" si="41">SUM(N37,N42)</f>
        <v>29.774500396856883</v>
      </c>
      <c r="O43" s="319">
        <f t="shared" ref="O43" si="42">SUM(O37,O42)</f>
        <v>29.774500396856883</v>
      </c>
      <c r="P43" s="319">
        <f t="shared" ref="P43:R43" si="43">SUM(P37,P42)</f>
        <v>29.774500396856883</v>
      </c>
      <c r="Q43" s="319">
        <f t="shared" si="43"/>
        <v>29.774500396856883</v>
      </c>
      <c r="R43" s="319">
        <f t="shared" si="43"/>
        <v>29.774500396856883</v>
      </c>
      <c r="S43" s="341"/>
      <c r="T43" s="341"/>
      <c r="U43" s="118"/>
      <c r="V43" s="220">
        <f t="shared" si="1"/>
        <v>0.10870569411868547</v>
      </c>
      <c r="W43" s="220">
        <f t="shared" si="2"/>
        <v>-0.31031065795667878</v>
      </c>
      <c r="X43" s="220">
        <f t="shared" si="3"/>
        <v>0</v>
      </c>
      <c r="Y43" s="122"/>
    </row>
    <row r="44" spans="1:25" ht="12" customHeight="1" outlineLevel="2" x14ac:dyDescent="0.25">
      <c r="A44" s="845"/>
      <c r="B44" s="25"/>
      <c r="D44" s="10"/>
      <c r="G44" s="215"/>
      <c r="H44" s="311"/>
      <c r="I44" s="215"/>
      <c r="J44" s="108"/>
      <c r="K44" s="108"/>
      <c r="L44" s="108"/>
      <c r="M44" s="108"/>
      <c r="N44" s="108"/>
      <c r="O44" s="108"/>
      <c r="P44" s="108"/>
      <c r="Q44" s="108"/>
      <c r="R44" s="108"/>
      <c r="S44" s="341"/>
      <c r="T44" s="341"/>
      <c r="U44" s="118"/>
      <c r="V44" s="220">
        <f t="shared" si="1"/>
        <v>0</v>
      </c>
      <c r="W44" s="220">
        <f t="shared" si="2"/>
        <v>0</v>
      </c>
      <c r="X44" s="220">
        <f t="shared" si="3"/>
        <v>0</v>
      </c>
      <c r="Y44" s="122"/>
    </row>
    <row r="45" spans="1:25" ht="12" customHeight="1" outlineLevel="1" x14ac:dyDescent="0.25">
      <c r="A45" s="845"/>
      <c r="B45" s="25"/>
      <c r="D45" s="74" t="str">
        <f>D35</f>
        <v>Closing balance production in progress</v>
      </c>
      <c r="E45" s="50"/>
      <c r="F45" s="50"/>
      <c r="G45" s="320" t="str">
        <f>"EUR "&amp;Multiplier</f>
        <v>EUR thd</v>
      </c>
      <c r="H45" s="321"/>
      <c r="I45" s="322"/>
      <c r="J45" s="227">
        <f t="shared" ref="J45:P45" si="44">J43/(J$2-J$1+1)*J33</f>
        <v>380.07874303582838</v>
      </c>
      <c r="K45" s="227">
        <f t="shared" si="44"/>
        <v>273.73634568749054</v>
      </c>
      <c r="L45" s="227">
        <f t="shared" si="44"/>
        <v>790.14065481678426</v>
      </c>
      <c r="M45" s="227">
        <f t="shared" si="44"/>
        <v>852.68340417454704</v>
      </c>
      <c r="N45" s="227">
        <f t="shared" si="44"/>
        <v>892.87135150244603</v>
      </c>
      <c r="O45" s="227">
        <f t="shared" si="44"/>
        <v>940.08345310243817</v>
      </c>
      <c r="P45" s="227">
        <f t="shared" si="44"/>
        <v>987.0876257575602</v>
      </c>
      <c r="Q45" s="227">
        <f t="shared" ref="Q45:R45" si="45">Q43/(Q$2-Q$1+1)*Q33</f>
        <v>1036.4420070454382</v>
      </c>
      <c r="R45" s="227">
        <f t="shared" si="45"/>
        <v>1085.2907081971698</v>
      </c>
      <c r="S45" s="341"/>
      <c r="T45" s="341"/>
      <c r="U45" s="118"/>
      <c r="V45" s="220">
        <f t="shared" si="1"/>
        <v>0.44183450120124368</v>
      </c>
      <c r="W45" s="220">
        <f t="shared" si="2"/>
        <v>7.915394427118172E-2</v>
      </c>
      <c r="X45" s="220">
        <f t="shared" si="3"/>
        <v>5.0000000000000044E-2</v>
      </c>
      <c r="Y45" s="122"/>
    </row>
    <row r="46" spans="1:25" ht="12" customHeight="1" outlineLevel="1" x14ac:dyDescent="0.25">
      <c r="A46" s="845"/>
      <c r="B46" s="25"/>
      <c r="D46" s="10"/>
      <c r="G46" s="215"/>
      <c r="H46" s="311"/>
      <c r="I46" s="215"/>
      <c r="J46" s="108"/>
      <c r="K46" s="108"/>
      <c r="L46" s="108"/>
      <c r="M46" s="108"/>
      <c r="N46" s="108"/>
      <c r="O46" s="108"/>
      <c r="P46" s="108"/>
      <c r="Q46" s="108"/>
      <c r="R46" s="108"/>
      <c r="S46" s="108"/>
      <c r="T46" s="108"/>
      <c r="U46" s="118"/>
      <c r="V46" s="220">
        <f t="shared" si="1"/>
        <v>0</v>
      </c>
      <c r="W46" s="220">
        <f t="shared" si="2"/>
        <v>0</v>
      </c>
      <c r="X46" s="220">
        <f t="shared" si="3"/>
        <v>0</v>
      </c>
      <c r="Y46" s="122"/>
    </row>
    <row r="47" spans="1:25" ht="12" customHeight="1" outlineLevel="1" x14ac:dyDescent="0.25">
      <c r="A47" s="845"/>
      <c r="B47" s="25">
        <f ca="1">MAX($A$1:B46)+0.1</f>
        <v>1.3000000000000003</v>
      </c>
      <c r="C47" s="9" t="str">
        <f>'1.3.Historical BS'!D33</f>
        <v>Good purchased for resale</v>
      </c>
      <c r="D47" s="10"/>
      <c r="H47" s="85"/>
      <c r="J47" s="123"/>
      <c r="V47" s="220">
        <f t="shared" si="1"/>
        <v>0</v>
      </c>
      <c r="W47" s="220">
        <f t="shared" si="2"/>
        <v>0</v>
      </c>
      <c r="X47" s="220">
        <f t="shared" si="3"/>
        <v>0</v>
      </c>
      <c r="Y47" s="122"/>
    </row>
    <row r="48" spans="1:25" ht="12" customHeight="1" outlineLevel="1" x14ac:dyDescent="0.25">
      <c r="A48" s="845"/>
      <c r="B48" s="25"/>
      <c r="E48" s="10" t="str">
        <f>'0.2.Parameters'!$F$98</f>
        <v>Sale of finished goods, of which:</v>
      </c>
      <c r="G48" s="291" t="str">
        <f t="shared" ref="G48:G52" si="46">"EUR "&amp;Multiplier</f>
        <v>EUR thd</v>
      </c>
      <c r="H48" s="416">
        <f>'0.2.Parameters'!H105</f>
        <v>1</v>
      </c>
      <c r="I48" s="215"/>
      <c r="J48" s="107">
        <f>'3.1. Income Statement'!J$10</f>
        <v>3581.311171728868</v>
      </c>
      <c r="K48" s="107">
        <f>'3.1. Income Statement'!K$10</f>
        <v>8365.4754405551539</v>
      </c>
      <c r="L48" s="107">
        <f>'3.1. Income Statement'!L$10</f>
        <v>6263.9606425271304</v>
      </c>
      <c r="M48" s="107">
        <f>'3.1. Income Statement'!M$10</f>
        <v>9801.1922500000001</v>
      </c>
      <c r="N48" s="107">
        <f>'3.1. Income Statement'!N$10</f>
        <v>10291.251862500001</v>
      </c>
      <c r="O48" s="107">
        <f>'3.1. Income Statement'!O$10</f>
        <v>10805.814455625001</v>
      </c>
      <c r="P48" s="107">
        <f>'3.1. Income Statement'!P$10</f>
        <v>11346.105178406251</v>
      </c>
      <c r="Q48" s="107">
        <f>'3.1. Income Statement'!Q$10</f>
        <v>11913.410437326564</v>
      </c>
      <c r="R48" s="107">
        <f>'3.1. Income Statement'!R$10</f>
        <v>12509.080959192892</v>
      </c>
      <c r="S48" s="341"/>
      <c r="T48" s="341"/>
      <c r="U48" s="118"/>
      <c r="V48" s="220">
        <f t="shared" si="1"/>
        <v>0.32252375469423566</v>
      </c>
      <c r="W48" s="220">
        <f t="shared" si="2"/>
        <v>0.56469569483849913</v>
      </c>
      <c r="X48" s="220">
        <f t="shared" si="3"/>
        <v>5.0000000000000044E-2</v>
      </c>
      <c r="Y48" s="122"/>
    </row>
    <row r="49" spans="1:25" ht="12" customHeight="1" outlineLevel="1" x14ac:dyDescent="0.25">
      <c r="A49" s="845"/>
      <c r="B49" s="25"/>
      <c r="D49" s="12"/>
      <c r="E49" s="10" t="str">
        <f>'0.2.Parameters'!$F$99</f>
        <v>Services rendered</v>
      </c>
      <c r="F49" s="12"/>
      <c r="G49" s="291" t="str">
        <f t="shared" si="46"/>
        <v>EUR thd</v>
      </c>
      <c r="H49" s="416">
        <f>'0.2.Parameters'!H106</f>
        <v>1</v>
      </c>
      <c r="I49" s="215"/>
      <c r="J49" s="107">
        <f>'3.1. Income Statement'!J$11</f>
        <v>379.61050146967131</v>
      </c>
      <c r="K49" s="107">
        <f>'3.1. Income Statement'!K$11</f>
        <v>691.0021080974584</v>
      </c>
      <c r="L49" s="107">
        <f>'3.1. Income Statement'!L$11</f>
        <v>416.49837756527342</v>
      </c>
      <c r="M49" s="107">
        <f>'3.1. Income Statement'!M$11</f>
        <v>651.69321828360307</v>
      </c>
      <c r="N49" s="107">
        <f>'3.1. Income Statement'!N$11</f>
        <v>684.27787919778325</v>
      </c>
      <c r="O49" s="107">
        <f>'3.1. Income Statement'!O$11</f>
        <v>718.49177315767247</v>
      </c>
      <c r="P49" s="107">
        <f>'3.1. Income Statement'!P$11</f>
        <v>754.41636181555612</v>
      </c>
      <c r="Q49" s="107">
        <f>'3.1. Income Statement'!Q$11</f>
        <v>792.13717990633393</v>
      </c>
      <c r="R49" s="107">
        <f>'3.1. Income Statement'!R$11</f>
        <v>831.7440389016507</v>
      </c>
      <c r="S49" s="341"/>
      <c r="T49" s="341"/>
      <c r="U49" s="118"/>
      <c r="V49" s="220">
        <f t="shared" si="1"/>
        <v>4.7460242708311728E-2</v>
      </c>
      <c r="W49" s="220">
        <f t="shared" si="2"/>
        <v>0.56469569483849913</v>
      </c>
      <c r="X49" s="220">
        <f t="shared" si="3"/>
        <v>5.0000000000000044E-2</v>
      </c>
      <c r="Y49" s="122"/>
    </row>
    <row r="50" spans="1:25" ht="12" customHeight="1" outlineLevel="1" x14ac:dyDescent="0.25">
      <c r="A50" s="845"/>
      <c r="B50" s="25"/>
      <c r="D50" s="12"/>
      <c r="E50" s="10" t="str">
        <f>'0.2.Parameters'!$F$100</f>
        <v>Sale of goods purchased for resale</v>
      </c>
      <c r="F50" s="12"/>
      <c r="G50" s="291" t="str">
        <f t="shared" si="46"/>
        <v>EUR thd</v>
      </c>
      <c r="H50" s="416">
        <f>'0.2.Parameters'!H107</f>
        <v>0</v>
      </c>
      <c r="I50" s="215"/>
      <c r="J50" s="107">
        <f>'3.1. Income Statement'!J$12</f>
        <v>1025.8539703393606</v>
      </c>
      <c r="K50" s="107">
        <f>'3.1. Income Statement'!K$12</f>
        <v>636.83500142291098</v>
      </c>
      <c r="L50" s="107">
        <f>'3.1. Income Statement'!L$12</f>
        <v>913.85854303212636</v>
      </c>
      <c r="M50" s="107">
        <f>'3.1. Income Statement'!M$12</f>
        <v>1429.9105279737514</v>
      </c>
      <c r="N50" s="107">
        <f>'3.1. Income Statement'!N$12</f>
        <v>1501.406054372439</v>
      </c>
      <c r="O50" s="107">
        <f>'3.1. Income Statement'!O$12</f>
        <v>1576.4763570910611</v>
      </c>
      <c r="P50" s="107">
        <f>'3.1. Income Statement'!P$12</f>
        <v>1655.3001749456143</v>
      </c>
      <c r="Q50" s="107">
        <f>'3.1. Income Statement'!Q$12</f>
        <v>1738.0651836928951</v>
      </c>
      <c r="R50" s="107">
        <f>'3.1. Income Statement'!R$12</f>
        <v>1824.9684428775399</v>
      </c>
      <c r="S50" s="341"/>
      <c r="T50" s="341"/>
      <c r="U50" s="118"/>
      <c r="V50" s="220">
        <f t="shared" si="1"/>
        <v>-5.6163613243395027E-2</v>
      </c>
      <c r="W50" s="220">
        <f t="shared" si="2"/>
        <v>0.56469569483849913</v>
      </c>
      <c r="X50" s="220">
        <f t="shared" si="3"/>
        <v>5.0000000000000044E-2</v>
      </c>
      <c r="Y50" s="122"/>
    </row>
    <row r="51" spans="1:25" ht="12" customHeight="1" outlineLevel="1" x14ac:dyDescent="0.25">
      <c r="A51" s="845"/>
      <c r="B51" s="25"/>
      <c r="D51" s="12"/>
      <c r="E51" s="10" t="str">
        <f>'0.2.Parameters'!$F$101</f>
        <v>Other operating revenues except revenues from subsidiese, fines and penalties</v>
      </c>
      <c r="F51" s="12"/>
      <c r="G51" s="291" t="str">
        <f t="shared" si="46"/>
        <v>EUR thd</v>
      </c>
      <c r="H51" s="416">
        <f>'0.2.Parameters'!H108</f>
        <v>0</v>
      </c>
      <c r="I51" s="215"/>
      <c r="J51" s="107">
        <f>'3.1. Income Statement'!J$15-'3.1. Income Statement'!J$16</f>
        <v>55.3209205486773</v>
      </c>
      <c r="K51" s="107">
        <f>'3.1. Income Statement'!K$15-'3.1. Income Statement'!K$16</f>
        <v>38.743131717782006</v>
      </c>
      <c r="L51" s="107">
        <f>'3.1. Income Statement'!L$15-'3.1. Income Statement'!L$16</f>
        <v>38.872515311056191</v>
      </c>
      <c r="M51" s="107">
        <f>'3.1. Income Statement'!M$15-'3.1. Income Statement'!M$16</f>
        <v>85.872057540685987</v>
      </c>
      <c r="N51" s="107">
        <f ca="1">'3.1. Income Statement'!N$15-'3.1. Income Statement'!N$16</f>
        <v>90.165660417720304</v>
      </c>
      <c r="O51" s="107">
        <f ca="1">'3.1. Income Statement'!O$15-'3.1. Income Statement'!O$16</f>
        <v>94.673943438606315</v>
      </c>
      <c r="P51" s="107">
        <f ca="1">'3.1. Income Statement'!P$15-'3.1. Income Statement'!P$16</f>
        <v>99.407640610536632</v>
      </c>
      <c r="Q51" s="107">
        <f ca="1">'3.1. Income Statement'!Q$15-'3.1. Income Statement'!Q$16</f>
        <v>104.37802264106347</v>
      </c>
      <c r="R51" s="107">
        <f ca="1">'3.1. Income Statement'!R$15-'3.1. Income Statement'!R$16</f>
        <v>109.59692377311663</v>
      </c>
      <c r="S51" s="341"/>
      <c r="T51" s="341"/>
      <c r="U51" s="118"/>
      <c r="V51" s="220">
        <f t="shared" si="1"/>
        <v>-0.16174409291086433</v>
      </c>
      <c r="W51" s="220">
        <f t="shared" si="2"/>
        <v>1.2090687174097554</v>
      </c>
      <c r="X51" s="220">
        <f t="shared" ca="1" si="3"/>
        <v>5.0000000000000044E-2</v>
      </c>
      <c r="Y51" s="122"/>
    </row>
    <row r="52" spans="1:25" ht="12" customHeight="1" outlineLevel="1" x14ac:dyDescent="0.25">
      <c r="A52" s="845"/>
      <c r="B52" s="25"/>
      <c r="D52" s="9" t="s">
        <v>93</v>
      </c>
      <c r="G52" s="310" t="str">
        <f t="shared" si="46"/>
        <v>EUR thd</v>
      </c>
      <c r="H52" s="417"/>
      <c r="I52" s="214"/>
      <c r="J52" s="216">
        <f>SUMIF($H48:$H51,1,J48:J51)</f>
        <v>3960.9216731985393</v>
      </c>
      <c r="K52" s="216">
        <f t="shared" ref="K52" si="47">SUMIF($H48:$H51,1,K48:K51)</f>
        <v>9056.4775486526123</v>
      </c>
      <c r="L52" s="216">
        <f t="shared" ref="L52" si="48">SUMIF($H48:$H51,1,L48:L51)</f>
        <v>6680.459020092404</v>
      </c>
      <c r="M52" s="216">
        <f t="shared" ref="M52" si="49">SUMIF($H48:$H51,1,M48:M51)</f>
        <v>10452.885468283603</v>
      </c>
      <c r="N52" s="216">
        <f t="shared" ref="N52" si="50">SUMIF($H48:$H51,1,N48:N51)</f>
        <v>10975.529741697785</v>
      </c>
      <c r="O52" s="216">
        <f t="shared" ref="O52" si="51">SUMIF($H48:$H51,1,O48:O51)</f>
        <v>11524.306228782672</v>
      </c>
      <c r="P52" s="216">
        <f t="shared" ref="P52:R52" si="52">SUMIF($H48:$H51,1,P48:P51)</f>
        <v>12100.521540221807</v>
      </c>
      <c r="Q52" s="216">
        <f t="shared" si="52"/>
        <v>12705.547617232898</v>
      </c>
      <c r="R52" s="216">
        <f t="shared" si="52"/>
        <v>13340.824998094542</v>
      </c>
      <c r="S52" s="341"/>
      <c r="T52" s="341"/>
      <c r="U52" s="118"/>
      <c r="V52" s="220">
        <f t="shared" si="1"/>
        <v>0.29868859003563819</v>
      </c>
      <c r="W52" s="220">
        <f t="shared" si="2"/>
        <v>0.56469569483849913</v>
      </c>
      <c r="X52" s="220">
        <f t="shared" si="3"/>
        <v>5.0000000000000044E-2</v>
      </c>
      <c r="Y52" s="122"/>
    </row>
    <row r="53" spans="1:25" ht="12" customHeight="1" outlineLevel="1" x14ac:dyDescent="0.25">
      <c r="A53" s="845"/>
      <c r="B53" s="25"/>
      <c r="D53" s="10"/>
      <c r="G53" s="215"/>
      <c r="H53" s="417"/>
      <c r="I53" s="215"/>
      <c r="J53" s="108"/>
      <c r="K53" s="108"/>
      <c r="L53" s="108"/>
      <c r="M53" s="108"/>
      <c r="N53" s="108"/>
      <c r="O53" s="108"/>
      <c r="P53" s="108"/>
      <c r="Q53" s="108"/>
      <c r="R53" s="108"/>
      <c r="S53" s="341"/>
      <c r="T53" s="341"/>
      <c r="U53" s="118"/>
      <c r="V53" s="220">
        <f t="shared" si="1"/>
        <v>0</v>
      </c>
      <c r="W53" s="220">
        <f t="shared" si="2"/>
        <v>0</v>
      </c>
      <c r="X53" s="220">
        <f t="shared" si="3"/>
        <v>0</v>
      </c>
      <c r="Y53" s="122"/>
    </row>
    <row r="54" spans="1:25" ht="12" customHeight="1" outlineLevel="1" x14ac:dyDescent="0.25">
      <c r="A54" s="845"/>
      <c r="B54" s="25"/>
      <c r="D54" s="9" t="str">
        <f>"Closing balance "&amp;LOWER(C47)</f>
        <v>Closing balance good purchased for resale</v>
      </c>
      <c r="E54" s="6"/>
      <c r="F54" s="6"/>
      <c r="G54" s="310" t="str">
        <f>"EUR "&amp;Multiplier</f>
        <v>EUR thd</v>
      </c>
      <c r="H54" s="417"/>
      <c r="I54" s="214"/>
      <c r="J54" s="312">
        <f>IF((J$4="Actual"),SUMIF('1.3.Historical BS'!$D$30:$D$38,$C47,'1.3.Historical BS'!O$30:O$38),"n/a")</f>
        <v>126.38594393428903</v>
      </c>
      <c r="K54" s="312">
        <f>IF((K$4="Actual"),SUMIF('1.3.Historical BS'!$D$30:$D$38,$C47,'1.3.Historical BS'!P$30:P$38),"n/a")</f>
        <v>170.18887911238923</v>
      </c>
      <c r="L54" s="312">
        <f>IF((L$4="Actual"),SUMIF('1.3.Historical BS'!$D$30:$D$38,$C47,'1.3.Historical BS'!Q$30:Q$38),"n/a")</f>
        <v>193.35052852762712</v>
      </c>
      <c r="M54" s="312" t="str">
        <f>IF((M$4="Actual"),SUMIF('1.3.Historical BS'!$D$30:$D$38,$C47,'1.3.Historical BS'!R$30:R$38),"n/a")</f>
        <v>n/a</v>
      </c>
      <c r="N54" s="312" t="str">
        <f>IF((N$4="Actual"),SUMIF('1.3.Historical BS'!$D$30:$D$38,$C47,'1.3.Historical BS'!S$30:S$38),"n/a")</f>
        <v>n/a</v>
      </c>
      <c r="O54" s="312" t="str">
        <f>IF((O$4="Actual"),SUMIF('1.3.Historical BS'!$D$30:$D$38,$C47,'1.3.Historical BS'!T$30:T$38),"n/a")</f>
        <v>n/a</v>
      </c>
      <c r="P54" s="312" t="str">
        <f>IF((P$4="Actual"),SUMIF('1.3.Historical BS'!$D$30:$D$38,$C47,'1.3.Historical BS'!U$30:U$38),"n/a")</f>
        <v>n/a</v>
      </c>
      <c r="Q54" s="312" t="str">
        <f>IF((Q$4="Actual"),SUMIF('1.3.Historical BS'!$D$30:$D$38,$C47,'1.3.Historical BS'!V$30:V$38),"n/a")</f>
        <v>n/a</v>
      </c>
      <c r="R54" s="312" t="str">
        <f>IF((R$4="Actual"),SUMIF('1.3.Historical BS'!$D$30:$D$38,$C47,'1.3.Historical BS'!W$30:W$38),"n/a")</f>
        <v>n/a</v>
      </c>
      <c r="S54" s="341"/>
      <c r="T54" s="341"/>
      <c r="U54" s="218"/>
      <c r="V54" s="220">
        <f t="shared" si="1"/>
        <v>0.23686782883623603</v>
      </c>
      <c r="W54" s="220">
        <f t="shared" si="2"/>
        <v>0</v>
      </c>
      <c r="X54" s="220">
        <f t="shared" si="3"/>
        <v>0</v>
      </c>
      <c r="Y54" s="122"/>
    </row>
    <row r="55" spans="1:25" ht="12" customHeight="1" outlineLevel="1" x14ac:dyDescent="0.25">
      <c r="A55" s="845"/>
      <c r="B55" s="25"/>
      <c r="D55" s="10"/>
      <c r="G55" s="215"/>
      <c r="H55" s="417"/>
      <c r="I55" s="215"/>
      <c r="J55" s="108"/>
      <c r="K55" s="108"/>
      <c r="L55" s="108"/>
      <c r="M55" s="108"/>
      <c r="N55" s="108"/>
      <c r="O55" s="108"/>
      <c r="P55" s="108"/>
      <c r="Q55" s="341"/>
      <c r="R55" s="341"/>
      <c r="S55" s="341"/>
      <c r="T55" s="341"/>
      <c r="U55" s="118"/>
      <c r="V55" s="220">
        <f t="shared" ref="V55:V118" si="53">IF(ISERROR((($L55/$J55)^(1/($L$3-$J$3))-1)),0,(($L55/$J55)^(1/($L$3-$J$3))-1))</f>
        <v>0</v>
      </c>
      <c r="W55" s="220">
        <f t="shared" ref="W55:W118" si="54">IF(ISERROR($M55/$L55-1),0,$M55/$L55-1)</f>
        <v>0</v>
      </c>
      <c r="X55" s="220">
        <f t="shared" ref="X55:X118" si="55">IF(ISERROR((($P55/$M55)^(1/($P$3-$M$3))-1)),0,(($P55/$M55)^(1/($P$3-$M$3))-1))</f>
        <v>0</v>
      </c>
      <c r="Y55" s="122"/>
    </row>
    <row r="56" spans="1:25" ht="12" customHeight="1" outlineLevel="1" x14ac:dyDescent="0.25">
      <c r="A56" s="845"/>
      <c r="B56" s="25"/>
      <c r="D56" s="9" t="s">
        <v>92</v>
      </c>
      <c r="E56" s="6"/>
      <c r="F56" s="6"/>
      <c r="G56" s="214" t="s">
        <v>16</v>
      </c>
      <c r="H56" s="416" t="str">
        <f>'0.2.Parameters'!H109</f>
        <v>Average</v>
      </c>
      <c r="I56" s="313"/>
      <c r="J56" s="216">
        <f t="shared" ref="J56:P56" si="56">IF(ISERROR(J54/J52*(J$2-J$1+1)),"",J54/J52*(J$2-J$1+1))</f>
        <v>11.678407021514246</v>
      </c>
      <c r="K56" s="216">
        <f t="shared" si="56"/>
        <v>6.8590619854475197</v>
      </c>
      <c r="L56" s="216">
        <f t="shared" si="56"/>
        <v>10.56408589594308</v>
      </c>
      <c r="M56" s="430" t="str">
        <f t="shared" si="56"/>
        <v/>
      </c>
      <c r="N56" s="430" t="str">
        <f t="shared" si="56"/>
        <v/>
      </c>
      <c r="O56" s="430" t="str">
        <f t="shared" si="56"/>
        <v/>
      </c>
      <c r="P56" s="430" t="str">
        <f t="shared" si="56"/>
        <v/>
      </c>
      <c r="Q56" s="341"/>
      <c r="R56" s="341"/>
      <c r="S56" s="341"/>
      <c r="T56" s="341"/>
      <c r="U56" s="218"/>
      <c r="V56" s="220">
        <f t="shared" si="53"/>
        <v>-4.8904431430616513E-2</v>
      </c>
      <c r="W56" s="220">
        <f t="shared" si="54"/>
        <v>0</v>
      </c>
      <c r="X56" s="220">
        <f t="shared" si="55"/>
        <v>0</v>
      </c>
      <c r="Y56" s="122"/>
    </row>
    <row r="57" spans="1:25" ht="12" customHeight="1" outlineLevel="1" x14ac:dyDescent="0.25">
      <c r="A57" s="845"/>
      <c r="B57" s="56"/>
      <c r="C57" s="43"/>
      <c r="D57" s="13"/>
      <c r="E57" s="13"/>
      <c r="F57" s="11" t="s">
        <v>135</v>
      </c>
      <c r="G57" s="314">
        <f>($F57=H56)*1</f>
        <v>0</v>
      </c>
      <c r="H57" s="417"/>
      <c r="I57" s="315"/>
      <c r="J57" s="223">
        <f>J56</f>
        <v>11.678407021514246</v>
      </c>
      <c r="K57" s="223">
        <f>K56</f>
        <v>6.8590619854475197</v>
      </c>
      <c r="L57" s="223">
        <f>L56</f>
        <v>10.56408589594308</v>
      </c>
      <c r="M57" s="341"/>
      <c r="N57" s="341"/>
      <c r="O57" s="341"/>
      <c r="P57" s="341"/>
      <c r="Q57" s="341"/>
      <c r="R57" s="341"/>
      <c r="S57" s="341"/>
      <c r="T57" s="341"/>
      <c r="U57" s="225"/>
      <c r="V57" s="220">
        <f t="shared" si="53"/>
        <v>-4.8904431430616513E-2</v>
      </c>
      <c r="W57" s="220">
        <f t="shared" si="54"/>
        <v>-1</v>
      </c>
      <c r="X57" s="220">
        <f t="shared" si="55"/>
        <v>0</v>
      </c>
      <c r="Y57" s="122"/>
    </row>
    <row r="58" spans="1:25" ht="12" customHeight="1" outlineLevel="1" x14ac:dyDescent="0.25">
      <c r="A58" s="845"/>
      <c r="B58" s="56"/>
      <c r="C58" s="43"/>
      <c r="D58" s="13"/>
      <c r="E58" s="13"/>
      <c r="F58" s="11" t="s">
        <v>116</v>
      </c>
      <c r="G58" s="316">
        <f>($F58=H56)*1</f>
        <v>1</v>
      </c>
      <c r="H58" s="417"/>
      <c r="I58" s="315"/>
      <c r="J58" s="223">
        <f>IF(ISERROR(AVERAGE($J56:J56)),"",AVERAGE($J56:J56))</f>
        <v>11.678407021514246</v>
      </c>
      <c r="K58" s="223">
        <f>IF(ISERROR(AVERAGE($J56:K56)),"",AVERAGE($J56:K56))</f>
        <v>9.2687345034808821</v>
      </c>
      <c r="L58" s="223">
        <f>IF(ISERROR(AVERAGE($J56:L56)),"",AVERAGE($J56:L56))</f>
        <v>9.700518300968282</v>
      </c>
      <c r="M58" s="341"/>
      <c r="N58" s="341"/>
      <c r="O58" s="341"/>
      <c r="P58" s="341"/>
      <c r="Q58" s="341"/>
      <c r="R58" s="341"/>
      <c r="S58" s="341"/>
      <c r="T58" s="341"/>
      <c r="U58" s="225"/>
      <c r="V58" s="220">
        <f t="shared" si="53"/>
        <v>-8.8607047591253485E-2</v>
      </c>
      <c r="W58" s="220">
        <f t="shared" si="54"/>
        <v>-1</v>
      </c>
      <c r="X58" s="220">
        <f t="shared" si="55"/>
        <v>0</v>
      </c>
      <c r="Y58" s="122"/>
    </row>
    <row r="59" spans="1:25" ht="12" customHeight="1" outlineLevel="1" x14ac:dyDescent="0.25">
      <c r="A59" s="845"/>
      <c r="B59" s="56"/>
      <c r="C59" s="43"/>
      <c r="D59" s="13"/>
      <c r="E59" s="13"/>
      <c r="F59" s="11" t="s">
        <v>118</v>
      </c>
      <c r="G59" s="316">
        <f>($F59=H56)*1</f>
        <v>0</v>
      </c>
      <c r="H59" s="417"/>
      <c r="I59" s="315"/>
      <c r="J59" s="223">
        <f>IF(ISERROR(MIN($J56:J56)),"",MIN($J56:J56))</f>
        <v>11.678407021514246</v>
      </c>
      <c r="K59" s="223">
        <f>IF(ISERROR(MIN($J56:K56)),"",MIN($J56:K56))</f>
        <v>6.8590619854475197</v>
      </c>
      <c r="L59" s="223">
        <f>IF(ISERROR(MIN($J56:L56)),"",MIN($J56:L56))</f>
        <v>6.8590619854475197</v>
      </c>
      <c r="M59" s="341"/>
      <c r="N59" s="341"/>
      <c r="O59" s="341"/>
      <c r="P59" s="341"/>
      <c r="Q59" s="341"/>
      <c r="R59" s="341"/>
      <c r="S59" s="341"/>
      <c r="T59" s="341"/>
      <c r="U59" s="225"/>
      <c r="V59" s="220">
        <f t="shared" si="53"/>
        <v>-0.23362635708900026</v>
      </c>
      <c r="W59" s="220">
        <f t="shared" si="54"/>
        <v>-1</v>
      </c>
      <c r="X59" s="220">
        <f t="shared" si="55"/>
        <v>0</v>
      </c>
      <c r="Y59" s="122"/>
    </row>
    <row r="60" spans="1:25" ht="12" customHeight="1" outlineLevel="1" x14ac:dyDescent="0.25">
      <c r="A60" s="845"/>
      <c r="B60" s="56"/>
      <c r="C60" s="43"/>
      <c r="D60" s="13"/>
      <c r="E60" s="13"/>
      <c r="F60" s="11" t="s">
        <v>117</v>
      </c>
      <c r="G60" s="317">
        <f>($F60=H56)*1</f>
        <v>0</v>
      </c>
      <c r="H60" s="417"/>
      <c r="I60" s="315"/>
      <c r="J60" s="223">
        <f>IF(ISERROR(MAX($J56:J56)),"",MAX($J56:J56))</f>
        <v>11.678407021514246</v>
      </c>
      <c r="K60" s="223">
        <f>IF(ISERROR(MAX($J56:K56)),"",MAX($J56:K56))</f>
        <v>11.678407021514246</v>
      </c>
      <c r="L60" s="223">
        <f>IF(ISERROR(MAX($J56:L56)),"",MAX($J56:L56))</f>
        <v>11.678407021514246</v>
      </c>
      <c r="M60" s="341"/>
      <c r="N60" s="341"/>
      <c r="O60" s="341"/>
      <c r="P60" s="341"/>
      <c r="Q60" s="341"/>
      <c r="R60" s="341"/>
      <c r="S60" s="341"/>
      <c r="T60" s="341"/>
      <c r="U60" s="225"/>
      <c r="V60" s="220">
        <f t="shared" si="53"/>
        <v>0</v>
      </c>
      <c r="W60" s="220">
        <f t="shared" si="54"/>
        <v>-1</v>
      </c>
      <c r="X60" s="220">
        <f t="shared" si="55"/>
        <v>0</v>
      </c>
      <c r="Y60" s="122"/>
    </row>
    <row r="61" spans="1:25" ht="12" customHeight="1" outlineLevel="1" x14ac:dyDescent="0.25">
      <c r="A61" s="845"/>
      <c r="B61" s="25"/>
      <c r="E61" s="10" t="s">
        <v>91</v>
      </c>
      <c r="G61" s="215" t="s">
        <v>16</v>
      </c>
      <c r="H61" s="418">
        <v>0</v>
      </c>
      <c r="I61" s="318"/>
      <c r="J61" s="117" t="str">
        <f t="shared" ref="J61" si="57">IF(J$4="Estimate",SUMPRODUCT(I57:I60,$G57:$G60),IF(J$4="Forecast",I61,""))</f>
        <v/>
      </c>
      <c r="K61" s="117" t="str">
        <f t="shared" ref="K61" si="58">IF(K$4="Estimate",SUMPRODUCT(J57:J60,$G57:$G60),IF(K$4="Forecast",J61,""))</f>
        <v/>
      </c>
      <c r="L61" s="117" t="str">
        <f t="shared" ref="L61" si="59">IF(L$4="Estimate",SUMPRODUCT(K57:K60,$G57:$G60),IF(L$4="Forecast",K61,""))</f>
        <v/>
      </c>
      <c r="M61" s="117">
        <f>SUMPRODUCT(L57:L60,$G57:$G60)</f>
        <v>9.700518300968282</v>
      </c>
      <c r="N61" s="117">
        <f t="shared" ref="N61" si="60">IF(N$4="Estimate",SUMPRODUCT(M57:M60,$G57:$G60),IF(N$4="Forecast",M61,""))</f>
        <v>9.700518300968282</v>
      </c>
      <c r="O61" s="117">
        <f t="shared" ref="O61" si="61">IF(O$4="Estimate",SUMPRODUCT(N57:N60,$G57:$G60),IF(O$4="Forecast",N61,""))</f>
        <v>9.700518300968282</v>
      </c>
      <c r="P61" s="117">
        <f t="shared" ref="P61" si="62">IF(P$4="Estimate",SUMPRODUCT(O57:O60,$G57:$G60),IF(P$4="Forecast",O61,""))</f>
        <v>9.700518300968282</v>
      </c>
      <c r="Q61" s="117">
        <f t="shared" ref="Q61" si="63">IF(Q$4="Estimate",SUMPRODUCT(P57:P60,$G57:$G60),IF(Q$4="Forecast",P61,""))</f>
        <v>9.700518300968282</v>
      </c>
      <c r="R61" s="117">
        <f t="shared" ref="R61" si="64">IF(R$4="Estimate",SUMPRODUCT(Q57:Q60,$G57:$G60),IF(R$4="Forecast",Q61,""))</f>
        <v>9.700518300968282</v>
      </c>
      <c r="S61" s="341"/>
      <c r="T61" s="341"/>
      <c r="U61" s="118"/>
      <c r="V61" s="220">
        <f t="shared" si="53"/>
        <v>0</v>
      </c>
      <c r="W61" s="220">
        <f t="shared" si="54"/>
        <v>0</v>
      </c>
      <c r="X61" s="220">
        <f t="shared" si="55"/>
        <v>0</v>
      </c>
      <c r="Y61" s="122"/>
    </row>
    <row r="62" spans="1:25" ht="12" customHeight="1" outlineLevel="1" x14ac:dyDescent="0.25">
      <c r="A62" s="845"/>
      <c r="B62" s="25"/>
      <c r="D62" s="9" t="s">
        <v>90</v>
      </c>
      <c r="G62" s="214" t="s">
        <v>16</v>
      </c>
      <c r="H62" s="311"/>
      <c r="I62" s="214"/>
      <c r="J62" s="319">
        <f>SUM(J56,J61)</f>
        <v>11.678407021514246</v>
      </c>
      <c r="K62" s="319">
        <f t="shared" ref="K62" si="65">SUM(K56,K61)</f>
        <v>6.8590619854475197</v>
      </c>
      <c r="L62" s="319">
        <f t="shared" ref="L62" si="66">SUM(L56,L61)</f>
        <v>10.56408589594308</v>
      </c>
      <c r="M62" s="319">
        <f t="shared" ref="M62" si="67">SUM(M56,M61)</f>
        <v>9.700518300968282</v>
      </c>
      <c r="N62" s="319">
        <f t="shared" ref="N62" si="68">SUM(N56,N61)</f>
        <v>9.700518300968282</v>
      </c>
      <c r="O62" s="319">
        <f t="shared" ref="O62" si="69">SUM(O56,O61)</f>
        <v>9.700518300968282</v>
      </c>
      <c r="P62" s="319">
        <f t="shared" ref="P62:R62" si="70">SUM(P56,P61)</f>
        <v>9.700518300968282</v>
      </c>
      <c r="Q62" s="319">
        <f t="shared" si="70"/>
        <v>9.700518300968282</v>
      </c>
      <c r="R62" s="319">
        <f t="shared" si="70"/>
        <v>9.700518300968282</v>
      </c>
      <c r="S62" s="341"/>
      <c r="T62" s="341"/>
      <c r="U62" s="118"/>
      <c r="V62" s="220">
        <f t="shared" si="53"/>
        <v>-4.8904431430616513E-2</v>
      </c>
      <c r="W62" s="220">
        <f t="shared" si="54"/>
        <v>-8.1745605202475091E-2</v>
      </c>
      <c r="X62" s="220">
        <f t="shared" si="55"/>
        <v>0</v>
      </c>
      <c r="Y62" s="122"/>
    </row>
    <row r="63" spans="1:25" ht="12" customHeight="1" outlineLevel="1" x14ac:dyDescent="0.25">
      <c r="B63" s="25"/>
      <c r="D63" s="10"/>
      <c r="G63" s="215"/>
      <c r="H63" s="311"/>
      <c r="I63" s="215"/>
      <c r="J63" s="108"/>
      <c r="K63" s="108"/>
      <c r="L63" s="108"/>
      <c r="M63" s="108"/>
      <c r="N63" s="108"/>
      <c r="O63" s="108"/>
      <c r="P63" s="108"/>
      <c r="Q63" s="108"/>
      <c r="R63" s="108"/>
      <c r="S63" s="341"/>
      <c r="T63" s="341"/>
      <c r="U63" s="118"/>
      <c r="V63" s="220">
        <f t="shared" si="53"/>
        <v>0</v>
      </c>
      <c r="W63" s="220">
        <f t="shared" si="54"/>
        <v>0</v>
      </c>
      <c r="X63" s="220">
        <f t="shared" si="55"/>
        <v>0</v>
      </c>
      <c r="Y63" s="122"/>
    </row>
    <row r="64" spans="1:25" ht="12" customHeight="1" outlineLevel="1" x14ac:dyDescent="0.25">
      <c r="B64" s="25"/>
      <c r="D64" s="74" t="str">
        <f>D54</f>
        <v>Closing balance good purchased for resale</v>
      </c>
      <c r="E64" s="50"/>
      <c r="F64" s="50"/>
      <c r="G64" s="320" t="str">
        <f>"EUR "&amp;Multiplier</f>
        <v>EUR thd</v>
      </c>
      <c r="H64" s="321"/>
      <c r="I64" s="322"/>
      <c r="J64" s="227">
        <f t="shared" ref="J64:P64" si="71">J62/(J$2-J$1+1)*J52</f>
        <v>126.38594393428902</v>
      </c>
      <c r="K64" s="227">
        <f t="shared" si="71"/>
        <v>170.18887911238923</v>
      </c>
      <c r="L64" s="227">
        <f t="shared" si="71"/>
        <v>193.35052852762712</v>
      </c>
      <c r="M64" s="227">
        <f t="shared" si="71"/>
        <v>277.80385420002875</v>
      </c>
      <c r="N64" s="227">
        <f t="shared" si="71"/>
        <v>290.89706863978427</v>
      </c>
      <c r="O64" s="227">
        <f t="shared" si="71"/>
        <v>306.27874925553169</v>
      </c>
      <c r="P64" s="227">
        <f t="shared" si="71"/>
        <v>321.59268671830836</v>
      </c>
      <c r="Q64" s="227">
        <f t="shared" ref="Q64:R64" si="72">Q62/(Q$2-Q$1+1)*Q52</f>
        <v>337.67232105422374</v>
      </c>
      <c r="R64" s="227">
        <f t="shared" si="72"/>
        <v>353.58720503833678</v>
      </c>
      <c r="S64" s="341"/>
      <c r="T64" s="341"/>
      <c r="U64" s="118"/>
      <c r="V64" s="220">
        <f t="shared" si="53"/>
        <v>0.23686782883623603</v>
      </c>
      <c r="W64" s="220">
        <f t="shared" si="54"/>
        <v>0.43678869830621858</v>
      </c>
      <c r="X64" s="220">
        <f t="shared" si="55"/>
        <v>5.0000000000000044E-2</v>
      </c>
      <c r="Y64" s="122"/>
    </row>
    <row r="65" spans="1:25" ht="12" customHeight="1" outlineLevel="1" x14ac:dyDescent="0.25">
      <c r="B65" s="25"/>
      <c r="D65" s="10"/>
      <c r="G65" s="215"/>
      <c r="H65" s="311"/>
      <c r="I65" s="215"/>
      <c r="J65" s="108"/>
      <c r="K65" s="108"/>
      <c r="L65" s="108"/>
      <c r="M65" s="108"/>
      <c r="N65" s="108"/>
      <c r="O65" s="108"/>
      <c r="P65" s="108"/>
      <c r="Q65" s="108"/>
      <c r="R65" s="108"/>
      <c r="S65" s="108"/>
      <c r="T65" s="108"/>
      <c r="U65" s="118"/>
      <c r="V65" s="220">
        <f t="shared" si="53"/>
        <v>0</v>
      </c>
      <c r="W65" s="220">
        <f t="shared" si="54"/>
        <v>0</v>
      </c>
      <c r="X65" s="220">
        <f t="shared" si="55"/>
        <v>0</v>
      </c>
      <c r="Y65" s="122"/>
    </row>
    <row r="66" spans="1:25" ht="12" customHeight="1" outlineLevel="1" x14ac:dyDescent="0.25">
      <c r="A66" s="845"/>
      <c r="B66" s="25">
        <f ca="1">MAX($A$1:B48)+0.1</f>
        <v>1.4000000000000004</v>
      </c>
      <c r="C66" s="9" t="str">
        <f>'1.3.Historical BS'!D34</f>
        <v>Trade receivables</v>
      </c>
      <c r="D66" s="10"/>
      <c r="E66" s="12"/>
      <c r="F66" s="12"/>
      <c r="G66" s="215"/>
      <c r="H66" s="311"/>
      <c r="I66" s="215"/>
      <c r="J66" s="323"/>
      <c r="K66" s="118"/>
      <c r="L66" s="118"/>
      <c r="M66" s="118"/>
      <c r="N66" s="118"/>
      <c r="O66" s="118"/>
      <c r="P66" s="118"/>
      <c r="Q66" s="118"/>
      <c r="R66" s="118"/>
      <c r="S66" s="118"/>
      <c r="T66" s="118"/>
      <c r="U66" s="118"/>
      <c r="V66" s="220">
        <f t="shared" si="53"/>
        <v>0</v>
      </c>
      <c r="W66" s="220">
        <f t="shared" si="54"/>
        <v>0</v>
      </c>
      <c r="X66" s="220">
        <f t="shared" si="55"/>
        <v>0</v>
      </c>
      <c r="Y66" s="122"/>
    </row>
    <row r="67" spans="1:25" ht="12" customHeight="1" outlineLevel="2" x14ac:dyDescent="0.25">
      <c r="A67" s="845"/>
      <c r="B67" s="25"/>
      <c r="E67" s="10" t="str">
        <f>'0.2.Parameters'!$F$98</f>
        <v>Sale of finished goods, of which:</v>
      </c>
      <c r="G67" s="291" t="str">
        <f t="shared" ref="G67:G71" si="73">"EUR "&amp;Multiplier</f>
        <v>EUR thd</v>
      </c>
      <c r="H67" s="416">
        <f>'0.2.Parameters'!H112</f>
        <v>1</v>
      </c>
      <c r="I67" s="215"/>
      <c r="J67" s="107">
        <f>'3.1. Income Statement'!J$10</f>
        <v>3581.311171728868</v>
      </c>
      <c r="K67" s="107">
        <f>'3.1. Income Statement'!K$10</f>
        <v>8365.4754405551539</v>
      </c>
      <c r="L67" s="107">
        <f>'3.1. Income Statement'!L$10</f>
        <v>6263.9606425271304</v>
      </c>
      <c r="M67" s="107">
        <f>'3.1. Income Statement'!M$10</f>
        <v>9801.1922500000001</v>
      </c>
      <c r="N67" s="107">
        <f>'3.1. Income Statement'!N$10</f>
        <v>10291.251862500001</v>
      </c>
      <c r="O67" s="107">
        <f>'3.1. Income Statement'!O$10</f>
        <v>10805.814455625001</v>
      </c>
      <c r="P67" s="107">
        <f>'3.1. Income Statement'!P$10</f>
        <v>11346.105178406251</v>
      </c>
      <c r="Q67" s="107">
        <f>'3.1. Income Statement'!Q$10</f>
        <v>11913.410437326564</v>
      </c>
      <c r="R67" s="107">
        <f>'3.1. Income Statement'!R$10</f>
        <v>12509.080959192892</v>
      </c>
      <c r="S67" s="341"/>
      <c r="T67" s="341"/>
      <c r="U67" s="118"/>
      <c r="V67" s="220">
        <f t="shared" si="53"/>
        <v>0.32252375469423566</v>
      </c>
      <c r="W67" s="220">
        <f t="shared" si="54"/>
        <v>0.56469569483849913</v>
      </c>
      <c r="X67" s="220">
        <f t="shared" si="55"/>
        <v>5.0000000000000044E-2</v>
      </c>
      <c r="Y67" s="122"/>
    </row>
    <row r="68" spans="1:25" ht="12" customHeight="1" outlineLevel="2" x14ac:dyDescent="0.25">
      <c r="A68" s="845"/>
      <c r="B68" s="25"/>
      <c r="D68" s="12"/>
      <c r="E68" s="10" t="str">
        <f>'0.2.Parameters'!$F$99</f>
        <v>Services rendered</v>
      </c>
      <c r="F68" s="12"/>
      <c r="G68" s="291" t="str">
        <f t="shared" si="73"/>
        <v>EUR thd</v>
      </c>
      <c r="H68" s="416">
        <f>'0.2.Parameters'!H113</f>
        <v>1</v>
      </c>
      <c r="I68" s="215"/>
      <c r="J68" s="107">
        <f>'3.1. Income Statement'!J$11</f>
        <v>379.61050146967131</v>
      </c>
      <c r="K68" s="107">
        <f>'3.1. Income Statement'!K$11</f>
        <v>691.0021080974584</v>
      </c>
      <c r="L68" s="107">
        <f>'3.1. Income Statement'!L$11</f>
        <v>416.49837756527342</v>
      </c>
      <c r="M68" s="107">
        <f>'3.1. Income Statement'!M$11</f>
        <v>651.69321828360307</v>
      </c>
      <c r="N68" s="107">
        <f>'3.1. Income Statement'!N$11</f>
        <v>684.27787919778325</v>
      </c>
      <c r="O68" s="107">
        <f>'3.1. Income Statement'!O$11</f>
        <v>718.49177315767247</v>
      </c>
      <c r="P68" s="107">
        <f>'3.1. Income Statement'!P$11</f>
        <v>754.41636181555612</v>
      </c>
      <c r="Q68" s="107">
        <f>'3.1. Income Statement'!Q$11</f>
        <v>792.13717990633393</v>
      </c>
      <c r="R68" s="107">
        <f>'3.1. Income Statement'!R$11</f>
        <v>831.7440389016507</v>
      </c>
      <c r="S68" s="341"/>
      <c r="T68" s="341"/>
      <c r="U68" s="118"/>
      <c r="V68" s="220">
        <f t="shared" si="53"/>
        <v>4.7460242708311728E-2</v>
      </c>
      <c r="W68" s="220">
        <f t="shared" si="54"/>
        <v>0.56469569483849913</v>
      </c>
      <c r="X68" s="220">
        <f t="shared" si="55"/>
        <v>5.0000000000000044E-2</v>
      </c>
      <c r="Y68" s="122"/>
    </row>
    <row r="69" spans="1:25" ht="12" customHeight="1" outlineLevel="2" x14ac:dyDescent="0.25">
      <c r="A69" s="845"/>
      <c r="B69" s="25"/>
      <c r="D69" s="12"/>
      <c r="E69" s="10" t="str">
        <f>'0.2.Parameters'!$F$100</f>
        <v>Sale of goods purchased for resale</v>
      </c>
      <c r="F69" s="12"/>
      <c r="G69" s="291" t="str">
        <f t="shared" si="73"/>
        <v>EUR thd</v>
      </c>
      <c r="H69" s="416">
        <f>'0.2.Parameters'!H114</f>
        <v>1</v>
      </c>
      <c r="I69" s="215"/>
      <c r="J69" s="107">
        <f>'3.1. Income Statement'!J$12</f>
        <v>1025.8539703393606</v>
      </c>
      <c r="K69" s="107">
        <f>'3.1. Income Statement'!K$12</f>
        <v>636.83500142291098</v>
      </c>
      <c r="L69" s="107">
        <f>'3.1. Income Statement'!L$12</f>
        <v>913.85854303212636</v>
      </c>
      <c r="M69" s="107">
        <f>'3.1. Income Statement'!M$12</f>
        <v>1429.9105279737514</v>
      </c>
      <c r="N69" s="107">
        <f>'3.1. Income Statement'!N$12</f>
        <v>1501.406054372439</v>
      </c>
      <c r="O69" s="107">
        <f>'3.1. Income Statement'!O$12</f>
        <v>1576.4763570910611</v>
      </c>
      <c r="P69" s="107">
        <f>'3.1. Income Statement'!P$12</f>
        <v>1655.3001749456143</v>
      </c>
      <c r="Q69" s="107">
        <f>'3.1. Income Statement'!Q$12</f>
        <v>1738.0651836928951</v>
      </c>
      <c r="R69" s="107">
        <f>'3.1. Income Statement'!R$12</f>
        <v>1824.9684428775399</v>
      </c>
      <c r="S69" s="341"/>
      <c r="T69" s="341"/>
      <c r="U69" s="118"/>
      <c r="V69" s="220">
        <f t="shared" si="53"/>
        <v>-5.6163613243395027E-2</v>
      </c>
      <c r="W69" s="220">
        <f t="shared" si="54"/>
        <v>0.56469569483849913</v>
      </c>
      <c r="X69" s="220">
        <f t="shared" si="55"/>
        <v>5.0000000000000044E-2</v>
      </c>
      <c r="Y69" s="122"/>
    </row>
    <row r="70" spans="1:25" ht="12" customHeight="1" outlineLevel="2" x14ac:dyDescent="0.25">
      <c r="A70" s="845"/>
      <c r="B70" s="25"/>
      <c r="D70" s="12"/>
      <c r="E70" s="10" t="str">
        <f>'0.2.Parameters'!$F$101</f>
        <v>Other operating revenues except revenues from subsidiese, fines and penalties</v>
      </c>
      <c r="F70" s="12"/>
      <c r="G70" s="291" t="str">
        <f t="shared" si="73"/>
        <v>EUR thd</v>
      </c>
      <c r="H70" s="416">
        <f>'0.2.Parameters'!H115</f>
        <v>1</v>
      </c>
      <c r="I70" s="215"/>
      <c r="J70" s="107">
        <f>'3.1. Income Statement'!J$15-'3.1. Income Statement'!J$16</f>
        <v>55.3209205486773</v>
      </c>
      <c r="K70" s="107">
        <f>'3.1. Income Statement'!K$15-'3.1. Income Statement'!K$16</f>
        <v>38.743131717782006</v>
      </c>
      <c r="L70" s="107">
        <f>'3.1. Income Statement'!L$15-'3.1. Income Statement'!L$16</f>
        <v>38.872515311056191</v>
      </c>
      <c r="M70" s="107">
        <f>'3.1. Income Statement'!M$15-'3.1. Income Statement'!M$16</f>
        <v>85.872057540685987</v>
      </c>
      <c r="N70" s="107">
        <f ca="1">'3.1. Income Statement'!N$15-'3.1. Income Statement'!N$16</f>
        <v>90.165660417720304</v>
      </c>
      <c r="O70" s="107">
        <f ca="1">'3.1. Income Statement'!O$15-'3.1. Income Statement'!O$16</f>
        <v>94.673943438606315</v>
      </c>
      <c r="P70" s="107">
        <f ca="1">'3.1. Income Statement'!P$15-'3.1. Income Statement'!P$16</f>
        <v>99.407640610536632</v>
      </c>
      <c r="Q70" s="107">
        <f ca="1">'3.1. Income Statement'!Q$15-'3.1. Income Statement'!Q$16</f>
        <v>104.37802264106347</v>
      </c>
      <c r="R70" s="107">
        <f ca="1">'3.1. Income Statement'!R$15-'3.1. Income Statement'!R$16</f>
        <v>109.59692377311663</v>
      </c>
      <c r="S70" s="341"/>
      <c r="T70" s="341"/>
      <c r="U70" s="118"/>
      <c r="V70" s="220">
        <f t="shared" si="53"/>
        <v>-0.16174409291086433</v>
      </c>
      <c r="W70" s="220">
        <f t="shared" si="54"/>
        <v>1.2090687174097554</v>
      </c>
      <c r="X70" s="220">
        <f t="shared" ca="1" si="55"/>
        <v>5.0000000000000044E-2</v>
      </c>
      <c r="Y70" s="122"/>
    </row>
    <row r="71" spans="1:25" ht="12" customHeight="1" outlineLevel="2" x14ac:dyDescent="0.25">
      <c r="A71" s="845"/>
      <c r="B71" s="25"/>
      <c r="D71" s="9" t="s">
        <v>93</v>
      </c>
      <c r="G71" s="310" t="str">
        <f t="shared" si="73"/>
        <v>EUR thd</v>
      </c>
      <c r="H71" s="417"/>
      <c r="I71" s="214"/>
      <c r="J71" s="216">
        <f>SUMIF($H67:$H70,1,J67:J70)</f>
        <v>5042.096564086577</v>
      </c>
      <c r="K71" s="216">
        <f t="shared" ref="K71" si="74">SUMIF($H67:$H70,1,K67:K70)</f>
        <v>9732.0556817933048</v>
      </c>
      <c r="L71" s="216">
        <f t="shared" ref="L71" si="75">SUMIF($H67:$H70,1,L67:L70)</f>
        <v>7633.1900784355867</v>
      </c>
      <c r="M71" s="216">
        <f t="shared" ref="M71" si="76">SUMIF($H67:$H70,1,M67:M70)</f>
        <v>11968.668053798041</v>
      </c>
      <c r="N71" s="216">
        <f t="shared" ref="N71" ca="1" si="77">SUMIF($H67:$H70,1,N67:N70)</f>
        <v>12567.101456487944</v>
      </c>
      <c r="O71" s="216">
        <f t="shared" ref="O71" ca="1" si="78">SUMIF($H67:$H70,1,O67:O70)</f>
        <v>13195.45652931234</v>
      </c>
      <c r="P71" s="216">
        <f t="shared" ref="P71:R71" ca="1" si="79">SUMIF($H67:$H70,1,P67:P70)</f>
        <v>13855.229355777958</v>
      </c>
      <c r="Q71" s="216">
        <f t="shared" ca="1" si="79"/>
        <v>14547.990823566857</v>
      </c>
      <c r="R71" s="216">
        <f t="shared" ca="1" si="79"/>
        <v>15275.390364745199</v>
      </c>
      <c r="S71" s="341"/>
      <c r="T71" s="341"/>
      <c r="U71" s="118"/>
      <c r="V71" s="220">
        <f t="shared" si="53"/>
        <v>0.23040322035288541</v>
      </c>
      <c r="W71" s="220">
        <f t="shared" si="54"/>
        <v>0.56797720622869718</v>
      </c>
      <c r="X71" s="220">
        <f t="shared" ca="1" si="55"/>
        <v>5.0000000000000044E-2</v>
      </c>
      <c r="Y71" s="122"/>
    </row>
    <row r="72" spans="1:25" ht="12" customHeight="1" outlineLevel="2" x14ac:dyDescent="0.25">
      <c r="A72" s="845"/>
      <c r="B72" s="25"/>
      <c r="D72" s="10"/>
      <c r="G72" s="215"/>
      <c r="H72" s="417"/>
      <c r="I72" s="215"/>
      <c r="J72" s="108"/>
      <c r="K72" s="108"/>
      <c r="L72" s="108"/>
      <c r="M72" s="108"/>
      <c r="N72" s="108"/>
      <c r="O72" s="108"/>
      <c r="P72" s="108"/>
      <c r="Q72" s="108"/>
      <c r="R72" s="108"/>
      <c r="S72" s="341"/>
      <c r="T72" s="341"/>
      <c r="U72" s="118"/>
      <c r="V72" s="220">
        <f t="shared" si="53"/>
        <v>0</v>
      </c>
      <c r="W72" s="220">
        <f t="shared" si="54"/>
        <v>0</v>
      </c>
      <c r="X72" s="220">
        <f t="shared" si="55"/>
        <v>0</v>
      </c>
      <c r="Y72" s="122"/>
    </row>
    <row r="73" spans="1:25" s="6" customFormat="1" ht="12" customHeight="1" outlineLevel="2" x14ac:dyDescent="0.25">
      <c r="A73" s="845"/>
      <c r="B73" s="25"/>
      <c r="C73" s="9"/>
      <c r="D73" s="9" t="str">
        <f>"Closing balance "&amp;LOWER(C66)</f>
        <v>Closing balance trade receivables</v>
      </c>
      <c r="G73" s="310" t="str">
        <f>"EUR "&amp;Multiplier</f>
        <v>EUR thd</v>
      </c>
      <c r="H73" s="417"/>
      <c r="I73" s="214"/>
      <c r="J73" s="312">
        <f>IF((J$4="Actual"),SUMIF('1.3.Historical BS'!$D$30:$D$38,$C66,'1.3.Historical BS'!O$30:O$38),"n/a")</f>
        <v>1315.0645526414303</v>
      </c>
      <c r="K73" s="312">
        <f>IF((K$4="Actual"),SUMIF('1.3.Historical BS'!$D$30:$D$38,$C66,'1.3.Historical BS'!P$30:P$38),"n/a")</f>
        <v>2094.181704830783</v>
      </c>
      <c r="L73" s="312">
        <f>IF((L$4="Actual"),SUMIF('1.3.Historical BS'!$D$30:$D$38,$C66,'1.3.Historical BS'!Q$30:Q$38),"n/a")</f>
        <v>1181.2725251399042</v>
      </c>
      <c r="M73" s="312" t="str">
        <f>IF((M$4="Actual"),SUMIF('1.3.Historical BS'!$D$30:$D$38,$C66,'1.3.Historical BS'!R$30:R$38),"n/a")</f>
        <v>n/a</v>
      </c>
      <c r="N73" s="312" t="str">
        <f>IF((N$4="Actual"),SUMIF('1.3.Historical BS'!$D$30:$D$38,$C66,'1.3.Historical BS'!S$30:S$38),"n/a")</f>
        <v>n/a</v>
      </c>
      <c r="O73" s="312" t="str">
        <f>IF((O$4="Actual"),SUMIF('1.3.Historical BS'!$D$30:$D$38,$C66,'1.3.Historical BS'!T$30:T$38),"n/a")</f>
        <v>n/a</v>
      </c>
      <c r="P73" s="312" t="str">
        <f>IF((P$4="Actual"),SUMIF('1.3.Historical BS'!$D$30:$D$38,$C66,'1.3.Historical BS'!U$30:U$38),"n/a")</f>
        <v>n/a</v>
      </c>
      <c r="Q73" s="312" t="str">
        <f>IF((Q$4="Actual"),SUMIF('1.3.Historical BS'!$D$30:$D$38,$C66,'1.3.Historical BS'!V$30:V$38),"n/a")</f>
        <v>n/a</v>
      </c>
      <c r="R73" s="312" t="str">
        <f>IF((R$4="Actual"),SUMIF('1.3.Historical BS'!$D$30:$D$38,$C66,'1.3.Historical BS'!W$30:W$38),"n/a")</f>
        <v>n/a</v>
      </c>
      <c r="S73" s="341"/>
      <c r="T73" s="341"/>
      <c r="U73" s="218"/>
      <c r="V73" s="220">
        <f t="shared" si="53"/>
        <v>-5.2233147039815186E-2</v>
      </c>
      <c r="W73" s="220">
        <f t="shared" si="54"/>
        <v>0</v>
      </c>
      <c r="X73" s="220">
        <f t="shared" si="55"/>
        <v>0</v>
      </c>
      <c r="Y73" s="125"/>
    </row>
    <row r="74" spans="1:25" ht="12" customHeight="1" outlineLevel="2" x14ac:dyDescent="0.25">
      <c r="A74" s="845"/>
      <c r="B74" s="25"/>
      <c r="D74" s="10"/>
      <c r="G74" s="215"/>
      <c r="H74" s="417"/>
      <c r="I74" s="215"/>
      <c r="J74" s="108"/>
      <c r="K74" s="108"/>
      <c r="L74" s="108"/>
      <c r="M74" s="108"/>
      <c r="N74" s="108"/>
      <c r="O74" s="108"/>
      <c r="P74" s="108"/>
      <c r="Q74" s="108"/>
      <c r="R74" s="108"/>
      <c r="S74" s="341"/>
      <c r="T74" s="341"/>
      <c r="U74" s="118"/>
      <c r="V74" s="220">
        <f t="shared" si="53"/>
        <v>0</v>
      </c>
      <c r="W74" s="220">
        <f t="shared" si="54"/>
        <v>0</v>
      </c>
      <c r="X74" s="220">
        <f t="shared" si="55"/>
        <v>0</v>
      </c>
      <c r="Y74" s="122"/>
    </row>
    <row r="75" spans="1:25" s="6" customFormat="1" ht="12" customHeight="1" outlineLevel="2" x14ac:dyDescent="0.25">
      <c r="A75" s="845"/>
      <c r="B75" s="25"/>
      <c r="C75" s="9"/>
      <c r="D75" s="9" t="s">
        <v>92</v>
      </c>
      <c r="G75" s="214" t="s">
        <v>16</v>
      </c>
      <c r="H75" s="416" t="str">
        <f>'0.2.Parameters'!H116</f>
        <v>Average</v>
      </c>
      <c r="I75" s="313"/>
      <c r="J75" s="216">
        <f t="shared" ref="J75:P75" si="80">IF(ISERROR(J73/J71*(J$2-J$1+1)),"",J73/J71*(J$2-J$1+1))</f>
        <v>95.459025853456254</v>
      </c>
      <c r="K75" s="216">
        <f t="shared" si="80"/>
        <v>78.54212380774068</v>
      </c>
      <c r="L75" s="216">
        <f t="shared" si="80"/>
        <v>56.48548866798712</v>
      </c>
      <c r="M75" s="430" t="str">
        <f t="shared" ref="M75" si="81">IF(ISERROR(M73/M71*(M$2-M$1+1)),"",M73/M71*(M$2-M$1+1))</f>
        <v/>
      </c>
      <c r="N75" s="430" t="str">
        <f t="shared" ca="1" si="80"/>
        <v/>
      </c>
      <c r="O75" s="430" t="str">
        <f t="shared" ca="1" si="80"/>
        <v/>
      </c>
      <c r="P75" s="430" t="str">
        <f t="shared" ca="1" si="80"/>
        <v/>
      </c>
      <c r="Q75" s="430" t="str">
        <f t="shared" ref="Q75:R75" ca="1" si="82">IF(ISERROR(Q73/Q71*(Q$2-Q$1+1)),"",Q73/Q71*(Q$2-Q$1+1))</f>
        <v/>
      </c>
      <c r="R75" s="430" t="str">
        <f t="shared" ca="1" si="82"/>
        <v/>
      </c>
      <c r="S75" s="341"/>
      <c r="T75" s="341"/>
      <c r="U75" s="218"/>
      <c r="V75" s="220">
        <f t="shared" si="53"/>
        <v>-0.23076338859315737</v>
      </c>
      <c r="W75" s="220">
        <f t="shared" si="54"/>
        <v>0</v>
      </c>
      <c r="X75" s="220">
        <f t="shared" ca="1" si="55"/>
        <v>0</v>
      </c>
      <c r="Y75" s="125"/>
    </row>
    <row r="76" spans="1:25" s="13" customFormat="1" ht="12" customHeight="1" outlineLevel="3" x14ac:dyDescent="0.25">
      <c r="A76" s="850"/>
      <c r="B76" s="56"/>
      <c r="C76" s="43"/>
      <c r="F76" s="11" t="s">
        <v>135</v>
      </c>
      <c r="G76" s="314">
        <f>($F76=H75)*1</f>
        <v>0</v>
      </c>
      <c r="H76" s="417"/>
      <c r="I76" s="315"/>
      <c r="J76" s="223">
        <f>J75</f>
        <v>95.459025853456254</v>
      </c>
      <c r="K76" s="223">
        <f>K75</f>
        <v>78.54212380774068</v>
      </c>
      <c r="L76" s="223">
        <f>L75</f>
        <v>56.48548866798712</v>
      </c>
      <c r="M76" s="341"/>
      <c r="N76" s="341"/>
      <c r="O76" s="341"/>
      <c r="P76" s="341"/>
      <c r="Q76" s="341"/>
      <c r="R76" s="341"/>
      <c r="S76" s="341"/>
      <c r="T76" s="341"/>
      <c r="U76" s="225"/>
      <c r="V76" s="220">
        <f t="shared" si="53"/>
        <v>-0.23076338859315737</v>
      </c>
      <c r="W76" s="220">
        <f t="shared" si="54"/>
        <v>-1</v>
      </c>
      <c r="X76" s="220">
        <f t="shared" si="55"/>
        <v>0</v>
      </c>
      <c r="Y76" s="126"/>
    </row>
    <row r="77" spans="1:25" s="13" customFormat="1" ht="12" customHeight="1" outlineLevel="3" x14ac:dyDescent="0.25">
      <c r="A77" s="850"/>
      <c r="B77" s="56"/>
      <c r="C77" s="43"/>
      <c r="F77" s="11" t="s">
        <v>116</v>
      </c>
      <c r="G77" s="316">
        <f>($F77=H75)*1</f>
        <v>1</v>
      </c>
      <c r="H77" s="417"/>
      <c r="I77" s="315"/>
      <c r="J77" s="223">
        <f>IF(ISERROR(AVERAGE($J75:J75)),"",AVERAGE($J75:J75))</f>
        <v>95.459025853456254</v>
      </c>
      <c r="K77" s="223">
        <f>IF(ISERROR(AVERAGE($J75:K75)),"",AVERAGE($J75:K75))</f>
        <v>87.000574830598467</v>
      </c>
      <c r="L77" s="223">
        <f>IF(ISERROR(AVERAGE($J75:L75)),"",AVERAGE($J75:L75))</f>
        <v>76.828879443061354</v>
      </c>
      <c r="M77" s="341"/>
      <c r="N77" s="341"/>
      <c r="O77" s="341"/>
      <c r="P77" s="341"/>
      <c r="Q77" s="341"/>
      <c r="R77" s="341"/>
      <c r="S77" s="341"/>
      <c r="T77" s="341"/>
      <c r="U77" s="225"/>
      <c r="V77" s="220">
        <f t="shared" si="53"/>
        <v>-0.10287336562291394</v>
      </c>
      <c r="W77" s="220">
        <f t="shared" si="54"/>
        <v>-1</v>
      </c>
      <c r="X77" s="220">
        <f t="shared" si="55"/>
        <v>0</v>
      </c>
      <c r="Y77" s="126"/>
    </row>
    <row r="78" spans="1:25" s="13" customFormat="1" ht="12" customHeight="1" outlineLevel="3" x14ac:dyDescent="0.25">
      <c r="A78" s="850"/>
      <c r="B78" s="56"/>
      <c r="C78" s="43"/>
      <c r="F78" s="11" t="s">
        <v>118</v>
      </c>
      <c r="G78" s="316">
        <f>($F78=H75)*1</f>
        <v>0</v>
      </c>
      <c r="H78" s="417"/>
      <c r="I78" s="315"/>
      <c r="J78" s="223">
        <f>IF(ISERROR(MIN($J75:J75)),"",MIN($J75:J75))</f>
        <v>95.459025853456254</v>
      </c>
      <c r="K78" s="223">
        <f>IF(ISERROR(MIN($J75:K75)),"",MIN($J75:K75))</f>
        <v>78.54212380774068</v>
      </c>
      <c r="L78" s="223">
        <f>IF(ISERROR(MIN($J75:L75)),"",MIN($J75:L75))</f>
        <v>56.48548866798712</v>
      </c>
      <c r="M78" s="341"/>
      <c r="N78" s="341"/>
      <c r="O78" s="341"/>
      <c r="P78" s="341"/>
      <c r="Q78" s="341"/>
      <c r="R78" s="341"/>
      <c r="S78" s="341"/>
      <c r="T78" s="341"/>
      <c r="U78" s="225"/>
      <c r="V78" s="220">
        <f t="shared" si="53"/>
        <v>-0.23076338859315737</v>
      </c>
      <c r="W78" s="220">
        <f t="shared" si="54"/>
        <v>-1</v>
      </c>
      <c r="X78" s="220">
        <f t="shared" si="55"/>
        <v>0</v>
      </c>
      <c r="Y78" s="126"/>
    </row>
    <row r="79" spans="1:25" s="13" customFormat="1" ht="12" customHeight="1" outlineLevel="3" x14ac:dyDescent="0.25">
      <c r="A79" s="850"/>
      <c r="B79" s="56"/>
      <c r="C79" s="43"/>
      <c r="F79" s="11" t="s">
        <v>117</v>
      </c>
      <c r="G79" s="317">
        <f>($F79=H75)*1</f>
        <v>0</v>
      </c>
      <c r="H79" s="417"/>
      <c r="I79" s="315"/>
      <c r="J79" s="223">
        <f>IF(ISERROR(MAX($J75:J75)),"",MAX($J75:J75))</f>
        <v>95.459025853456254</v>
      </c>
      <c r="K79" s="223">
        <f>IF(ISERROR(MAX($J75:K75)),"",MAX($J75:K75))</f>
        <v>95.459025853456254</v>
      </c>
      <c r="L79" s="223">
        <f>IF(ISERROR(MAX($J75:L75)),"",MAX($J75:L75))</f>
        <v>95.459025853456254</v>
      </c>
      <c r="M79" s="341"/>
      <c r="N79" s="341"/>
      <c r="O79" s="341"/>
      <c r="P79" s="341"/>
      <c r="Q79" s="341"/>
      <c r="R79" s="341"/>
      <c r="S79" s="341"/>
      <c r="T79" s="341"/>
      <c r="U79" s="225"/>
      <c r="V79" s="220">
        <f t="shared" si="53"/>
        <v>0</v>
      </c>
      <c r="W79" s="220">
        <f t="shared" si="54"/>
        <v>-1</v>
      </c>
      <c r="X79" s="220">
        <f t="shared" si="55"/>
        <v>0</v>
      </c>
      <c r="Y79" s="126"/>
    </row>
    <row r="80" spans="1:25" ht="12" customHeight="1" outlineLevel="2" x14ac:dyDescent="0.25">
      <c r="A80" s="845"/>
      <c r="B80" s="25"/>
      <c r="E80" s="10" t="s">
        <v>91</v>
      </c>
      <c r="G80" s="215" t="s">
        <v>16</v>
      </c>
      <c r="H80" s="418">
        <v>0</v>
      </c>
      <c r="I80" s="318"/>
      <c r="J80" s="117" t="str">
        <f t="shared" ref="J80" si="83">IF(J$4="Estimate",SUMPRODUCT(I76:I79,$G76:$G79),IF(J$4="Forecast",I80,""))</f>
        <v/>
      </c>
      <c r="K80" s="117" t="str">
        <f t="shared" ref="K80" si="84">IF(K$4="Estimate",SUMPRODUCT(J76:J79,$G76:$G79),IF(K$4="Forecast",J80,""))</f>
        <v/>
      </c>
      <c r="L80" s="117" t="str">
        <f t="shared" ref="L80" si="85">IF(L$4="Estimate",SUMPRODUCT(K76:K79,$G76:$G79),IF(L$4="Forecast",K80,""))</f>
        <v/>
      </c>
      <c r="M80" s="117">
        <f>SUMPRODUCT(L76:L79,$G76:$G79)</f>
        <v>76.828879443061354</v>
      </c>
      <c r="N80" s="117">
        <f t="shared" ref="N80" si="86">IF(N$4="Estimate",SUMPRODUCT(M76:M79,$G76:$G79),IF(N$4="Forecast",M80,""))</f>
        <v>76.828879443061354</v>
      </c>
      <c r="O80" s="117">
        <f t="shared" ref="O80" si="87">IF(O$4="Estimate",SUMPRODUCT(N76:N79,$G76:$G79),IF(O$4="Forecast",N80,""))</f>
        <v>76.828879443061354</v>
      </c>
      <c r="P80" s="117">
        <f t="shared" ref="P80" si="88">IF(P$4="Estimate",SUMPRODUCT(O76:O79,$G76:$G79),IF(P$4="Forecast",O80,""))</f>
        <v>76.828879443061354</v>
      </c>
      <c r="Q80" s="117">
        <f t="shared" ref="Q80" si="89">IF(Q$4="Estimate",SUMPRODUCT(P76:P79,$G76:$G79),IF(Q$4="Forecast",P80,""))</f>
        <v>76.828879443061354</v>
      </c>
      <c r="R80" s="117">
        <f t="shared" ref="R80" si="90">IF(R$4="Estimate",SUMPRODUCT(Q76:Q79,$G76:$G79),IF(R$4="Forecast",Q80,""))</f>
        <v>76.828879443061354</v>
      </c>
      <c r="S80" s="341"/>
      <c r="T80" s="341"/>
      <c r="U80" s="118"/>
      <c r="V80" s="220">
        <f t="shared" si="53"/>
        <v>0</v>
      </c>
      <c r="W80" s="220">
        <f t="shared" si="54"/>
        <v>0</v>
      </c>
      <c r="X80" s="220">
        <f t="shared" si="55"/>
        <v>0</v>
      </c>
      <c r="Y80" s="122"/>
    </row>
    <row r="81" spans="1:25" ht="12" customHeight="1" outlineLevel="2" x14ac:dyDescent="0.25">
      <c r="A81" s="845"/>
      <c r="B81" s="25"/>
      <c r="D81" s="9" t="s">
        <v>90</v>
      </c>
      <c r="G81" s="214" t="s">
        <v>16</v>
      </c>
      <c r="H81" s="311"/>
      <c r="I81" s="214"/>
      <c r="J81" s="319">
        <f>SUM(J75,J80)</f>
        <v>95.459025853456254</v>
      </c>
      <c r="K81" s="319">
        <f t="shared" ref="K81" si="91">SUM(K75,K80)</f>
        <v>78.54212380774068</v>
      </c>
      <c r="L81" s="319">
        <f t="shared" ref="L81" si="92">SUM(L75,L80)</f>
        <v>56.48548866798712</v>
      </c>
      <c r="M81" s="319">
        <f t="shared" ref="M81" si="93">SUM(M75,M80)</f>
        <v>76.828879443061354</v>
      </c>
      <c r="N81" s="319">
        <f t="shared" ref="N81" ca="1" si="94">SUM(N75,N80)</f>
        <v>76.828879443061354</v>
      </c>
      <c r="O81" s="319">
        <f t="shared" ref="O81" ca="1" si="95">SUM(O75,O80)</f>
        <v>76.828879443061354</v>
      </c>
      <c r="P81" s="319">
        <f t="shared" ref="P81:R81" ca="1" si="96">SUM(P75,P80)</f>
        <v>76.828879443061354</v>
      </c>
      <c r="Q81" s="319">
        <f t="shared" ca="1" si="96"/>
        <v>76.828879443061354</v>
      </c>
      <c r="R81" s="319">
        <f t="shared" ca="1" si="96"/>
        <v>76.828879443061354</v>
      </c>
      <c r="S81" s="341"/>
      <c r="T81" s="341"/>
      <c r="U81" s="118"/>
      <c r="V81" s="220">
        <f t="shared" si="53"/>
        <v>-0.23076338859315737</v>
      </c>
      <c r="W81" s="220">
        <f t="shared" si="54"/>
        <v>0.3601525144741069</v>
      </c>
      <c r="X81" s="220">
        <f t="shared" ca="1" si="55"/>
        <v>0</v>
      </c>
      <c r="Y81" s="122"/>
    </row>
    <row r="82" spans="1:25" ht="12" customHeight="1" outlineLevel="2" x14ac:dyDescent="0.25">
      <c r="A82" s="845"/>
      <c r="B82" s="25"/>
      <c r="D82" s="10"/>
      <c r="E82" s="12"/>
      <c r="F82" s="12"/>
      <c r="G82" s="215"/>
      <c r="H82" s="311"/>
      <c r="I82" s="215"/>
      <c r="J82" s="108"/>
      <c r="K82" s="108"/>
      <c r="L82" s="108"/>
      <c r="M82" s="108"/>
      <c r="N82" s="108"/>
      <c r="O82" s="108"/>
      <c r="P82" s="108"/>
      <c r="Q82" s="108"/>
      <c r="R82" s="108"/>
      <c r="S82" s="341"/>
      <c r="T82" s="341"/>
      <c r="U82" s="118"/>
      <c r="V82" s="220">
        <f t="shared" si="53"/>
        <v>0</v>
      </c>
      <c r="W82" s="220">
        <f t="shared" si="54"/>
        <v>0</v>
      </c>
      <c r="X82" s="220">
        <f t="shared" si="55"/>
        <v>0</v>
      </c>
      <c r="Y82" s="122"/>
    </row>
    <row r="83" spans="1:25" ht="12" customHeight="1" outlineLevel="1" x14ac:dyDescent="0.25">
      <c r="B83" s="25"/>
      <c r="D83" s="74" t="str">
        <f>D73</f>
        <v>Closing balance trade receivables</v>
      </c>
      <c r="E83" s="50"/>
      <c r="F83" s="50"/>
      <c r="G83" s="320" t="str">
        <f>"EUR "&amp;Multiplier</f>
        <v>EUR thd</v>
      </c>
      <c r="H83" s="321"/>
      <c r="I83" s="322"/>
      <c r="J83" s="227">
        <f t="shared" ref="J83:P83" si="97">J81/(J$2-J$1+1)*J71</f>
        <v>1315.0645526414303</v>
      </c>
      <c r="K83" s="227">
        <f t="shared" si="97"/>
        <v>2094.181704830783</v>
      </c>
      <c r="L83" s="227">
        <f t="shared" si="97"/>
        <v>1181.2725251399042</v>
      </c>
      <c r="M83" s="227">
        <f t="shared" si="97"/>
        <v>2519.2859041075876</v>
      </c>
      <c r="N83" s="227">
        <f t="shared" ca="1" si="97"/>
        <v>2638.022739752003</v>
      </c>
      <c r="O83" s="227">
        <f t="shared" ca="1" si="97"/>
        <v>2777.5127092786151</v>
      </c>
      <c r="P83" s="227">
        <f t="shared" ca="1" si="97"/>
        <v>2916.388344742546</v>
      </c>
      <c r="Q83" s="227">
        <f t="shared" ref="Q83:R83" ca="1" si="98">Q81/(Q$2-Q$1+1)*Q71</f>
        <v>3062.2077619796737</v>
      </c>
      <c r="R83" s="227">
        <f t="shared" ca="1" si="98"/>
        <v>3206.5331278106828</v>
      </c>
      <c r="S83" s="341"/>
      <c r="T83" s="341"/>
      <c r="U83" s="118"/>
      <c r="V83" s="220">
        <f t="shared" si="53"/>
        <v>-5.2233147039815186E-2</v>
      </c>
      <c r="W83" s="220">
        <f t="shared" si="54"/>
        <v>1.1326881396900479</v>
      </c>
      <c r="X83" s="220">
        <f t="shared" ca="1" si="55"/>
        <v>5.0000000000000044E-2</v>
      </c>
      <c r="Y83" s="122"/>
    </row>
    <row r="84" spans="1:25" ht="12" customHeight="1" outlineLevel="1" x14ac:dyDescent="0.25">
      <c r="D84" s="10"/>
      <c r="G84" s="215"/>
      <c r="H84" s="215"/>
      <c r="I84" s="215"/>
      <c r="J84" s="118"/>
      <c r="K84" s="118"/>
      <c r="L84" s="118"/>
      <c r="M84" s="118"/>
      <c r="N84" s="118"/>
      <c r="O84" s="118"/>
      <c r="P84" s="118"/>
      <c r="Q84" s="118"/>
      <c r="R84" s="118"/>
      <c r="S84" s="118"/>
      <c r="T84" s="118"/>
      <c r="U84" s="118"/>
      <c r="V84" s="220">
        <f t="shared" si="53"/>
        <v>0</v>
      </c>
      <c r="W84" s="220">
        <f t="shared" si="54"/>
        <v>0</v>
      </c>
      <c r="X84" s="220">
        <f t="shared" si="55"/>
        <v>0</v>
      </c>
    </row>
    <row r="85" spans="1:25" ht="12" customHeight="1" outlineLevel="1" x14ac:dyDescent="0.25">
      <c r="A85" s="845"/>
      <c r="B85" s="25">
        <f ca="1">MAX($A$1:B84)+0.1</f>
        <v>1.5000000000000004</v>
      </c>
      <c r="C85" s="9" t="str">
        <f>'1.3.Historical BS'!D35</f>
        <v>Other receivables</v>
      </c>
      <c r="D85" s="10"/>
      <c r="E85" s="12"/>
      <c r="F85" s="12"/>
      <c r="G85" s="215"/>
      <c r="H85" s="311"/>
      <c r="I85" s="215"/>
      <c r="J85" s="323"/>
      <c r="K85" s="118"/>
      <c r="L85" s="118"/>
      <c r="M85" s="118"/>
      <c r="N85" s="118"/>
      <c r="O85" s="118"/>
      <c r="P85" s="118"/>
      <c r="Q85" s="118"/>
      <c r="R85" s="118"/>
      <c r="S85" s="118"/>
      <c r="T85" s="118"/>
      <c r="U85" s="118"/>
      <c r="V85" s="220">
        <f t="shared" si="53"/>
        <v>0</v>
      </c>
      <c r="W85" s="220">
        <f t="shared" si="54"/>
        <v>0</v>
      </c>
      <c r="X85" s="220">
        <f t="shared" si="55"/>
        <v>0</v>
      </c>
      <c r="Y85" s="122"/>
    </row>
    <row r="86" spans="1:25" ht="12" customHeight="1" outlineLevel="2" x14ac:dyDescent="0.25">
      <c r="A86" s="845"/>
      <c r="B86" s="25"/>
      <c r="E86" s="10" t="str">
        <f>'0.2.Parameters'!$F$98</f>
        <v>Sale of finished goods, of which:</v>
      </c>
      <c r="G86" s="291" t="str">
        <f t="shared" ref="G86:G90" si="99">"EUR "&amp;Multiplier</f>
        <v>EUR thd</v>
      </c>
      <c r="H86" s="416">
        <f>'0.2.Parameters'!H119</f>
        <v>1</v>
      </c>
      <c r="I86" s="215"/>
      <c r="J86" s="107">
        <f>'3.1. Income Statement'!J$10</f>
        <v>3581.311171728868</v>
      </c>
      <c r="K86" s="107">
        <f>'3.1. Income Statement'!K$10</f>
        <v>8365.4754405551539</v>
      </c>
      <c r="L86" s="107">
        <f>'3.1. Income Statement'!L$10</f>
        <v>6263.9606425271304</v>
      </c>
      <c r="M86" s="107">
        <f>'3.1. Income Statement'!M$10</f>
        <v>9801.1922500000001</v>
      </c>
      <c r="N86" s="107">
        <f>'3.1. Income Statement'!N$10</f>
        <v>10291.251862500001</v>
      </c>
      <c r="O86" s="107">
        <f>'3.1. Income Statement'!O$10</f>
        <v>10805.814455625001</v>
      </c>
      <c r="P86" s="107">
        <f>'3.1. Income Statement'!P$10</f>
        <v>11346.105178406251</v>
      </c>
      <c r="Q86" s="107">
        <f>'3.1. Income Statement'!Q$10</f>
        <v>11913.410437326564</v>
      </c>
      <c r="R86" s="107">
        <f>'3.1. Income Statement'!R$10</f>
        <v>12509.080959192892</v>
      </c>
      <c r="S86" s="341"/>
      <c r="T86" s="341"/>
      <c r="U86" s="118"/>
      <c r="V86" s="220">
        <f t="shared" si="53"/>
        <v>0.32252375469423566</v>
      </c>
      <c r="W86" s="220">
        <f t="shared" si="54"/>
        <v>0.56469569483849913</v>
      </c>
      <c r="X86" s="220">
        <f t="shared" si="55"/>
        <v>5.0000000000000044E-2</v>
      </c>
      <c r="Y86" s="122"/>
    </row>
    <row r="87" spans="1:25" ht="12" customHeight="1" outlineLevel="2" x14ac:dyDescent="0.25">
      <c r="A87" s="845"/>
      <c r="B87" s="25"/>
      <c r="D87" s="12"/>
      <c r="E87" s="10" t="str">
        <f>'0.2.Parameters'!$F$99</f>
        <v>Services rendered</v>
      </c>
      <c r="F87" s="12"/>
      <c r="G87" s="291" t="str">
        <f t="shared" si="99"/>
        <v>EUR thd</v>
      </c>
      <c r="H87" s="416">
        <f>'0.2.Parameters'!H120</f>
        <v>1</v>
      </c>
      <c r="I87" s="215"/>
      <c r="J87" s="107">
        <f>'3.1. Income Statement'!J$11</f>
        <v>379.61050146967131</v>
      </c>
      <c r="K87" s="107">
        <f>'3.1. Income Statement'!K$11</f>
        <v>691.0021080974584</v>
      </c>
      <c r="L87" s="107">
        <f>'3.1. Income Statement'!L$11</f>
        <v>416.49837756527342</v>
      </c>
      <c r="M87" s="107">
        <f>'3.1. Income Statement'!M$11</f>
        <v>651.69321828360307</v>
      </c>
      <c r="N87" s="107">
        <f>'3.1. Income Statement'!N$11</f>
        <v>684.27787919778325</v>
      </c>
      <c r="O87" s="107">
        <f>'3.1. Income Statement'!O$11</f>
        <v>718.49177315767247</v>
      </c>
      <c r="P87" s="107">
        <f>'3.1. Income Statement'!P$11</f>
        <v>754.41636181555612</v>
      </c>
      <c r="Q87" s="107">
        <f>'3.1. Income Statement'!Q$11</f>
        <v>792.13717990633393</v>
      </c>
      <c r="R87" s="107">
        <f>'3.1. Income Statement'!R$11</f>
        <v>831.7440389016507</v>
      </c>
      <c r="S87" s="341"/>
      <c r="T87" s="341"/>
      <c r="U87" s="118"/>
      <c r="V87" s="220">
        <f t="shared" si="53"/>
        <v>4.7460242708311728E-2</v>
      </c>
      <c r="W87" s="220">
        <f t="shared" si="54"/>
        <v>0.56469569483849913</v>
      </c>
      <c r="X87" s="220">
        <f t="shared" si="55"/>
        <v>5.0000000000000044E-2</v>
      </c>
      <c r="Y87" s="122"/>
    </row>
    <row r="88" spans="1:25" ht="12" customHeight="1" outlineLevel="2" x14ac:dyDescent="0.25">
      <c r="A88" s="845"/>
      <c r="B88" s="25"/>
      <c r="D88" s="12"/>
      <c r="E88" s="10" t="str">
        <f>'0.2.Parameters'!$F$100</f>
        <v>Sale of goods purchased for resale</v>
      </c>
      <c r="F88" s="12"/>
      <c r="G88" s="291" t="str">
        <f t="shared" si="99"/>
        <v>EUR thd</v>
      </c>
      <c r="H88" s="416">
        <f>'0.2.Parameters'!H121</f>
        <v>1</v>
      </c>
      <c r="I88" s="215"/>
      <c r="J88" s="107">
        <f>'3.1. Income Statement'!J$12</f>
        <v>1025.8539703393606</v>
      </c>
      <c r="K88" s="107">
        <f>'3.1. Income Statement'!K$12</f>
        <v>636.83500142291098</v>
      </c>
      <c r="L88" s="107">
        <f>'3.1. Income Statement'!L$12</f>
        <v>913.85854303212636</v>
      </c>
      <c r="M88" s="107">
        <f>'3.1. Income Statement'!M$12</f>
        <v>1429.9105279737514</v>
      </c>
      <c r="N88" s="107">
        <f>'3.1. Income Statement'!N$12</f>
        <v>1501.406054372439</v>
      </c>
      <c r="O88" s="107">
        <f>'3.1. Income Statement'!O$12</f>
        <v>1576.4763570910611</v>
      </c>
      <c r="P88" s="107">
        <f>'3.1. Income Statement'!P$12</f>
        <v>1655.3001749456143</v>
      </c>
      <c r="Q88" s="107">
        <f>'3.1. Income Statement'!Q$12</f>
        <v>1738.0651836928951</v>
      </c>
      <c r="R88" s="107">
        <f>'3.1. Income Statement'!R$12</f>
        <v>1824.9684428775399</v>
      </c>
      <c r="S88" s="341"/>
      <c r="T88" s="341"/>
      <c r="U88" s="118"/>
      <c r="V88" s="220">
        <f t="shared" si="53"/>
        <v>-5.6163613243395027E-2</v>
      </c>
      <c r="W88" s="220">
        <f t="shared" si="54"/>
        <v>0.56469569483849913</v>
      </c>
      <c r="X88" s="220">
        <f t="shared" si="55"/>
        <v>5.0000000000000044E-2</v>
      </c>
      <c r="Y88" s="122"/>
    </row>
    <row r="89" spans="1:25" ht="12" customHeight="1" outlineLevel="2" x14ac:dyDescent="0.25">
      <c r="A89" s="845"/>
      <c r="B89" s="25"/>
      <c r="D89" s="12"/>
      <c r="E89" s="10" t="str">
        <f>'0.2.Parameters'!$F$101</f>
        <v>Other operating revenues except revenues from subsidiese, fines and penalties</v>
      </c>
      <c r="F89" s="12"/>
      <c r="G89" s="291" t="str">
        <f t="shared" si="99"/>
        <v>EUR thd</v>
      </c>
      <c r="H89" s="416">
        <f>'0.2.Parameters'!H122</f>
        <v>1</v>
      </c>
      <c r="I89" s="215"/>
      <c r="J89" s="107">
        <f>'3.1. Income Statement'!J$15-'3.1. Income Statement'!J$16</f>
        <v>55.3209205486773</v>
      </c>
      <c r="K89" s="107">
        <f>'3.1. Income Statement'!K$15-'3.1. Income Statement'!K$16</f>
        <v>38.743131717782006</v>
      </c>
      <c r="L89" s="107">
        <f>'3.1. Income Statement'!L$15-'3.1. Income Statement'!L$16</f>
        <v>38.872515311056191</v>
      </c>
      <c r="M89" s="107">
        <f>'3.1. Income Statement'!M$15-'3.1. Income Statement'!M$16</f>
        <v>85.872057540685987</v>
      </c>
      <c r="N89" s="107">
        <f ca="1">'3.1. Income Statement'!N$15-'3.1. Income Statement'!N$16</f>
        <v>90.165660417720304</v>
      </c>
      <c r="O89" s="107">
        <f ca="1">'3.1. Income Statement'!O$15-'3.1. Income Statement'!O$16</f>
        <v>94.673943438606315</v>
      </c>
      <c r="P89" s="107">
        <f ca="1">'3.1. Income Statement'!P$15-'3.1. Income Statement'!P$16</f>
        <v>99.407640610536632</v>
      </c>
      <c r="Q89" s="107">
        <f ca="1">'3.1. Income Statement'!Q$15-'3.1. Income Statement'!Q$16</f>
        <v>104.37802264106347</v>
      </c>
      <c r="R89" s="107">
        <f ca="1">'3.1. Income Statement'!R$15-'3.1. Income Statement'!R$16</f>
        <v>109.59692377311663</v>
      </c>
      <c r="S89" s="341"/>
      <c r="T89" s="341"/>
      <c r="U89" s="118"/>
      <c r="V89" s="220">
        <f t="shared" si="53"/>
        <v>-0.16174409291086433</v>
      </c>
      <c r="W89" s="220">
        <f t="shared" si="54"/>
        <v>1.2090687174097554</v>
      </c>
      <c r="X89" s="220">
        <f t="shared" ca="1" si="55"/>
        <v>5.0000000000000044E-2</v>
      </c>
      <c r="Y89" s="122"/>
    </row>
    <row r="90" spans="1:25" ht="12" customHeight="1" outlineLevel="2" x14ac:dyDescent="0.25">
      <c r="A90" s="845"/>
      <c r="B90" s="25"/>
      <c r="D90" s="9" t="s">
        <v>93</v>
      </c>
      <c r="G90" s="310" t="str">
        <f t="shared" si="99"/>
        <v>EUR thd</v>
      </c>
      <c r="H90" s="417"/>
      <c r="I90" s="214"/>
      <c r="J90" s="216">
        <f>SUMIF($H86:$H89,1,J86:J89)</f>
        <v>5042.096564086577</v>
      </c>
      <c r="K90" s="216">
        <f t="shared" ref="K90" si="100">SUMIF($H86:$H89,1,K86:K89)</f>
        <v>9732.0556817933048</v>
      </c>
      <c r="L90" s="216">
        <f t="shared" ref="L90" si="101">SUMIF($H86:$H89,1,L86:L89)</f>
        <v>7633.1900784355867</v>
      </c>
      <c r="M90" s="216">
        <f t="shared" ref="M90" si="102">SUMIF($H86:$H89,1,M86:M89)</f>
        <v>11968.668053798041</v>
      </c>
      <c r="N90" s="216">
        <f t="shared" ref="N90" ca="1" si="103">SUMIF($H86:$H89,1,N86:N89)</f>
        <v>12567.101456487944</v>
      </c>
      <c r="O90" s="216">
        <f t="shared" ref="O90" ca="1" si="104">SUMIF($H86:$H89,1,O86:O89)</f>
        <v>13195.45652931234</v>
      </c>
      <c r="P90" s="216">
        <f t="shared" ref="P90:R90" ca="1" si="105">SUMIF($H86:$H89,1,P86:P89)</f>
        <v>13855.229355777958</v>
      </c>
      <c r="Q90" s="216">
        <f t="shared" ca="1" si="105"/>
        <v>14547.990823566857</v>
      </c>
      <c r="R90" s="216">
        <f t="shared" ca="1" si="105"/>
        <v>15275.390364745199</v>
      </c>
      <c r="S90" s="341"/>
      <c r="T90" s="341"/>
      <c r="U90" s="118"/>
      <c r="V90" s="220">
        <f t="shared" si="53"/>
        <v>0.23040322035288541</v>
      </c>
      <c r="W90" s="220">
        <f t="shared" si="54"/>
        <v>0.56797720622869718</v>
      </c>
      <c r="X90" s="220">
        <f t="shared" ca="1" si="55"/>
        <v>5.0000000000000044E-2</v>
      </c>
      <c r="Y90" s="122"/>
    </row>
    <row r="91" spans="1:25" ht="12" customHeight="1" outlineLevel="2" x14ac:dyDescent="0.25">
      <c r="A91" s="845"/>
      <c r="B91" s="25"/>
      <c r="D91" s="10"/>
      <c r="G91" s="215"/>
      <c r="H91" s="417"/>
      <c r="I91" s="215"/>
      <c r="J91" s="108"/>
      <c r="K91" s="108"/>
      <c r="L91" s="108"/>
      <c r="M91" s="108"/>
      <c r="N91" s="108"/>
      <c r="O91" s="108"/>
      <c r="P91" s="108"/>
      <c r="Q91" s="108"/>
      <c r="R91" s="108"/>
      <c r="S91" s="341"/>
      <c r="T91" s="341"/>
      <c r="U91" s="118"/>
      <c r="V91" s="220">
        <f t="shared" si="53"/>
        <v>0</v>
      </c>
      <c r="W91" s="220">
        <f t="shared" si="54"/>
        <v>0</v>
      </c>
      <c r="X91" s="220">
        <f t="shared" si="55"/>
        <v>0</v>
      </c>
      <c r="Y91" s="122"/>
    </row>
    <row r="92" spans="1:25" s="6" customFormat="1" ht="12" customHeight="1" outlineLevel="2" x14ac:dyDescent="0.25">
      <c r="A92" s="845"/>
      <c r="B92" s="25"/>
      <c r="C92" s="9"/>
      <c r="D92" s="9" t="str">
        <f>"Closing balance "&amp;LOWER(C85)</f>
        <v>Closing balance other receivables</v>
      </c>
      <c r="G92" s="310" t="str">
        <f>"EUR "&amp;Multiplier</f>
        <v>EUR thd</v>
      </c>
      <c r="H92" s="417"/>
      <c r="I92" s="214"/>
      <c r="J92" s="312">
        <f>IF((J$4="Actual"),SUMIF('1.3.Historical BS'!$D$30:$D$38,$C85,'1.3.Historical BS'!O$30:O$38),"n/a")</f>
        <v>73.341375437669285</v>
      </c>
      <c r="K92" s="312">
        <f>IF((K$4="Actual"),SUMIF('1.3.Historical BS'!$D$30:$D$38,$C85,'1.3.Historical BS'!P$30:P$38),"n/a")</f>
        <v>317.8685644998605</v>
      </c>
      <c r="L92" s="312">
        <f>IF((L$4="Actual"),SUMIF('1.3.Historical BS'!$D$30:$D$38,$C85,'1.3.Historical BS'!Q$30:Q$38),"n/a")</f>
        <v>-15.974013164947786</v>
      </c>
      <c r="M92" s="312" t="str">
        <f>IF((M$4="Actual"),SUMIF('1.3.Historical BS'!$D$30:$D$38,$C85,'1.3.Historical BS'!R$30:R$38),"n/a")</f>
        <v>n/a</v>
      </c>
      <c r="N92" s="312" t="str">
        <f>IF((N$4="Actual"),SUMIF('1.3.Historical BS'!$D$30:$D$38,$C85,'1.3.Historical BS'!S$30:S$38),"n/a")</f>
        <v>n/a</v>
      </c>
      <c r="O92" s="312" t="str">
        <f>IF((O$4="Actual"),SUMIF('1.3.Historical BS'!$D$30:$D$38,$C85,'1.3.Historical BS'!T$30:T$38),"n/a")</f>
        <v>n/a</v>
      </c>
      <c r="P92" s="312" t="str">
        <f>IF((P$4="Actual"),SUMIF('1.3.Historical BS'!$D$30:$D$38,$C85,'1.3.Historical BS'!U$30:U$38),"n/a")</f>
        <v>n/a</v>
      </c>
      <c r="Q92" s="312" t="str">
        <f>IF((Q$4="Actual"),SUMIF('1.3.Historical BS'!$D$30:$D$38,$C85,'1.3.Historical BS'!V$30:V$38),"n/a")</f>
        <v>n/a</v>
      </c>
      <c r="R92" s="312" t="str">
        <f>IF((R$4="Actual"),SUMIF('1.3.Historical BS'!$D$30:$D$38,$C85,'1.3.Historical BS'!W$30:W$38),"n/a")</f>
        <v>n/a</v>
      </c>
      <c r="S92" s="341"/>
      <c r="T92" s="341"/>
      <c r="U92" s="218"/>
      <c r="V92" s="220">
        <f t="shared" si="53"/>
        <v>0</v>
      </c>
      <c r="W92" s="220">
        <f t="shared" si="54"/>
        <v>0</v>
      </c>
      <c r="X92" s="220">
        <f t="shared" si="55"/>
        <v>0</v>
      </c>
      <c r="Y92" s="125"/>
    </row>
    <row r="93" spans="1:25" ht="12" customHeight="1" outlineLevel="2" x14ac:dyDescent="0.25">
      <c r="A93" s="845"/>
      <c r="B93" s="25"/>
      <c r="D93" s="10"/>
      <c r="G93" s="215"/>
      <c r="H93" s="417"/>
      <c r="I93" s="215"/>
      <c r="J93" s="108"/>
      <c r="K93" s="108"/>
      <c r="L93" s="108"/>
      <c r="M93" s="108"/>
      <c r="N93" s="108"/>
      <c r="O93" s="108"/>
      <c r="P93" s="108"/>
      <c r="Q93" s="108"/>
      <c r="R93" s="108"/>
      <c r="S93" s="341"/>
      <c r="T93" s="341"/>
      <c r="U93" s="118"/>
      <c r="V93" s="220">
        <f t="shared" si="53"/>
        <v>0</v>
      </c>
      <c r="W93" s="220">
        <f t="shared" si="54"/>
        <v>0</v>
      </c>
      <c r="X93" s="220">
        <f t="shared" si="55"/>
        <v>0</v>
      </c>
      <c r="Y93" s="122"/>
    </row>
    <row r="94" spans="1:25" s="6" customFormat="1" ht="12" customHeight="1" outlineLevel="2" x14ac:dyDescent="0.25">
      <c r="A94" s="845"/>
      <c r="B94" s="25"/>
      <c r="C94" s="9"/>
      <c r="D94" s="9" t="s">
        <v>92</v>
      </c>
      <c r="G94" s="214" t="s">
        <v>16</v>
      </c>
      <c r="H94" s="416" t="str">
        <f>'0.2.Parameters'!H123</f>
        <v>Average</v>
      </c>
      <c r="I94" s="313"/>
      <c r="J94" s="216">
        <f t="shared" ref="J94:P94" si="106">IF(ISERROR(J92/J90*(J$2-J$1+1)),"",J92/J90*(J$2-J$1+1))</f>
        <v>5.3237662287909409</v>
      </c>
      <c r="K94" s="216">
        <f t="shared" si="106"/>
        <v>11.921636069088946</v>
      </c>
      <c r="L94" s="216">
        <f t="shared" si="106"/>
        <v>-0.76383723519182944</v>
      </c>
      <c r="M94" s="430" t="str">
        <f t="shared" si="106"/>
        <v/>
      </c>
      <c r="N94" s="430" t="str">
        <f t="shared" ca="1" si="106"/>
        <v/>
      </c>
      <c r="O94" s="430" t="str">
        <f t="shared" ca="1" si="106"/>
        <v/>
      </c>
      <c r="P94" s="430" t="str">
        <f t="shared" ca="1" si="106"/>
        <v/>
      </c>
      <c r="Q94" s="430" t="str">
        <f t="shared" ref="Q94:R94" ca="1" si="107">IF(ISERROR(Q92/Q90*(Q$2-Q$1+1)),"",Q92/Q90*(Q$2-Q$1+1))</f>
        <v/>
      </c>
      <c r="R94" s="430" t="str">
        <f t="shared" ca="1" si="107"/>
        <v/>
      </c>
      <c r="S94" s="341"/>
      <c r="T94" s="341"/>
      <c r="U94" s="218"/>
      <c r="V94" s="220">
        <f t="shared" si="53"/>
        <v>0</v>
      </c>
      <c r="W94" s="220">
        <f t="shared" si="54"/>
        <v>0</v>
      </c>
      <c r="X94" s="220">
        <f t="shared" ca="1" si="55"/>
        <v>0</v>
      </c>
      <c r="Y94" s="125"/>
    </row>
    <row r="95" spans="1:25" s="13" customFormat="1" ht="12" customHeight="1" outlineLevel="3" x14ac:dyDescent="0.25">
      <c r="A95" s="850"/>
      <c r="B95" s="56"/>
      <c r="C95" s="43"/>
      <c r="F95" s="11" t="s">
        <v>135</v>
      </c>
      <c r="G95" s="314">
        <f>($F95=H94)*1</f>
        <v>0</v>
      </c>
      <c r="H95" s="417"/>
      <c r="I95" s="315"/>
      <c r="J95" s="223">
        <f>J94</f>
        <v>5.3237662287909409</v>
      </c>
      <c r="K95" s="223">
        <f>K94</f>
        <v>11.921636069088946</v>
      </c>
      <c r="L95" s="223">
        <f>L94</f>
        <v>-0.76383723519182944</v>
      </c>
      <c r="M95" s="341"/>
      <c r="N95" s="341"/>
      <c r="O95" s="341"/>
      <c r="P95" s="341"/>
      <c r="Q95" s="341"/>
      <c r="R95" s="341"/>
      <c r="S95" s="341"/>
      <c r="T95" s="341"/>
      <c r="U95" s="225"/>
      <c r="V95" s="220">
        <f t="shared" si="53"/>
        <v>0</v>
      </c>
      <c r="W95" s="220">
        <f t="shared" si="54"/>
        <v>-1</v>
      </c>
      <c r="X95" s="220">
        <f t="shared" si="55"/>
        <v>0</v>
      </c>
      <c r="Y95" s="126"/>
    </row>
    <row r="96" spans="1:25" s="13" customFormat="1" ht="12" customHeight="1" outlineLevel="3" x14ac:dyDescent="0.25">
      <c r="A96" s="850"/>
      <c r="B96" s="56"/>
      <c r="C96" s="43"/>
      <c r="F96" s="11" t="s">
        <v>116</v>
      </c>
      <c r="G96" s="316">
        <f>($F96=H94)*1</f>
        <v>1</v>
      </c>
      <c r="H96" s="417"/>
      <c r="I96" s="315"/>
      <c r="J96" s="223">
        <f>IF(ISERROR(AVERAGE($J94:J94)),"",AVERAGE($J94:J94))</f>
        <v>5.3237662287909409</v>
      </c>
      <c r="K96" s="223">
        <f>IF(ISERROR(AVERAGE($J94:K94)),"",AVERAGE($J94:K94))</f>
        <v>8.6227011489399423</v>
      </c>
      <c r="L96" s="223">
        <f>IF(ISERROR(AVERAGE($J94:L94)),"",AVERAGE($J94:L94))</f>
        <v>5.4938550208960182</v>
      </c>
      <c r="M96" s="341"/>
      <c r="N96" s="341"/>
      <c r="O96" s="341"/>
      <c r="P96" s="341"/>
      <c r="Q96" s="341"/>
      <c r="R96" s="341"/>
      <c r="S96" s="341"/>
      <c r="T96" s="341"/>
      <c r="U96" s="225"/>
      <c r="V96" s="220">
        <f t="shared" si="53"/>
        <v>1.5848886197661116E-2</v>
      </c>
      <c r="W96" s="220">
        <f t="shared" si="54"/>
        <v>-1</v>
      </c>
      <c r="X96" s="220">
        <f t="shared" si="55"/>
        <v>0</v>
      </c>
      <c r="Y96" s="126"/>
    </row>
    <row r="97" spans="1:25" s="13" customFormat="1" ht="12" customHeight="1" outlineLevel="3" x14ac:dyDescent="0.25">
      <c r="A97" s="850"/>
      <c r="B97" s="56"/>
      <c r="C97" s="43"/>
      <c r="F97" s="11" t="s">
        <v>118</v>
      </c>
      <c r="G97" s="316">
        <f>($F97=H94)*1</f>
        <v>0</v>
      </c>
      <c r="H97" s="417"/>
      <c r="I97" s="315"/>
      <c r="J97" s="223">
        <f>IF(ISERROR(MIN($J94:J94)),"",MIN($J94:J94))</f>
        <v>5.3237662287909409</v>
      </c>
      <c r="K97" s="223">
        <f>IF(ISERROR(MIN($J94:K94)),"",MIN($J94:K94))</f>
        <v>5.3237662287909409</v>
      </c>
      <c r="L97" s="223">
        <f>IF(ISERROR(MIN($J94:L94)),"",MIN($J94:L94))</f>
        <v>-0.76383723519182944</v>
      </c>
      <c r="M97" s="341"/>
      <c r="N97" s="341"/>
      <c r="O97" s="341"/>
      <c r="P97" s="341"/>
      <c r="Q97" s="341"/>
      <c r="R97" s="341"/>
      <c r="S97" s="341"/>
      <c r="T97" s="341"/>
      <c r="U97" s="225"/>
      <c r="V97" s="220">
        <f t="shared" si="53"/>
        <v>0</v>
      </c>
      <c r="W97" s="220">
        <f t="shared" si="54"/>
        <v>-1</v>
      </c>
      <c r="X97" s="220">
        <f t="shared" si="55"/>
        <v>0</v>
      </c>
      <c r="Y97" s="126"/>
    </row>
    <row r="98" spans="1:25" s="13" customFormat="1" ht="12" customHeight="1" outlineLevel="3" x14ac:dyDescent="0.25">
      <c r="A98" s="850"/>
      <c r="B98" s="56"/>
      <c r="C98" s="43"/>
      <c r="F98" s="11" t="s">
        <v>117</v>
      </c>
      <c r="G98" s="317">
        <f>($F98=H94)*1</f>
        <v>0</v>
      </c>
      <c r="H98" s="417"/>
      <c r="I98" s="315"/>
      <c r="J98" s="223">
        <f>IF(ISERROR(MAX($J94:J94)),"",MAX($J94:J94))</f>
        <v>5.3237662287909409</v>
      </c>
      <c r="K98" s="223">
        <f>IF(ISERROR(MAX($J94:K94)),"",MAX($J94:K94))</f>
        <v>11.921636069088946</v>
      </c>
      <c r="L98" s="223">
        <f>IF(ISERROR(MAX($J94:L94)),"",MAX($J94:L94))</f>
        <v>11.921636069088946</v>
      </c>
      <c r="M98" s="341"/>
      <c r="N98" s="341"/>
      <c r="O98" s="341"/>
      <c r="P98" s="341"/>
      <c r="Q98" s="341"/>
      <c r="R98" s="341"/>
      <c r="S98" s="341"/>
      <c r="T98" s="341"/>
      <c r="U98" s="225"/>
      <c r="V98" s="220">
        <f t="shared" si="53"/>
        <v>0.49643701295907561</v>
      </c>
      <c r="W98" s="220">
        <f t="shared" si="54"/>
        <v>-1</v>
      </c>
      <c r="X98" s="220">
        <f t="shared" si="55"/>
        <v>0</v>
      </c>
      <c r="Y98" s="126"/>
    </row>
    <row r="99" spans="1:25" ht="12" customHeight="1" outlineLevel="2" x14ac:dyDescent="0.25">
      <c r="A99" s="845"/>
      <c r="B99" s="25"/>
      <c r="E99" s="10" t="s">
        <v>91</v>
      </c>
      <c r="G99" s="215" t="s">
        <v>16</v>
      </c>
      <c r="H99" s="418">
        <v>0</v>
      </c>
      <c r="I99" s="318"/>
      <c r="J99" s="117" t="str">
        <f t="shared" ref="J99" si="108">IF(J$4="Estimate",SUMPRODUCT(I95:I98,$G95:$G98),IF(J$4="Forecast",I99,""))</f>
        <v/>
      </c>
      <c r="K99" s="117" t="str">
        <f t="shared" ref="K99" si="109">IF(K$4="Estimate",SUMPRODUCT(J95:J98,$G95:$G98),IF(K$4="Forecast",J99,""))</f>
        <v/>
      </c>
      <c r="L99" s="117" t="str">
        <f t="shared" ref="L99" si="110">IF(L$4="Estimate",SUMPRODUCT(K95:K98,$G95:$G98),IF(L$4="Forecast",K99,""))</f>
        <v/>
      </c>
      <c r="M99" s="117">
        <f>SUMPRODUCT(L95:L98,$G95:$G98)</f>
        <v>5.4938550208960182</v>
      </c>
      <c r="N99" s="117">
        <f t="shared" ref="N99" si="111">IF(N$4="Estimate",SUMPRODUCT(M95:M98,$G95:$G98),IF(N$4="Forecast",M99,""))</f>
        <v>5.4938550208960182</v>
      </c>
      <c r="O99" s="117">
        <f t="shared" ref="O99" si="112">IF(O$4="Estimate",SUMPRODUCT(N95:N98,$G95:$G98),IF(O$4="Forecast",N99,""))</f>
        <v>5.4938550208960182</v>
      </c>
      <c r="P99" s="117">
        <f t="shared" ref="P99" si="113">IF(P$4="Estimate",SUMPRODUCT(O95:O98,$G95:$G98),IF(P$4="Forecast",O99,""))</f>
        <v>5.4938550208960182</v>
      </c>
      <c r="Q99" s="117">
        <f t="shared" ref="Q99" si="114">IF(Q$4="Estimate",SUMPRODUCT(P95:P98,$G95:$G98),IF(Q$4="Forecast",P99,""))</f>
        <v>5.4938550208960182</v>
      </c>
      <c r="R99" s="117">
        <f t="shared" ref="R99" si="115">IF(R$4="Estimate",SUMPRODUCT(Q95:Q98,$G95:$G98),IF(R$4="Forecast",Q99,""))</f>
        <v>5.4938550208960182</v>
      </c>
      <c r="S99" s="341"/>
      <c r="T99" s="341"/>
      <c r="U99" s="118"/>
      <c r="V99" s="220">
        <f t="shared" si="53"/>
        <v>0</v>
      </c>
      <c r="W99" s="220">
        <f t="shared" si="54"/>
        <v>0</v>
      </c>
      <c r="X99" s="220">
        <f t="shared" si="55"/>
        <v>0</v>
      </c>
      <c r="Y99" s="122"/>
    </row>
    <row r="100" spans="1:25" ht="12" customHeight="1" outlineLevel="2" x14ac:dyDescent="0.25">
      <c r="A100" s="845"/>
      <c r="B100" s="25"/>
      <c r="D100" s="9" t="s">
        <v>90</v>
      </c>
      <c r="G100" s="214" t="s">
        <v>16</v>
      </c>
      <c r="H100" s="311"/>
      <c r="I100" s="214"/>
      <c r="J100" s="319">
        <f>SUM(J94,J99)</f>
        <v>5.3237662287909409</v>
      </c>
      <c r="K100" s="319">
        <f t="shared" ref="K100" si="116">SUM(K94,K99)</f>
        <v>11.921636069088946</v>
      </c>
      <c r="L100" s="319">
        <f t="shared" ref="L100" si="117">SUM(L94,L99)</f>
        <v>-0.76383723519182944</v>
      </c>
      <c r="M100" s="319">
        <f t="shared" ref="M100" si="118">SUM(M94,M99)</f>
        <v>5.4938550208960182</v>
      </c>
      <c r="N100" s="319">
        <f t="shared" ref="N100" ca="1" si="119">SUM(N94,N99)</f>
        <v>5.4938550208960182</v>
      </c>
      <c r="O100" s="319">
        <f t="shared" ref="O100" ca="1" si="120">SUM(O94,O99)</f>
        <v>5.4938550208960182</v>
      </c>
      <c r="P100" s="319">
        <f t="shared" ref="P100:R100" ca="1" si="121">SUM(P94,P99)</f>
        <v>5.4938550208960182</v>
      </c>
      <c r="Q100" s="319">
        <f t="shared" ca="1" si="121"/>
        <v>5.4938550208960182</v>
      </c>
      <c r="R100" s="319">
        <f t="shared" ca="1" si="121"/>
        <v>5.4938550208960182</v>
      </c>
      <c r="S100" s="341"/>
      <c r="T100" s="341"/>
      <c r="U100" s="118"/>
      <c r="V100" s="220">
        <f t="shared" si="53"/>
        <v>0</v>
      </c>
      <c r="W100" s="220">
        <f t="shared" si="54"/>
        <v>-8.1924420122256763</v>
      </c>
      <c r="X100" s="220">
        <f t="shared" ca="1" si="55"/>
        <v>0</v>
      </c>
      <c r="Y100" s="122"/>
    </row>
    <row r="101" spans="1:25" ht="12" customHeight="1" outlineLevel="2" x14ac:dyDescent="0.25">
      <c r="A101" s="845"/>
      <c r="B101" s="25"/>
      <c r="D101" s="10"/>
      <c r="E101" s="12"/>
      <c r="F101" s="12"/>
      <c r="G101" s="215"/>
      <c r="H101" s="311"/>
      <c r="I101" s="215"/>
      <c r="J101" s="108"/>
      <c r="K101" s="108"/>
      <c r="L101" s="108"/>
      <c r="M101" s="108"/>
      <c r="N101" s="108"/>
      <c r="O101" s="108"/>
      <c r="P101" s="108"/>
      <c r="Q101" s="108"/>
      <c r="R101" s="108"/>
      <c r="S101" s="341"/>
      <c r="T101" s="341"/>
      <c r="U101" s="118"/>
      <c r="V101" s="220">
        <f t="shared" si="53"/>
        <v>0</v>
      </c>
      <c r="W101" s="220">
        <f t="shared" si="54"/>
        <v>0</v>
      </c>
      <c r="X101" s="220">
        <f t="shared" si="55"/>
        <v>0</v>
      </c>
      <c r="Y101" s="122"/>
    </row>
    <row r="102" spans="1:25" ht="12" customHeight="1" outlineLevel="1" x14ac:dyDescent="0.25">
      <c r="B102" s="25"/>
      <c r="D102" s="74" t="str">
        <f>D92</f>
        <v>Closing balance other receivables</v>
      </c>
      <c r="E102" s="50"/>
      <c r="F102" s="50"/>
      <c r="G102" s="320" t="str">
        <f>"EUR "&amp;Multiplier</f>
        <v>EUR thd</v>
      </c>
      <c r="H102" s="321"/>
      <c r="I102" s="322"/>
      <c r="J102" s="227">
        <f t="shared" ref="J102:P102" si="122">J100/(J$2-J$1+1)*J90</f>
        <v>73.341375437669285</v>
      </c>
      <c r="K102" s="227">
        <f t="shared" si="122"/>
        <v>317.8685644998605</v>
      </c>
      <c r="L102" s="227">
        <f t="shared" si="122"/>
        <v>-15.974013164947788</v>
      </c>
      <c r="M102" s="227">
        <f t="shared" si="122"/>
        <v>180.14829337204424</v>
      </c>
      <c r="N102" s="227">
        <f t="shared" ca="1" si="122"/>
        <v>188.63888916621846</v>
      </c>
      <c r="O102" s="227">
        <f t="shared" ca="1" si="122"/>
        <v>198.61349344267876</v>
      </c>
      <c r="P102" s="227">
        <f t="shared" ca="1" si="122"/>
        <v>208.54416811481269</v>
      </c>
      <c r="Q102" s="227">
        <f t="shared" ref="Q102:R102" ca="1" si="123">Q100/(Q$2-Q$1+1)*Q90</f>
        <v>218.97137652055335</v>
      </c>
      <c r="R102" s="227">
        <f t="shared" ca="1" si="123"/>
        <v>229.29174877459582</v>
      </c>
      <c r="S102" s="341"/>
      <c r="T102" s="341"/>
      <c r="U102" s="118"/>
      <c r="V102" s="220">
        <f t="shared" si="53"/>
        <v>0</v>
      </c>
      <c r="W102" s="220">
        <f t="shared" si="54"/>
        <v>-12.277585132291524</v>
      </c>
      <c r="X102" s="220">
        <f t="shared" ca="1" si="55"/>
        <v>5.0000000000000044E-2</v>
      </c>
      <c r="Y102" s="122"/>
    </row>
    <row r="103" spans="1:25" ht="12" customHeight="1" outlineLevel="1" x14ac:dyDescent="0.25">
      <c r="D103" s="10"/>
      <c r="G103" s="215"/>
      <c r="H103" s="215"/>
      <c r="I103" s="215"/>
      <c r="J103" s="118"/>
      <c r="K103" s="118"/>
      <c r="L103" s="118"/>
      <c r="M103" s="118"/>
      <c r="N103" s="118"/>
      <c r="O103" s="118"/>
      <c r="P103" s="118"/>
      <c r="Q103" s="118"/>
      <c r="R103" s="118"/>
      <c r="S103" s="118"/>
      <c r="T103" s="118"/>
      <c r="U103" s="118"/>
      <c r="V103" s="220">
        <f t="shared" si="53"/>
        <v>0</v>
      </c>
      <c r="W103" s="220">
        <f t="shared" si="54"/>
        <v>0</v>
      </c>
      <c r="X103" s="220">
        <f t="shared" si="55"/>
        <v>0</v>
      </c>
    </row>
    <row r="104" spans="1:25" ht="12" customHeight="1" outlineLevel="1" x14ac:dyDescent="0.25">
      <c r="A104" s="845"/>
      <c r="B104" s="25">
        <f ca="1">MAX($A$1:B103)+0.1</f>
        <v>1.6000000000000005</v>
      </c>
      <c r="C104" s="9" t="str">
        <f>'1.3.Historical BS'!D36</f>
        <v>Short term investments</v>
      </c>
      <c r="D104" s="10"/>
      <c r="E104" s="12"/>
      <c r="F104" s="12"/>
      <c r="G104" s="215"/>
      <c r="H104" s="311"/>
      <c r="I104" s="215"/>
      <c r="J104" s="323"/>
      <c r="K104" s="118"/>
      <c r="L104" s="118"/>
      <c r="M104" s="118"/>
      <c r="N104" s="118"/>
      <c r="O104" s="118"/>
      <c r="P104" s="118"/>
      <c r="Q104" s="118"/>
      <c r="R104" s="118"/>
      <c r="S104" s="118"/>
      <c r="T104" s="118"/>
      <c r="U104" s="118"/>
      <c r="V104" s="220">
        <f t="shared" si="53"/>
        <v>0</v>
      </c>
      <c r="W104" s="220">
        <f t="shared" si="54"/>
        <v>0</v>
      </c>
      <c r="X104" s="220">
        <f t="shared" si="55"/>
        <v>0</v>
      </c>
      <c r="Y104" s="122"/>
    </row>
    <row r="105" spans="1:25" ht="12" customHeight="1" outlineLevel="2" x14ac:dyDescent="0.25">
      <c r="A105" s="845"/>
      <c r="B105" s="25"/>
      <c r="E105" s="10" t="str">
        <f>'0.2.Parameters'!$F$98</f>
        <v>Sale of finished goods, of which:</v>
      </c>
      <c r="G105" s="291" t="str">
        <f t="shared" ref="G105:G109" si="124">"EUR "&amp;Multiplier</f>
        <v>EUR thd</v>
      </c>
      <c r="H105" s="416">
        <f>'0.2.Parameters'!H126</f>
        <v>1</v>
      </c>
      <c r="I105" s="215"/>
      <c r="J105" s="107">
        <f>'3.1. Income Statement'!J$10</f>
        <v>3581.311171728868</v>
      </c>
      <c r="K105" s="107">
        <f>'3.1. Income Statement'!K$10</f>
        <v>8365.4754405551539</v>
      </c>
      <c r="L105" s="107">
        <f>'3.1. Income Statement'!L$10</f>
        <v>6263.9606425271304</v>
      </c>
      <c r="M105" s="107">
        <f>'3.1. Income Statement'!M$10</f>
        <v>9801.1922500000001</v>
      </c>
      <c r="N105" s="107">
        <f>'3.1. Income Statement'!N$10</f>
        <v>10291.251862500001</v>
      </c>
      <c r="O105" s="107">
        <f>'3.1. Income Statement'!O$10</f>
        <v>10805.814455625001</v>
      </c>
      <c r="P105" s="107">
        <f>'3.1. Income Statement'!P$10</f>
        <v>11346.105178406251</v>
      </c>
      <c r="Q105" s="107">
        <f>'3.1. Income Statement'!Q$10</f>
        <v>11913.410437326564</v>
      </c>
      <c r="R105" s="107">
        <f>'3.1. Income Statement'!R$10</f>
        <v>12509.080959192892</v>
      </c>
      <c r="S105" s="341"/>
      <c r="T105" s="341"/>
      <c r="U105" s="118"/>
      <c r="V105" s="220">
        <f t="shared" si="53"/>
        <v>0.32252375469423566</v>
      </c>
      <c r="W105" s="220">
        <f t="shared" si="54"/>
        <v>0.56469569483849913</v>
      </c>
      <c r="X105" s="220">
        <f t="shared" si="55"/>
        <v>5.0000000000000044E-2</v>
      </c>
      <c r="Y105" s="122"/>
    </row>
    <row r="106" spans="1:25" ht="12" customHeight="1" outlineLevel="2" x14ac:dyDescent="0.25">
      <c r="A106" s="845"/>
      <c r="B106" s="25"/>
      <c r="D106" s="12"/>
      <c r="E106" s="10" t="str">
        <f>'0.2.Parameters'!$F$99</f>
        <v>Services rendered</v>
      </c>
      <c r="F106" s="12"/>
      <c r="G106" s="291" t="str">
        <f t="shared" si="124"/>
        <v>EUR thd</v>
      </c>
      <c r="H106" s="416">
        <f>'0.2.Parameters'!H127</f>
        <v>1</v>
      </c>
      <c r="I106" s="215"/>
      <c r="J106" s="107">
        <f>'3.1. Income Statement'!J$11</f>
        <v>379.61050146967131</v>
      </c>
      <c r="K106" s="107">
        <f>'3.1. Income Statement'!K$11</f>
        <v>691.0021080974584</v>
      </c>
      <c r="L106" s="107">
        <f>'3.1. Income Statement'!L$11</f>
        <v>416.49837756527342</v>
      </c>
      <c r="M106" s="107">
        <f>'3.1. Income Statement'!M$11</f>
        <v>651.69321828360307</v>
      </c>
      <c r="N106" s="107">
        <f>'3.1. Income Statement'!N$11</f>
        <v>684.27787919778325</v>
      </c>
      <c r="O106" s="107">
        <f>'3.1. Income Statement'!O$11</f>
        <v>718.49177315767247</v>
      </c>
      <c r="P106" s="107">
        <f>'3.1. Income Statement'!P$11</f>
        <v>754.41636181555612</v>
      </c>
      <c r="Q106" s="107">
        <f>'3.1. Income Statement'!Q$11</f>
        <v>792.13717990633393</v>
      </c>
      <c r="R106" s="107">
        <f>'3.1. Income Statement'!R$11</f>
        <v>831.7440389016507</v>
      </c>
      <c r="S106" s="341"/>
      <c r="T106" s="341"/>
      <c r="U106" s="118"/>
      <c r="V106" s="220">
        <f t="shared" si="53"/>
        <v>4.7460242708311728E-2</v>
      </c>
      <c r="W106" s="220">
        <f t="shared" si="54"/>
        <v>0.56469569483849913</v>
      </c>
      <c r="X106" s="220">
        <f t="shared" si="55"/>
        <v>5.0000000000000044E-2</v>
      </c>
      <c r="Y106" s="122"/>
    </row>
    <row r="107" spans="1:25" ht="12" customHeight="1" outlineLevel="2" x14ac:dyDescent="0.25">
      <c r="A107" s="845"/>
      <c r="B107" s="25"/>
      <c r="D107" s="12"/>
      <c r="E107" s="10" t="str">
        <f>'0.2.Parameters'!$F$100</f>
        <v>Sale of goods purchased for resale</v>
      </c>
      <c r="F107" s="12"/>
      <c r="G107" s="291" t="str">
        <f t="shared" si="124"/>
        <v>EUR thd</v>
      </c>
      <c r="H107" s="416">
        <f>'0.2.Parameters'!H128</f>
        <v>1</v>
      </c>
      <c r="I107" s="215"/>
      <c r="J107" s="107">
        <f>'3.1. Income Statement'!J$12</f>
        <v>1025.8539703393606</v>
      </c>
      <c r="K107" s="107">
        <f>'3.1. Income Statement'!K$12</f>
        <v>636.83500142291098</v>
      </c>
      <c r="L107" s="107">
        <f>'3.1. Income Statement'!L$12</f>
        <v>913.85854303212636</v>
      </c>
      <c r="M107" s="107">
        <f>'3.1. Income Statement'!M$12</f>
        <v>1429.9105279737514</v>
      </c>
      <c r="N107" s="107">
        <f>'3.1. Income Statement'!N$12</f>
        <v>1501.406054372439</v>
      </c>
      <c r="O107" s="107">
        <f>'3.1. Income Statement'!O$12</f>
        <v>1576.4763570910611</v>
      </c>
      <c r="P107" s="107">
        <f>'3.1. Income Statement'!P$12</f>
        <v>1655.3001749456143</v>
      </c>
      <c r="Q107" s="107">
        <f>'3.1. Income Statement'!Q$12</f>
        <v>1738.0651836928951</v>
      </c>
      <c r="R107" s="107">
        <f>'3.1. Income Statement'!R$12</f>
        <v>1824.9684428775399</v>
      </c>
      <c r="S107" s="341"/>
      <c r="T107" s="341"/>
      <c r="U107" s="118"/>
      <c r="V107" s="220">
        <f t="shared" si="53"/>
        <v>-5.6163613243395027E-2</v>
      </c>
      <c r="W107" s="220">
        <f t="shared" si="54"/>
        <v>0.56469569483849913</v>
      </c>
      <c r="X107" s="220">
        <f t="shared" si="55"/>
        <v>5.0000000000000044E-2</v>
      </c>
      <c r="Y107" s="122"/>
    </row>
    <row r="108" spans="1:25" ht="12" customHeight="1" outlineLevel="2" x14ac:dyDescent="0.25">
      <c r="A108" s="845"/>
      <c r="B108" s="25"/>
      <c r="D108" s="12"/>
      <c r="E108" s="10" t="str">
        <f>'0.2.Parameters'!$F$101</f>
        <v>Other operating revenues except revenues from subsidiese, fines and penalties</v>
      </c>
      <c r="F108" s="12"/>
      <c r="G108" s="291" t="str">
        <f t="shared" si="124"/>
        <v>EUR thd</v>
      </c>
      <c r="H108" s="416">
        <f>'0.2.Parameters'!H129</f>
        <v>1</v>
      </c>
      <c r="I108" s="215"/>
      <c r="J108" s="107">
        <f>'3.1. Income Statement'!J$15-'3.1. Income Statement'!J$16</f>
        <v>55.3209205486773</v>
      </c>
      <c r="K108" s="107">
        <f>'3.1. Income Statement'!K$15-'3.1. Income Statement'!K$16</f>
        <v>38.743131717782006</v>
      </c>
      <c r="L108" s="107">
        <f>'3.1. Income Statement'!L$15-'3.1. Income Statement'!L$16</f>
        <v>38.872515311056191</v>
      </c>
      <c r="M108" s="107">
        <f>'3.1. Income Statement'!M$15-'3.1. Income Statement'!M$16</f>
        <v>85.872057540685987</v>
      </c>
      <c r="N108" s="107">
        <f ca="1">'3.1. Income Statement'!N$15-'3.1. Income Statement'!N$16</f>
        <v>90.165660417720304</v>
      </c>
      <c r="O108" s="107">
        <f ca="1">'3.1. Income Statement'!O$15-'3.1. Income Statement'!O$16</f>
        <v>94.673943438606315</v>
      </c>
      <c r="P108" s="107">
        <f ca="1">'3.1. Income Statement'!P$15-'3.1. Income Statement'!P$16</f>
        <v>99.407640610536632</v>
      </c>
      <c r="Q108" s="107">
        <f ca="1">'3.1. Income Statement'!Q$15-'3.1. Income Statement'!Q$16</f>
        <v>104.37802264106347</v>
      </c>
      <c r="R108" s="107">
        <f ca="1">'3.1. Income Statement'!R$15-'3.1. Income Statement'!R$16</f>
        <v>109.59692377311663</v>
      </c>
      <c r="S108" s="341"/>
      <c r="T108" s="341"/>
      <c r="U108" s="118"/>
      <c r="V108" s="220">
        <f t="shared" si="53"/>
        <v>-0.16174409291086433</v>
      </c>
      <c r="W108" s="220">
        <f t="shared" si="54"/>
        <v>1.2090687174097554</v>
      </c>
      <c r="X108" s="220">
        <f t="shared" ca="1" si="55"/>
        <v>5.0000000000000044E-2</v>
      </c>
      <c r="Y108" s="122"/>
    </row>
    <row r="109" spans="1:25" ht="12" customHeight="1" outlineLevel="2" x14ac:dyDescent="0.25">
      <c r="A109" s="845"/>
      <c r="B109" s="25"/>
      <c r="D109" s="9" t="s">
        <v>93</v>
      </c>
      <c r="G109" s="310" t="str">
        <f t="shared" si="124"/>
        <v>EUR thd</v>
      </c>
      <c r="H109" s="417"/>
      <c r="I109" s="214"/>
      <c r="J109" s="216">
        <f>SUMIF($H105:$H108,1,J105:J108)</f>
        <v>5042.096564086577</v>
      </c>
      <c r="K109" s="216">
        <f t="shared" ref="K109" si="125">SUMIF($H105:$H108,1,K105:K108)</f>
        <v>9732.0556817933048</v>
      </c>
      <c r="L109" s="216">
        <f t="shared" ref="L109" si="126">SUMIF($H105:$H108,1,L105:L108)</f>
        <v>7633.1900784355867</v>
      </c>
      <c r="M109" s="216">
        <f t="shared" ref="M109" si="127">SUMIF($H105:$H108,1,M105:M108)</f>
        <v>11968.668053798041</v>
      </c>
      <c r="N109" s="216">
        <f t="shared" ref="N109" ca="1" si="128">SUMIF($H105:$H108,1,N105:N108)</f>
        <v>12567.101456487944</v>
      </c>
      <c r="O109" s="216">
        <f t="shared" ref="O109" ca="1" si="129">SUMIF($H105:$H108,1,O105:O108)</f>
        <v>13195.45652931234</v>
      </c>
      <c r="P109" s="216">
        <f t="shared" ref="P109:R109" ca="1" si="130">SUMIF($H105:$H108,1,P105:P108)</f>
        <v>13855.229355777958</v>
      </c>
      <c r="Q109" s="216">
        <f t="shared" ca="1" si="130"/>
        <v>14547.990823566857</v>
      </c>
      <c r="R109" s="216">
        <f t="shared" ca="1" si="130"/>
        <v>15275.390364745199</v>
      </c>
      <c r="S109" s="341"/>
      <c r="T109" s="341"/>
      <c r="U109" s="118"/>
      <c r="V109" s="220">
        <f t="shared" si="53"/>
        <v>0.23040322035288541</v>
      </c>
      <c r="W109" s="220">
        <f t="shared" si="54"/>
        <v>0.56797720622869718</v>
      </c>
      <c r="X109" s="220">
        <f t="shared" ca="1" si="55"/>
        <v>5.0000000000000044E-2</v>
      </c>
      <c r="Y109" s="122"/>
    </row>
    <row r="110" spans="1:25" ht="12" customHeight="1" outlineLevel="2" x14ac:dyDescent="0.25">
      <c r="A110" s="845"/>
      <c r="B110" s="25"/>
      <c r="D110" s="10"/>
      <c r="G110" s="215"/>
      <c r="H110" s="417"/>
      <c r="I110" s="215"/>
      <c r="J110" s="108"/>
      <c r="K110" s="108"/>
      <c r="L110" s="108"/>
      <c r="M110" s="108"/>
      <c r="N110" s="108"/>
      <c r="O110" s="108"/>
      <c r="P110" s="108"/>
      <c r="Q110" s="108"/>
      <c r="R110" s="108"/>
      <c r="S110" s="341"/>
      <c r="T110" s="341"/>
      <c r="U110" s="118"/>
      <c r="V110" s="220">
        <f t="shared" si="53"/>
        <v>0</v>
      </c>
      <c r="W110" s="220">
        <f t="shared" si="54"/>
        <v>0</v>
      </c>
      <c r="X110" s="220">
        <f t="shared" si="55"/>
        <v>0</v>
      </c>
      <c r="Y110" s="122"/>
    </row>
    <row r="111" spans="1:25" s="6" customFormat="1" ht="12" customHeight="1" outlineLevel="2" x14ac:dyDescent="0.25">
      <c r="A111" s="845"/>
      <c r="B111" s="25"/>
      <c r="C111" s="9"/>
      <c r="D111" s="9" t="str">
        <f>"Closing balance "&amp;LOWER(C104)</f>
        <v>Closing balance short term investments</v>
      </c>
      <c r="G111" s="310" t="str">
        <f>"EUR "&amp;Multiplier</f>
        <v>EUR thd</v>
      </c>
      <c r="H111" s="417"/>
      <c r="I111" s="214"/>
      <c r="J111" s="312">
        <f>IF((J$4="Actual"),SUMIF('1.3.Historical BS'!$D$30:$D$38,$C104,'1.3.Historical BS'!O$30:O$38),"n/a")</f>
        <v>0</v>
      </c>
      <c r="K111" s="312">
        <f>IF((K$4="Actual"),SUMIF('1.3.Historical BS'!$D$30:$D$38,$C104,'1.3.Historical BS'!P$30:P$38),"n/a")</f>
        <v>0</v>
      </c>
      <c r="L111" s="312">
        <f>IF((L$4="Actual"),SUMIF('1.3.Historical BS'!$D$30:$D$38,$C104,'1.3.Historical BS'!Q$30:Q$38),"n/a")</f>
        <v>0</v>
      </c>
      <c r="M111" s="312" t="str">
        <f>IF((M$4="Actual"),SUMIF('1.3.Historical BS'!$D$30:$D$38,$C104,'1.3.Historical BS'!R$30:R$38),"n/a")</f>
        <v>n/a</v>
      </c>
      <c r="N111" s="312" t="str">
        <f>IF((N$4="Actual"),SUMIF('1.3.Historical BS'!$D$30:$D$38,$C104,'1.3.Historical BS'!S$30:S$38),"n/a")</f>
        <v>n/a</v>
      </c>
      <c r="O111" s="312" t="str">
        <f>IF((O$4="Actual"),SUMIF('1.3.Historical BS'!$D$30:$D$38,$C104,'1.3.Historical BS'!T$30:T$38),"n/a")</f>
        <v>n/a</v>
      </c>
      <c r="P111" s="312" t="str">
        <f>IF((P$4="Actual"),SUMIF('1.3.Historical BS'!$D$30:$D$38,$C104,'1.3.Historical BS'!U$30:U$38),"n/a")</f>
        <v>n/a</v>
      </c>
      <c r="Q111" s="312" t="str">
        <f>IF((Q$4="Actual"),SUMIF('1.3.Historical BS'!$D$30:$D$38,$C104,'1.3.Historical BS'!V$30:V$38),"n/a")</f>
        <v>n/a</v>
      </c>
      <c r="R111" s="312" t="str">
        <f>IF((R$4="Actual"),SUMIF('1.3.Historical BS'!$D$30:$D$38,$C104,'1.3.Historical BS'!W$30:W$38),"n/a")</f>
        <v>n/a</v>
      </c>
      <c r="S111" s="341"/>
      <c r="T111" s="341"/>
      <c r="U111" s="218"/>
      <c r="V111" s="220">
        <f t="shared" si="53"/>
        <v>0</v>
      </c>
      <c r="W111" s="220">
        <f t="shared" si="54"/>
        <v>0</v>
      </c>
      <c r="X111" s="220">
        <f t="shared" si="55"/>
        <v>0</v>
      </c>
      <c r="Y111" s="125"/>
    </row>
    <row r="112" spans="1:25" ht="12" customHeight="1" outlineLevel="2" x14ac:dyDescent="0.25">
      <c r="A112" s="845"/>
      <c r="B112" s="25"/>
      <c r="D112" s="10"/>
      <c r="G112" s="215"/>
      <c r="H112" s="417"/>
      <c r="I112" s="215"/>
      <c r="J112" s="108"/>
      <c r="K112" s="108"/>
      <c r="L112" s="108"/>
      <c r="M112" s="108"/>
      <c r="N112" s="108"/>
      <c r="O112" s="108"/>
      <c r="P112" s="108"/>
      <c r="Q112" s="108"/>
      <c r="R112" s="108"/>
      <c r="S112" s="341"/>
      <c r="T112" s="341"/>
      <c r="U112" s="118"/>
      <c r="V112" s="220">
        <f t="shared" si="53"/>
        <v>0</v>
      </c>
      <c r="W112" s="220">
        <f t="shared" si="54"/>
        <v>0</v>
      </c>
      <c r="X112" s="220">
        <f t="shared" si="55"/>
        <v>0</v>
      </c>
      <c r="Y112" s="122"/>
    </row>
    <row r="113" spans="1:25" s="6" customFormat="1" ht="12" customHeight="1" outlineLevel="2" x14ac:dyDescent="0.25">
      <c r="A113" s="845"/>
      <c r="B113" s="25"/>
      <c r="C113" s="9"/>
      <c r="D113" s="9" t="s">
        <v>92</v>
      </c>
      <c r="G113" s="214" t="s">
        <v>16</v>
      </c>
      <c r="H113" s="416" t="str">
        <f>'0.2.Parameters'!H130</f>
        <v>Average</v>
      </c>
      <c r="I113" s="313"/>
      <c r="J113" s="216">
        <f t="shared" ref="J113:P113" si="131">IF(ISERROR(J111/J109*(J$2-J$1+1)),"",J111/J109*(J$2-J$1+1))</f>
        <v>0</v>
      </c>
      <c r="K113" s="216">
        <f t="shared" si="131"/>
        <v>0</v>
      </c>
      <c r="L113" s="216">
        <f t="shared" si="131"/>
        <v>0</v>
      </c>
      <c r="M113" s="430" t="str">
        <f t="shared" ref="M113" si="132">IF(ISERROR(M111/M109*(M$2-M$1+1)),"",M111/M109*(M$2-M$1+1))</f>
        <v/>
      </c>
      <c r="N113" s="430" t="str">
        <f t="shared" ca="1" si="131"/>
        <v/>
      </c>
      <c r="O113" s="430" t="str">
        <f t="shared" ca="1" si="131"/>
        <v/>
      </c>
      <c r="P113" s="430" t="str">
        <f t="shared" ca="1" si="131"/>
        <v/>
      </c>
      <c r="Q113" s="430" t="str">
        <f t="shared" ref="Q113:R113" ca="1" si="133">IF(ISERROR(Q111/Q109*(Q$2-Q$1+1)),"",Q111/Q109*(Q$2-Q$1+1))</f>
        <v/>
      </c>
      <c r="R113" s="430" t="str">
        <f t="shared" ca="1" si="133"/>
        <v/>
      </c>
      <c r="S113" s="341"/>
      <c r="T113" s="341"/>
      <c r="U113" s="218"/>
      <c r="V113" s="220">
        <f t="shared" si="53"/>
        <v>0</v>
      </c>
      <c r="W113" s="220">
        <f t="shared" si="54"/>
        <v>0</v>
      </c>
      <c r="X113" s="220">
        <f t="shared" ca="1" si="55"/>
        <v>0</v>
      </c>
      <c r="Y113" s="125"/>
    </row>
    <row r="114" spans="1:25" s="13" customFormat="1" ht="12" customHeight="1" outlineLevel="3" x14ac:dyDescent="0.25">
      <c r="A114" s="850"/>
      <c r="B114" s="56"/>
      <c r="C114" s="43"/>
      <c r="F114" s="11" t="s">
        <v>135</v>
      </c>
      <c r="G114" s="314">
        <f>($F114=H113)*1</f>
        <v>0</v>
      </c>
      <c r="H114" s="311"/>
      <c r="I114" s="315"/>
      <c r="J114" s="223">
        <f>J113</f>
        <v>0</v>
      </c>
      <c r="K114" s="223">
        <f>K113</f>
        <v>0</v>
      </c>
      <c r="L114" s="223">
        <f>L113</f>
        <v>0</v>
      </c>
      <c r="M114" s="341"/>
      <c r="N114" s="341"/>
      <c r="O114" s="341"/>
      <c r="P114" s="341"/>
      <c r="Q114" s="341"/>
      <c r="R114" s="341"/>
      <c r="S114" s="341"/>
      <c r="T114" s="341"/>
      <c r="U114" s="225"/>
      <c r="V114" s="220">
        <f t="shared" si="53"/>
        <v>0</v>
      </c>
      <c r="W114" s="220">
        <f t="shared" si="54"/>
        <v>0</v>
      </c>
      <c r="X114" s="220">
        <f t="shared" si="55"/>
        <v>0</v>
      </c>
      <c r="Y114" s="126"/>
    </row>
    <row r="115" spans="1:25" s="13" customFormat="1" ht="12" customHeight="1" outlineLevel="3" x14ac:dyDescent="0.25">
      <c r="A115" s="850"/>
      <c r="B115" s="56"/>
      <c r="C115" s="43"/>
      <c r="F115" s="11" t="s">
        <v>116</v>
      </c>
      <c r="G115" s="316">
        <f>($F115=H113)*1</f>
        <v>1</v>
      </c>
      <c r="H115" s="311"/>
      <c r="I115" s="315"/>
      <c r="J115" s="223">
        <f>IF(ISERROR(AVERAGE($J113:J113)),"",AVERAGE($J113:J113))</f>
        <v>0</v>
      </c>
      <c r="K115" s="223">
        <f>IF(ISERROR(AVERAGE($J113:K113)),"",AVERAGE($J113:K113))</f>
        <v>0</v>
      </c>
      <c r="L115" s="223">
        <f>IF(ISERROR(AVERAGE($J113:L113)),"",AVERAGE($J113:L113))</f>
        <v>0</v>
      </c>
      <c r="M115" s="341"/>
      <c r="N115" s="341"/>
      <c r="O115" s="341"/>
      <c r="P115" s="341"/>
      <c r="Q115" s="341"/>
      <c r="R115" s="341"/>
      <c r="S115" s="341"/>
      <c r="T115" s="341"/>
      <c r="U115" s="225"/>
      <c r="V115" s="220">
        <f t="shared" si="53"/>
        <v>0</v>
      </c>
      <c r="W115" s="220">
        <f t="shared" si="54"/>
        <v>0</v>
      </c>
      <c r="X115" s="220">
        <f t="shared" si="55"/>
        <v>0</v>
      </c>
      <c r="Y115" s="126"/>
    </row>
    <row r="116" spans="1:25" s="13" customFormat="1" ht="12" customHeight="1" outlineLevel="3" x14ac:dyDescent="0.25">
      <c r="A116" s="850"/>
      <c r="B116" s="56"/>
      <c r="C116" s="43"/>
      <c r="F116" s="11" t="s">
        <v>118</v>
      </c>
      <c r="G116" s="316">
        <f>($F116=H113)*1</f>
        <v>0</v>
      </c>
      <c r="H116" s="311"/>
      <c r="I116" s="315"/>
      <c r="J116" s="223">
        <f>IF(ISERROR(MIN($J113:J113)),"",MIN($J113:J113))</f>
        <v>0</v>
      </c>
      <c r="K116" s="223">
        <f>IF(ISERROR(MIN($J113:K113)),"",MIN($J113:K113))</f>
        <v>0</v>
      </c>
      <c r="L116" s="223">
        <f>IF(ISERROR(MIN($J113:L113)),"",MIN($J113:L113))</f>
        <v>0</v>
      </c>
      <c r="M116" s="341"/>
      <c r="N116" s="341"/>
      <c r="O116" s="341"/>
      <c r="P116" s="341"/>
      <c r="Q116" s="341"/>
      <c r="R116" s="341"/>
      <c r="S116" s="341"/>
      <c r="T116" s="341"/>
      <c r="U116" s="225"/>
      <c r="V116" s="220">
        <f t="shared" si="53"/>
        <v>0</v>
      </c>
      <c r="W116" s="220">
        <f t="shared" si="54"/>
        <v>0</v>
      </c>
      <c r="X116" s="220">
        <f t="shared" si="55"/>
        <v>0</v>
      </c>
      <c r="Y116" s="126"/>
    </row>
    <row r="117" spans="1:25" s="13" customFormat="1" ht="12" customHeight="1" outlineLevel="3" x14ac:dyDescent="0.25">
      <c r="A117" s="850"/>
      <c r="B117" s="56"/>
      <c r="C117" s="43"/>
      <c r="F117" s="11" t="s">
        <v>117</v>
      </c>
      <c r="G117" s="317">
        <f>($F117=H113)*1</f>
        <v>0</v>
      </c>
      <c r="H117" s="311"/>
      <c r="I117" s="315"/>
      <c r="J117" s="223">
        <f>IF(ISERROR(MAX($J113:J113)),"",MAX($J113:J113))</f>
        <v>0</v>
      </c>
      <c r="K117" s="223">
        <f>IF(ISERROR(MAX($J113:K113)),"",MAX($J113:K113))</f>
        <v>0</v>
      </c>
      <c r="L117" s="223">
        <f>IF(ISERROR(MAX($J113:L113)),"",MAX($J113:L113))</f>
        <v>0</v>
      </c>
      <c r="M117" s="341"/>
      <c r="N117" s="341"/>
      <c r="O117" s="341"/>
      <c r="P117" s="341"/>
      <c r="Q117" s="341"/>
      <c r="R117" s="341"/>
      <c r="S117" s="341"/>
      <c r="T117" s="341"/>
      <c r="U117" s="225"/>
      <c r="V117" s="220">
        <f t="shared" si="53"/>
        <v>0</v>
      </c>
      <c r="W117" s="220">
        <f t="shared" si="54"/>
        <v>0</v>
      </c>
      <c r="X117" s="220">
        <f t="shared" si="55"/>
        <v>0</v>
      </c>
      <c r="Y117" s="126"/>
    </row>
    <row r="118" spans="1:25" ht="12" customHeight="1" outlineLevel="2" x14ac:dyDescent="0.25">
      <c r="A118" s="845"/>
      <c r="B118" s="25"/>
      <c r="E118" s="10" t="s">
        <v>91</v>
      </c>
      <c r="G118" s="215" t="s">
        <v>16</v>
      </c>
      <c r="H118" s="418">
        <v>0</v>
      </c>
      <c r="I118" s="318"/>
      <c r="J118" s="117" t="str">
        <f t="shared" ref="J118" si="134">IF(J$4="Estimate",SUMPRODUCT(I114:I117,$G114:$G117),IF(J$4="Forecast",I118,""))</f>
        <v/>
      </c>
      <c r="K118" s="117" t="str">
        <f t="shared" ref="K118" si="135">IF(K$4="Estimate",SUMPRODUCT(J114:J117,$G114:$G117),IF(K$4="Forecast",J118,""))</f>
        <v/>
      </c>
      <c r="L118" s="117" t="str">
        <f t="shared" ref="L118" si="136">IF(L$4="Estimate",SUMPRODUCT(K114:K117,$G114:$G117),IF(L$4="Forecast",K118,""))</f>
        <v/>
      </c>
      <c r="M118" s="117">
        <f>SUMPRODUCT(L114:L117,$G114:$G117)</f>
        <v>0</v>
      </c>
      <c r="N118" s="117">
        <f t="shared" ref="N118" si="137">IF(N$4="Estimate",SUMPRODUCT(M114:M117,$G114:$G117),IF(N$4="Forecast",M118,""))</f>
        <v>0</v>
      </c>
      <c r="O118" s="117">
        <f t="shared" ref="O118" si="138">IF(O$4="Estimate",SUMPRODUCT(N114:N117,$G114:$G117),IF(O$4="Forecast",N118,""))</f>
        <v>0</v>
      </c>
      <c r="P118" s="117">
        <f t="shared" ref="P118" si="139">IF(P$4="Estimate",SUMPRODUCT(O114:O117,$G114:$G117),IF(P$4="Forecast",O118,""))</f>
        <v>0</v>
      </c>
      <c r="Q118" s="117">
        <f t="shared" ref="Q118" si="140">IF(Q$4="Estimate",SUMPRODUCT(P114:P117,$G114:$G117),IF(Q$4="Forecast",P118,""))</f>
        <v>0</v>
      </c>
      <c r="R118" s="117">
        <f t="shared" ref="R118" si="141">IF(R$4="Estimate",SUMPRODUCT(Q114:Q117,$G114:$G117),IF(R$4="Forecast",Q118,""))</f>
        <v>0</v>
      </c>
      <c r="S118" s="341"/>
      <c r="T118" s="341"/>
      <c r="U118" s="118"/>
      <c r="V118" s="220">
        <f t="shared" si="53"/>
        <v>0</v>
      </c>
      <c r="W118" s="220">
        <f t="shared" si="54"/>
        <v>0</v>
      </c>
      <c r="X118" s="220">
        <f t="shared" si="55"/>
        <v>0</v>
      </c>
      <c r="Y118" s="122"/>
    </row>
    <row r="119" spans="1:25" ht="12" customHeight="1" outlineLevel="2" x14ac:dyDescent="0.25">
      <c r="A119" s="845"/>
      <c r="B119" s="25"/>
      <c r="D119" s="9" t="s">
        <v>90</v>
      </c>
      <c r="G119" s="214" t="s">
        <v>16</v>
      </c>
      <c r="H119" s="311"/>
      <c r="I119" s="214"/>
      <c r="J119" s="319">
        <f>SUM(J113,J118)</f>
        <v>0</v>
      </c>
      <c r="K119" s="319">
        <f t="shared" ref="K119" si="142">SUM(K113,K118)</f>
        <v>0</v>
      </c>
      <c r="L119" s="319">
        <f t="shared" ref="L119" si="143">SUM(L113,L118)</f>
        <v>0</v>
      </c>
      <c r="M119" s="319">
        <f t="shared" ref="M119" si="144">SUM(M113,M118)</f>
        <v>0</v>
      </c>
      <c r="N119" s="319">
        <f t="shared" ref="N119" ca="1" si="145">SUM(N113,N118)</f>
        <v>0</v>
      </c>
      <c r="O119" s="319">
        <f t="shared" ref="O119" ca="1" si="146">SUM(O113,O118)</f>
        <v>0</v>
      </c>
      <c r="P119" s="319">
        <f t="shared" ref="P119:R119" ca="1" si="147">SUM(P113,P118)</f>
        <v>0</v>
      </c>
      <c r="Q119" s="319">
        <f t="shared" ca="1" si="147"/>
        <v>0</v>
      </c>
      <c r="R119" s="319">
        <f t="shared" ca="1" si="147"/>
        <v>0</v>
      </c>
      <c r="S119" s="341"/>
      <c r="T119" s="341"/>
      <c r="U119" s="118"/>
      <c r="V119" s="220">
        <f t="shared" ref="V119:V159" si="148">IF(ISERROR((($L119/$J119)^(1/($L$3-$J$3))-1)),0,(($L119/$J119)^(1/($L$3-$J$3))-1))</f>
        <v>0</v>
      </c>
      <c r="W119" s="220">
        <f t="shared" ref="W119:W159" si="149">IF(ISERROR($M119/$L119-1),0,$M119/$L119-1)</f>
        <v>0</v>
      </c>
      <c r="X119" s="220">
        <f t="shared" ref="X119:X159" ca="1" si="150">IF(ISERROR((($P119/$M119)^(1/($P$3-$M$3))-1)),0,(($P119/$M119)^(1/($P$3-$M$3))-1))</f>
        <v>0</v>
      </c>
      <c r="Y119" s="122"/>
    </row>
    <row r="120" spans="1:25" ht="12" customHeight="1" outlineLevel="2" x14ac:dyDescent="0.25">
      <c r="A120" s="845"/>
      <c r="B120" s="25"/>
      <c r="D120" s="10"/>
      <c r="E120" s="12"/>
      <c r="F120" s="12"/>
      <c r="G120" s="215"/>
      <c r="H120" s="311"/>
      <c r="I120" s="215"/>
      <c r="J120" s="108"/>
      <c r="K120" s="108"/>
      <c r="L120" s="108"/>
      <c r="M120" s="108"/>
      <c r="N120" s="108"/>
      <c r="O120" s="108"/>
      <c r="P120" s="108"/>
      <c r="Q120" s="108"/>
      <c r="R120" s="108"/>
      <c r="S120" s="341"/>
      <c r="T120" s="341"/>
      <c r="U120" s="118"/>
      <c r="V120" s="220">
        <f t="shared" si="148"/>
        <v>0</v>
      </c>
      <c r="W120" s="220">
        <f t="shared" si="149"/>
        <v>0</v>
      </c>
      <c r="X120" s="220">
        <f t="shared" si="150"/>
        <v>0</v>
      </c>
      <c r="Y120" s="122"/>
    </row>
    <row r="121" spans="1:25" ht="12" customHeight="1" outlineLevel="1" x14ac:dyDescent="0.25">
      <c r="A121" s="845"/>
      <c r="B121" s="25"/>
      <c r="D121" s="74" t="str">
        <f>D111</f>
        <v>Closing balance short term investments</v>
      </c>
      <c r="E121" s="50"/>
      <c r="F121" s="50"/>
      <c r="G121" s="320" t="str">
        <f>"EUR "&amp;Multiplier</f>
        <v>EUR thd</v>
      </c>
      <c r="H121" s="321"/>
      <c r="I121" s="322"/>
      <c r="J121" s="227">
        <f t="shared" ref="J121:P121" si="151">J119/(J$2-J$1+1)*J109</f>
        <v>0</v>
      </c>
      <c r="K121" s="227">
        <f t="shared" si="151"/>
        <v>0</v>
      </c>
      <c r="L121" s="227">
        <f t="shared" si="151"/>
        <v>0</v>
      </c>
      <c r="M121" s="227">
        <f t="shared" si="151"/>
        <v>0</v>
      </c>
      <c r="N121" s="227">
        <f t="shared" ca="1" si="151"/>
        <v>0</v>
      </c>
      <c r="O121" s="227">
        <f t="shared" ca="1" si="151"/>
        <v>0</v>
      </c>
      <c r="P121" s="227">
        <f t="shared" ca="1" si="151"/>
        <v>0</v>
      </c>
      <c r="Q121" s="227">
        <f t="shared" ref="Q121:R121" ca="1" si="152">Q119/(Q$2-Q$1+1)*Q109</f>
        <v>0</v>
      </c>
      <c r="R121" s="227">
        <f t="shared" ca="1" si="152"/>
        <v>0</v>
      </c>
      <c r="S121" s="341"/>
      <c r="T121" s="341"/>
      <c r="U121" s="118"/>
      <c r="V121" s="220">
        <f t="shared" si="148"/>
        <v>0</v>
      </c>
      <c r="W121" s="220">
        <f t="shared" si="149"/>
        <v>0</v>
      </c>
      <c r="X121" s="220">
        <f t="shared" ca="1" si="150"/>
        <v>0</v>
      </c>
      <c r="Y121" s="122"/>
    </row>
    <row r="122" spans="1:25" ht="12" customHeight="1" outlineLevel="1" x14ac:dyDescent="0.25">
      <c r="A122" s="845"/>
      <c r="D122" s="10"/>
      <c r="G122" s="215"/>
      <c r="H122" s="215"/>
      <c r="I122" s="215"/>
      <c r="J122" s="118"/>
      <c r="K122" s="118"/>
      <c r="L122" s="118"/>
      <c r="M122" s="118"/>
      <c r="N122" s="118"/>
      <c r="O122" s="118"/>
      <c r="P122" s="118"/>
      <c r="Q122" s="118"/>
      <c r="R122" s="118"/>
      <c r="S122" s="118"/>
      <c r="T122" s="118"/>
      <c r="U122" s="118"/>
      <c r="V122" s="220">
        <f t="shared" si="148"/>
        <v>0</v>
      </c>
      <c r="W122" s="220">
        <f t="shared" si="149"/>
        <v>0</v>
      </c>
      <c r="X122" s="220">
        <f t="shared" si="150"/>
        <v>0</v>
      </c>
    </row>
    <row r="123" spans="1:25" ht="12" customHeight="1" outlineLevel="1" x14ac:dyDescent="0.25">
      <c r="A123" s="845"/>
      <c r="B123" s="25">
        <f ca="1">MAX($A$1:B122)+0.1</f>
        <v>1.7000000000000006</v>
      </c>
      <c r="C123" s="9" t="str">
        <f>'0.2.Parameters'!C131</f>
        <v>Prepayments</v>
      </c>
      <c r="D123" s="10"/>
      <c r="E123" s="12"/>
      <c r="F123" s="12"/>
      <c r="G123" s="215"/>
      <c r="H123" s="311"/>
      <c r="I123" s="215"/>
      <c r="J123" s="323"/>
      <c r="K123" s="118"/>
      <c r="L123" s="118"/>
      <c r="M123" s="118"/>
      <c r="N123" s="118"/>
      <c r="O123" s="118"/>
      <c r="P123" s="118"/>
      <c r="Q123" s="118"/>
      <c r="R123" s="118"/>
      <c r="S123" s="118"/>
      <c r="T123" s="118"/>
      <c r="U123" s="118"/>
      <c r="V123" s="220">
        <f t="shared" si="148"/>
        <v>0</v>
      </c>
      <c r="W123" s="220">
        <f t="shared" si="149"/>
        <v>0</v>
      </c>
      <c r="X123" s="220">
        <f t="shared" si="150"/>
        <v>0</v>
      </c>
      <c r="Y123" s="122"/>
    </row>
    <row r="124" spans="1:25" ht="12" customHeight="1" outlineLevel="2" x14ac:dyDescent="0.25">
      <c r="A124" s="845"/>
      <c r="B124" s="25"/>
      <c r="E124" s="10" t="str">
        <f>'0.2.Parameters'!$F$98</f>
        <v>Sale of finished goods, of which:</v>
      </c>
      <c r="G124" s="291" t="str">
        <f t="shared" ref="G124:G128" si="153">"EUR "&amp;Multiplier</f>
        <v>EUR thd</v>
      </c>
      <c r="H124" s="416">
        <f>'0.2.Parameters'!H133</f>
        <v>1</v>
      </c>
      <c r="I124" s="215"/>
      <c r="J124" s="107">
        <f>'3.1. Income Statement'!J$10</f>
        <v>3581.311171728868</v>
      </c>
      <c r="K124" s="107">
        <f>'3.1. Income Statement'!K$10</f>
        <v>8365.4754405551539</v>
      </c>
      <c r="L124" s="107">
        <f>'3.1. Income Statement'!L$10</f>
        <v>6263.9606425271304</v>
      </c>
      <c r="M124" s="107">
        <f>'3.1. Income Statement'!M$10</f>
        <v>9801.1922500000001</v>
      </c>
      <c r="N124" s="107">
        <f>'3.1. Income Statement'!N$10</f>
        <v>10291.251862500001</v>
      </c>
      <c r="O124" s="107">
        <f>'3.1. Income Statement'!O$10</f>
        <v>10805.814455625001</v>
      </c>
      <c r="P124" s="107">
        <f>'3.1. Income Statement'!P$10</f>
        <v>11346.105178406251</v>
      </c>
      <c r="Q124" s="107">
        <f>'3.1. Income Statement'!Q$10</f>
        <v>11913.410437326564</v>
      </c>
      <c r="R124" s="107">
        <f>'3.1. Income Statement'!R$10</f>
        <v>12509.080959192892</v>
      </c>
      <c r="S124" s="341"/>
      <c r="T124" s="341"/>
      <c r="U124" s="118"/>
      <c r="V124" s="220">
        <f t="shared" si="148"/>
        <v>0.32252375469423566</v>
      </c>
      <c r="W124" s="220">
        <f t="shared" si="149"/>
        <v>0.56469569483849913</v>
      </c>
      <c r="X124" s="220">
        <f t="shared" si="150"/>
        <v>5.0000000000000044E-2</v>
      </c>
      <c r="Y124" s="122"/>
    </row>
    <row r="125" spans="1:25" ht="12" customHeight="1" outlineLevel="2" x14ac:dyDescent="0.25">
      <c r="A125" s="845"/>
      <c r="B125" s="25"/>
      <c r="D125" s="12"/>
      <c r="E125" s="10" t="str">
        <f>'0.2.Parameters'!$F$99</f>
        <v>Services rendered</v>
      </c>
      <c r="F125" s="12"/>
      <c r="G125" s="291" t="str">
        <f t="shared" si="153"/>
        <v>EUR thd</v>
      </c>
      <c r="H125" s="416">
        <f>'0.2.Parameters'!H134</f>
        <v>1</v>
      </c>
      <c r="I125" s="215"/>
      <c r="J125" s="107">
        <f>'3.1. Income Statement'!J$11</f>
        <v>379.61050146967131</v>
      </c>
      <c r="K125" s="107">
        <f>'3.1. Income Statement'!K$11</f>
        <v>691.0021080974584</v>
      </c>
      <c r="L125" s="107">
        <f>'3.1. Income Statement'!L$11</f>
        <v>416.49837756527342</v>
      </c>
      <c r="M125" s="107">
        <f>'3.1. Income Statement'!M$11</f>
        <v>651.69321828360307</v>
      </c>
      <c r="N125" s="107">
        <f>'3.1. Income Statement'!N$11</f>
        <v>684.27787919778325</v>
      </c>
      <c r="O125" s="107">
        <f>'3.1. Income Statement'!O$11</f>
        <v>718.49177315767247</v>
      </c>
      <c r="P125" s="107">
        <f>'3.1. Income Statement'!P$11</f>
        <v>754.41636181555612</v>
      </c>
      <c r="Q125" s="107">
        <f>'3.1. Income Statement'!Q$11</f>
        <v>792.13717990633393</v>
      </c>
      <c r="R125" s="107">
        <f>'3.1. Income Statement'!R$11</f>
        <v>831.7440389016507</v>
      </c>
      <c r="S125" s="341"/>
      <c r="T125" s="341"/>
      <c r="U125" s="118"/>
      <c r="V125" s="220">
        <f t="shared" si="148"/>
        <v>4.7460242708311728E-2</v>
      </c>
      <c r="W125" s="220">
        <f t="shared" si="149"/>
        <v>0.56469569483849913</v>
      </c>
      <c r="X125" s="220">
        <f t="shared" si="150"/>
        <v>5.0000000000000044E-2</v>
      </c>
      <c r="Y125" s="122"/>
    </row>
    <row r="126" spans="1:25" ht="12" customHeight="1" outlineLevel="2" x14ac:dyDescent="0.25">
      <c r="A126" s="845"/>
      <c r="B126" s="25"/>
      <c r="D126" s="12"/>
      <c r="E126" s="10" t="str">
        <f>'0.2.Parameters'!$F$100</f>
        <v>Sale of goods purchased for resale</v>
      </c>
      <c r="F126" s="12"/>
      <c r="G126" s="291" t="str">
        <f t="shared" si="153"/>
        <v>EUR thd</v>
      </c>
      <c r="H126" s="416">
        <f>'0.2.Parameters'!H135</f>
        <v>1</v>
      </c>
      <c r="I126" s="215"/>
      <c r="J126" s="107">
        <f>'3.1. Income Statement'!J$12</f>
        <v>1025.8539703393606</v>
      </c>
      <c r="K126" s="107">
        <f>'3.1. Income Statement'!K$12</f>
        <v>636.83500142291098</v>
      </c>
      <c r="L126" s="107">
        <f>'3.1. Income Statement'!L$12</f>
        <v>913.85854303212636</v>
      </c>
      <c r="M126" s="107">
        <f>'3.1. Income Statement'!M$12</f>
        <v>1429.9105279737514</v>
      </c>
      <c r="N126" s="107">
        <f>'3.1. Income Statement'!N$12</f>
        <v>1501.406054372439</v>
      </c>
      <c r="O126" s="107">
        <f>'3.1. Income Statement'!O$12</f>
        <v>1576.4763570910611</v>
      </c>
      <c r="P126" s="107">
        <f>'3.1. Income Statement'!P$12</f>
        <v>1655.3001749456143</v>
      </c>
      <c r="Q126" s="107">
        <f>'3.1. Income Statement'!Q$12</f>
        <v>1738.0651836928951</v>
      </c>
      <c r="R126" s="107">
        <f>'3.1. Income Statement'!R$12</f>
        <v>1824.9684428775399</v>
      </c>
      <c r="S126" s="341"/>
      <c r="T126" s="341"/>
      <c r="U126" s="118"/>
      <c r="V126" s="220">
        <f t="shared" si="148"/>
        <v>-5.6163613243395027E-2</v>
      </c>
      <c r="W126" s="220">
        <f t="shared" si="149"/>
        <v>0.56469569483849913</v>
      </c>
      <c r="X126" s="220">
        <f t="shared" si="150"/>
        <v>5.0000000000000044E-2</v>
      </c>
      <c r="Y126" s="122"/>
    </row>
    <row r="127" spans="1:25" ht="12" customHeight="1" outlineLevel="2" x14ac:dyDescent="0.25">
      <c r="A127" s="845"/>
      <c r="B127" s="25"/>
      <c r="D127" s="12"/>
      <c r="E127" s="10" t="str">
        <f>'0.2.Parameters'!$F$101</f>
        <v>Other operating revenues except revenues from subsidiese, fines and penalties</v>
      </c>
      <c r="F127" s="12"/>
      <c r="G127" s="291" t="str">
        <f t="shared" si="153"/>
        <v>EUR thd</v>
      </c>
      <c r="H127" s="416">
        <f>'0.2.Parameters'!H136</f>
        <v>1</v>
      </c>
      <c r="I127" s="215"/>
      <c r="J127" s="107">
        <f>'3.1. Income Statement'!J$15-'3.1. Income Statement'!J$16</f>
        <v>55.3209205486773</v>
      </c>
      <c r="K127" s="107">
        <f>'3.1. Income Statement'!K$15-'3.1. Income Statement'!K$16</f>
        <v>38.743131717782006</v>
      </c>
      <c r="L127" s="107">
        <f>'3.1. Income Statement'!L$15-'3.1. Income Statement'!L$16</f>
        <v>38.872515311056191</v>
      </c>
      <c r="M127" s="107">
        <f>'3.1. Income Statement'!M$15-'3.1. Income Statement'!M$16</f>
        <v>85.872057540685987</v>
      </c>
      <c r="N127" s="107">
        <f ca="1">'3.1. Income Statement'!N$15-'3.1. Income Statement'!N$16</f>
        <v>90.165660417720304</v>
      </c>
      <c r="O127" s="107">
        <f ca="1">'3.1. Income Statement'!O$15-'3.1. Income Statement'!O$16</f>
        <v>94.673943438606315</v>
      </c>
      <c r="P127" s="107">
        <f ca="1">'3.1. Income Statement'!P$15-'3.1. Income Statement'!P$16</f>
        <v>99.407640610536632</v>
      </c>
      <c r="Q127" s="107">
        <f ca="1">'3.1. Income Statement'!Q$15-'3.1. Income Statement'!Q$16</f>
        <v>104.37802264106347</v>
      </c>
      <c r="R127" s="107">
        <f ca="1">'3.1. Income Statement'!R$15-'3.1. Income Statement'!R$16</f>
        <v>109.59692377311663</v>
      </c>
      <c r="S127" s="341"/>
      <c r="T127" s="341"/>
      <c r="U127" s="118"/>
      <c r="V127" s="220">
        <f t="shared" si="148"/>
        <v>-0.16174409291086433</v>
      </c>
      <c r="W127" s="220">
        <f t="shared" si="149"/>
        <v>1.2090687174097554</v>
      </c>
      <c r="X127" s="220">
        <f t="shared" ca="1" si="150"/>
        <v>5.0000000000000044E-2</v>
      </c>
      <c r="Y127" s="122"/>
    </row>
    <row r="128" spans="1:25" ht="12" customHeight="1" outlineLevel="2" x14ac:dyDescent="0.25">
      <c r="A128" s="845"/>
      <c r="B128" s="25"/>
      <c r="D128" s="9" t="s">
        <v>93</v>
      </c>
      <c r="G128" s="310" t="str">
        <f t="shared" si="153"/>
        <v>EUR thd</v>
      </c>
      <c r="H128" s="417"/>
      <c r="I128" s="214"/>
      <c r="J128" s="216">
        <f>SUMIF($H124:$H127,1,J124:J127)</f>
        <v>5042.096564086577</v>
      </c>
      <c r="K128" s="216">
        <f t="shared" ref="K128" si="154">SUMIF($H124:$H127,1,K124:K127)</f>
        <v>9732.0556817933048</v>
      </c>
      <c r="L128" s="216">
        <f t="shared" ref="L128" si="155">SUMIF($H124:$H127,1,L124:L127)</f>
        <v>7633.1900784355867</v>
      </c>
      <c r="M128" s="216">
        <f t="shared" ref="M128" si="156">SUMIF($H124:$H127,1,M124:M127)</f>
        <v>11968.668053798041</v>
      </c>
      <c r="N128" s="216">
        <f t="shared" ref="N128" ca="1" si="157">SUMIF($H124:$H127,1,N124:N127)</f>
        <v>12567.101456487944</v>
      </c>
      <c r="O128" s="216">
        <f t="shared" ref="O128" ca="1" si="158">SUMIF($H124:$H127,1,O124:O127)</f>
        <v>13195.45652931234</v>
      </c>
      <c r="P128" s="216">
        <f t="shared" ref="P128:R128" ca="1" si="159">SUMIF($H124:$H127,1,P124:P127)</f>
        <v>13855.229355777958</v>
      </c>
      <c r="Q128" s="216">
        <f t="shared" ca="1" si="159"/>
        <v>14547.990823566857</v>
      </c>
      <c r="R128" s="216">
        <f t="shared" ca="1" si="159"/>
        <v>15275.390364745199</v>
      </c>
      <c r="S128" s="341"/>
      <c r="T128" s="341"/>
      <c r="U128" s="118"/>
      <c r="V128" s="220">
        <f t="shared" si="148"/>
        <v>0.23040322035288541</v>
      </c>
      <c r="W128" s="220">
        <f t="shared" si="149"/>
        <v>0.56797720622869718</v>
      </c>
      <c r="X128" s="220">
        <f t="shared" ca="1" si="150"/>
        <v>5.0000000000000044E-2</v>
      </c>
      <c r="Y128" s="122"/>
    </row>
    <row r="129" spans="1:25" ht="12" customHeight="1" outlineLevel="2" x14ac:dyDescent="0.25">
      <c r="A129" s="845"/>
      <c r="B129" s="25"/>
      <c r="D129" s="10"/>
      <c r="G129" s="215"/>
      <c r="H129" s="417"/>
      <c r="I129" s="215"/>
      <c r="J129" s="108"/>
      <c r="K129" s="108"/>
      <c r="L129" s="108"/>
      <c r="M129" s="108"/>
      <c r="N129" s="108"/>
      <c r="O129" s="108"/>
      <c r="P129" s="108"/>
      <c r="Q129" s="108"/>
      <c r="R129" s="108"/>
      <c r="S129" s="341"/>
      <c r="T129" s="341"/>
      <c r="U129" s="118"/>
      <c r="V129" s="220">
        <f t="shared" si="148"/>
        <v>0</v>
      </c>
      <c r="W129" s="220">
        <f t="shared" si="149"/>
        <v>0</v>
      </c>
      <c r="X129" s="220">
        <f t="shared" si="150"/>
        <v>0</v>
      </c>
      <c r="Y129" s="122"/>
    </row>
    <row r="130" spans="1:25" s="6" customFormat="1" ht="12" customHeight="1" outlineLevel="2" x14ac:dyDescent="0.25">
      <c r="A130" s="845"/>
      <c r="B130" s="25"/>
      <c r="C130" s="9"/>
      <c r="D130" s="9" t="str">
        <f>"Closing balance "&amp;LOWER(C123)</f>
        <v>Closing balance prepayments</v>
      </c>
      <c r="G130" s="310" t="str">
        <f>"EUR "&amp;Multiplier</f>
        <v>EUR thd</v>
      </c>
      <c r="H130" s="417"/>
      <c r="I130" s="214"/>
      <c r="J130" s="312">
        <f>IF((J$4="Actual"),SUMIF('1.3.Historical BS'!$D$30:$D$38,$C123,'1.3.Historical BS'!O$30:O$38),"n/a")</f>
        <v>224.25346281737905</v>
      </c>
      <c r="K130" s="312">
        <f>IF((K$4="Actual"),SUMIF('1.3.Historical BS'!$D$30:$D$38,$C123,'1.3.Historical BS'!P$30:P$38),"n/a")</f>
        <v>713.12222675279531</v>
      </c>
      <c r="L130" s="312">
        <f>IF((L$4="Actual"),SUMIF('1.3.Historical BS'!$D$30:$D$38,$C123,'1.3.Historical BS'!Q$30:Q$38),"n/a")</f>
        <v>386.49156285512123</v>
      </c>
      <c r="M130" s="312" t="str">
        <f>IF((M$4="Actual"),SUMIF('1.3.Historical BS'!$D$30:$D$38,$C123,'1.3.Historical BS'!R$30:R$38),"n/a")</f>
        <v>n/a</v>
      </c>
      <c r="N130" s="312" t="str">
        <f>IF((N$4="Actual"),SUMIF('1.3.Historical BS'!$D$30:$D$38,$C123,'1.3.Historical BS'!S$30:S$38),"n/a")</f>
        <v>n/a</v>
      </c>
      <c r="O130" s="312" t="str">
        <f>IF((O$4="Actual"),SUMIF('1.3.Historical BS'!$D$30:$D$38,$C123,'1.3.Historical BS'!T$30:T$38),"n/a")</f>
        <v>n/a</v>
      </c>
      <c r="P130" s="312" t="str">
        <f>IF((P$4="Actual"),SUMIF('1.3.Historical BS'!$D$30:$D$38,$C123,'1.3.Historical BS'!U$30:U$38),"n/a")</f>
        <v>n/a</v>
      </c>
      <c r="Q130" s="312" t="str">
        <f>IF((Q$4="Actual"),SUMIF('1.3.Historical BS'!$D$30:$D$38,$C123,'1.3.Historical BS'!V$30:V$38),"n/a")</f>
        <v>n/a</v>
      </c>
      <c r="R130" s="312" t="str">
        <f>IF((R$4="Actual"),SUMIF('1.3.Historical BS'!$D$30:$D$38,$C123,'1.3.Historical BS'!W$30:W$38),"n/a")</f>
        <v>n/a</v>
      </c>
      <c r="S130" s="341"/>
      <c r="T130" s="341"/>
      <c r="U130" s="218"/>
      <c r="V130" s="220">
        <f t="shared" si="148"/>
        <v>0.31280562798462164</v>
      </c>
      <c r="W130" s="220">
        <f t="shared" si="149"/>
        <v>0</v>
      </c>
      <c r="X130" s="220">
        <f t="shared" si="150"/>
        <v>0</v>
      </c>
      <c r="Y130" s="125"/>
    </row>
    <row r="131" spans="1:25" ht="12" customHeight="1" outlineLevel="2" x14ac:dyDescent="0.25">
      <c r="A131" s="845"/>
      <c r="B131" s="25"/>
      <c r="D131" s="10"/>
      <c r="G131" s="215"/>
      <c r="H131" s="417"/>
      <c r="I131" s="215"/>
      <c r="J131" s="108"/>
      <c r="K131" s="108"/>
      <c r="L131" s="108"/>
      <c r="M131" s="108"/>
      <c r="N131" s="108"/>
      <c r="O131" s="108"/>
      <c r="P131" s="108"/>
      <c r="Q131" s="108"/>
      <c r="R131" s="108"/>
      <c r="S131" s="341"/>
      <c r="T131" s="341"/>
      <c r="U131" s="118"/>
      <c r="V131" s="220">
        <f t="shared" si="148"/>
        <v>0</v>
      </c>
      <c r="W131" s="220">
        <f t="shared" si="149"/>
        <v>0</v>
      </c>
      <c r="X131" s="220">
        <f t="shared" si="150"/>
        <v>0</v>
      </c>
      <c r="Y131" s="122"/>
    </row>
    <row r="132" spans="1:25" s="6" customFormat="1" ht="12" customHeight="1" outlineLevel="2" x14ac:dyDescent="0.25">
      <c r="A132" s="845"/>
      <c r="B132" s="25"/>
      <c r="C132" s="9"/>
      <c r="D132" s="9" t="s">
        <v>92</v>
      </c>
      <c r="G132" s="214" t="s">
        <v>16</v>
      </c>
      <c r="H132" s="416" t="str">
        <f>'0.2.Parameters'!H137</f>
        <v>Average</v>
      </c>
      <c r="I132" s="313"/>
      <c r="J132" s="216">
        <f t="shared" ref="J132:P132" si="160">IF(ISERROR(J130/J128*(J$2-J$1+1)),"",J130/J128*(J$2-J$1+1))</f>
        <v>16.278301366889771</v>
      </c>
      <c r="K132" s="216">
        <f t="shared" si="160"/>
        <v>26.745594278885928</v>
      </c>
      <c r="L132" s="216">
        <f t="shared" si="160"/>
        <v>18.481056935900547</v>
      </c>
      <c r="M132" s="430" t="str">
        <f t="shared" ref="M132" si="161">IF(ISERROR(M130/M128*(M$2-M$1+1)),"",M130/M128*(M$2-M$1+1))</f>
        <v/>
      </c>
      <c r="N132" s="430" t="str">
        <f t="shared" ca="1" si="160"/>
        <v/>
      </c>
      <c r="O132" s="430" t="str">
        <f t="shared" ca="1" si="160"/>
        <v/>
      </c>
      <c r="P132" s="430" t="str">
        <f t="shared" ca="1" si="160"/>
        <v/>
      </c>
      <c r="Q132" s="430" t="str">
        <f t="shared" ref="Q132:R132" ca="1" si="162">IF(ISERROR(Q130/Q128*(Q$2-Q$1+1)),"",Q130/Q128*(Q$2-Q$1+1))</f>
        <v/>
      </c>
      <c r="R132" s="430" t="str">
        <f t="shared" ca="1" si="162"/>
        <v/>
      </c>
      <c r="S132" s="341"/>
      <c r="T132" s="341"/>
      <c r="U132" s="218"/>
      <c r="V132" s="220">
        <f t="shared" si="148"/>
        <v>6.5513263681469924E-2</v>
      </c>
      <c r="W132" s="220">
        <f t="shared" si="149"/>
        <v>0</v>
      </c>
      <c r="X132" s="220">
        <f t="shared" ca="1" si="150"/>
        <v>0</v>
      </c>
      <c r="Y132" s="125"/>
    </row>
    <row r="133" spans="1:25" s="13" customFormat="1" ht="12" customHeight="1" outlineLevel="3" x14ac:dyDescent="0.25">
      <c r="A133" s="850"/>
      <c r="B133" s="56"/>
      <c r="C133" s="43"/>
      <c r="F133" s="11" t="s">
        <v>135</v>
      </c>
      <c r="G133" s="314">
        <f>($F133=H132)*1</f>
        <v>0</v>
      </c>
      <c r="H133" s="311"/>
      <c r="I133" s="315"/>
      <c r="J133" s="223">
        <f>J132</f>
        <v>16.278301366889771</v>
      </c>
      <c r="K133" s="223">
        <f>K132</f>
        <v>26.745594278885928</v>
      </c>
      <c r="L133" s="223">
        <f>L132</f>
        <v>18.481056935900547</v>
      </c>
      <c r="M133" s="341"/>
      <c r="N133" s="341"/>
      <c r="O133" s="341"/>
      <c r="P133" s="341"/>
      <c r="Q133" s="341"/>
      <c r="R133" s="341"/>
      <c r="S133" s="341"/>
      <c r="T133" s="341"/>
      <c r="U133" s="225"/>
      <c r="V133" s="220">
        <f t="shared" si="148"/>
        <v>6.5513263681469924E-2</v>
      </c>
      <c r="W133" s="220">
        <f t="shared" si="149"/>
        <v>-1</v>
      </c>
      <c r="X133" s="220">
        <f t="shared" si="150"/>
        <v>0</v>
      </c>
      <c r="Y133" s="126"/>
    </row>
    <row r="134" spans="1:25" s="13" customFormat="1" ht="12" customHeight="1" outlineLevel="3" x14ac:dyDescent="0.25">
      <c r="A134" s="850"/>
      <c r="B134" s="56"/>
      <c r="C134" s="43"/>
      <c r="F134" s="11" t="s">
        <v>116</v>
      </c>
      <c r="G134" s="316">
        <f>($F134=H132)*1</f>
        <v>1</v>
      </c>
      <c r="H134" s="311"/>
      <c r="I134" s="315"/>
      <c r="J134" s="223">
        <f>IF(ISERROR(AVERAGE($J132:J132)),"",AVERAGE($J132:J132))</f>
        <v>16.278301366889771</v>
      </c>
      <c r="K134" s="223">
        <f>IF(ISERROR(AVERAGE($J132:K132)),"",AVERAGE($J132:K132))</f>
        <v>21.511947822887848</v>
      </c>
      <c r="L134" s="223">
        <f>IF(ISERROR(AVERAGE($J132:L132)),"",AVERAGE($J132:L132))</f>
        <v>20.501650860558748</v>
      </c>
      <c r="M134" s="341"/>
      <c r="N134" s="341"/>
      <c r="O134" s="341"/>
      <c r="P134" s="341"/>
      <c r="Q134" s="341"/>
      <c r="R134" s="341"/>
      <c r="S134" s="341"/>
      <c r="T134" s="341"/>
      <c r="U134" s="225"/>
      <c r="V134" s="220">
        <f t="shared" si="148"/>
        <v>0.12225067269814827</v>
      </c>
      <c r="W134" s="220">
        <f t="shared" si="149"/>
        <v>-1</v>
      </c>
      <c r="X134" s="220">
        <f t="shared" si="150"/>
        <v>0</v>
      </c>
      <c r="Y134" s="126"/>
    </row>
    <row r="135" spans="1:25" s="13" customFormat="1" ht="12" customHeight="1" outlineLevel="3" x14ac:dyDescent="0.25">
      <c r="A135" s="850"/>
      <c r="B135" s="56"/>
      <c r="C135" s="43"/>
      <c r="F135" s="11" t="s">
        <v>118</v>
      </c>
      <c r="G135" s="316">
        <f>($F135=H132)*1</f>
        <v>0</v>
      </c>
      <c r="H135" s="311"/>
      <c r="I135" s="315"/>
      <c r="J135" s="223">
        <f>IF(ISERROR(MIN($J132:J132)),"",MIN($J132:J132))</f>
        <v>16.278301366889771</v>
      </c>
      <c r="K135" s="223">
        <f>IF(ISERROR(MIN($J132:K132)),"",MIN($J132:K132))</f>
        <v>16.278301366889771</v>
      </c>
      <c r="L135" s="223">
        <f>IF(ISERROR(MIN($J132:L132)),"",MIN($J132:L132))</f>
        <v>16.278301366889771</v>
      </c>
      <c r="M135" s="341"/>
      <c r="N135" s="341"/>
      <c r="O135" s="341"/>
      <c r="P135" s="341"/>
      <c r="Q135" s="341"/>
      <c r="R135" s="341"/>
      <c r="S135" s="341"/>
      <c r="T135" s="341"/>
      <c r="U135" s="225"/>
      <c r="V135" s="220">
        <f t="shared" si="148"/>
        <v>0</v>
      </c>
      <c r="W135" s="220">
        <f t="shared" si="149"/>
        <v>-1</v>
      </c>
      <c r="X135" s="220">
        <f t="shared" si="150"/>
        <v>0</v>
      </c>
      <c r="Y135" s="126"/>
    </row>
    <row r="136" spans="1:25" s="13" customFormat="1" ht="12" customHeight="1" outlineLevel="3" x14ac:dyDescent="0.25">
      <c r="A136" s="850"/>
      <c r="B136" s="56"/>
      <c r="C136" s="43"/>
      <c r="F136" s="11" t="s">
        <v>117</v>
      </c>
      <c r="G136" s="317">
        <f>($F136=H132)*1</f>
        <v>0</v>
      </c>
      <c r="H136" s="311"/>
      <c r="I136" s="315"/>
      <c r="J136" s="223">
        <f>IF(ISERROR(MAX($J132:J132)),"",MAX($J132:J132))</f>
        <v>16.278301366889771</v>
      </c>
      <c r="K136" s="223">
        <f>IF(ISERROR(MAX($J132:K132)),"",MAX($J132:K132))</f>
        <v>26.745594278885928</v>
      </c>
      <c r="L136" s="223">
        <f>IF(ISERROR(MAX($J132:L132)),"",MAX($J132:L132))</f>
        <v>26.745594278885928</v>
      </c>
      <c r="M136" s="341"/>
      <c r="N136" s="341"/>
      <c r="O136" s="341"/>
      <c r="P136" s="341"/>
      <c r="Q136" s="341"/>
      <c r="R136" s="341"/>
      <c r="S136" s="341"/>
      <c r="T136" s="341"/>
      <c r="U136" s="225"/>
      <c r="V136" s="220">
        <f t="shared" si="148"/>
        <v>0.28180388594870509</v>
      </c>
      <c r="W136" s="220">
        <f t="shared" si="149"/>
        <v>-1</v>
      </c>
      <c r="X136" s="220">
        <f t="shared" si="150"/>
        <v>0</v>
      </c>
      <c r="Y136" s="126"/>
    </row>
    <row r="137" spans="1:25" ht="12" customHeight="1" outlineLevel="2" x14ac:dyDescent="0.25">
      <c r="A137" s="845"/>
      <c r="B137" s="25"/>
      <c r="E137" s="10" t="s">
        <v>91</v>
      </c>
      <c r="G137" s="215" t="s">
        <v>16</v>
      </c>
      <c r="H137" s="418">
        <v>0</v>
      </c>
      <c r="I137" s="318"/>
      <c r="J137" s="117" t="str">
        <f t="shared" ref="J137" si="163">IF(J$4="Estimate",SUMPRODUCT(I133:I136,$G133:$G136),IF(J$4="Forecast",I137,""))</f>
        <v/>
      </c>
      <c r="K137" s="117" t="str">
        <f t="shared" ref="K137" si="164">IF(K$4="Estimate",SUMPRODUCT(J133:J136,$G133:$G136),IF(K$4="Forecast",J137,""))</f>
        <v/>
      </c>
      <c r="L137" s="117" t="str">
        <f t="shared" ref="L137" si="165">IF(L$4="Estimate",SUMPRODUCT(K133:K136,$G133:$G136),IF(L$4="Forecast",K137,""))</f>
        <v/>
      </c>
      <c r="M137" s="117">
        <f>SUMPRODUCT(L133:L136,$G133:$G136)</f>
        <v>20.501650860558748</v>
      </c>
      <c r="N137" s="117">
        <f t="shared" ref="N137" si="166">IF(N$4="Estimate",SUMPRODUCT(M133:M136,$G133:$G136),IF(N$4="Forecast",M137,""))</f>
        <v>20.501650860558748</v>
      </c>
      <c r="O137" s="117">
        <f t="shared" ref="O137" si="167">IF(O$4="Estimate",SUMPRODUCT(N133:N136,$G133:$G136),IF(O$4="Forecast",N137,""))</f>
        <v>20.501650860558748</v>
      </c>
      <c r="P137" s="117">
        <f t="shared" ref="P137" si="168">IF(P$4="Estimate",SUMPRODUCT(O133:O136,$G133:$G136),IF(P$4="Forecast",O137,""))</f>
        <v>20.501650860558748</v>
      </c>
      <c r="Q137" s="117">
        <f t="shared" ref="Q137" si="169">IF(Q$4="Estimate",SUMPRODUCT(P133:P136,$G133:$G136),IF(Q$4="Forecast",P137,""))</f>
        <v>20.501650860558748</v>
      </c>
      <c r="R137" s="117">
        <f t="shared" ref="R137" si="170">IF(R$4="Estimate",SUMPRODUCT(Q133:Q136,$G133:$G136),IF(R$4="Forecast",Q137,""))</f>
        <v>20.501650860558748</v>
      </c>
      <c r="S137" s="341"/>
      <c r="T137" s="341"/>
      <c r="U137" s="118"/>
      <c r="V137" s="220">
        <f t="shared" si="148"/>
        <v>0</v>
      </c>
      <c r="W137" s="220">
        <f t="shared" si="149"/>
        <v>0</v>
      </c>
      <c r="X137" s="220">
        <f t="shared" si="150"/>
        <v>0</v>
      </c>
      <c r="Y137" s="122"/>
    </row>
    <row r="138" spans="1:25" ht="12" customHeight="1" outlineLevel="2" x14ac:dyDescent="0.25">
      <c r="A138" s="845"/>
      <c r="B138" s="25"/>
      <c r="D138" s="9" t="s">
        <v>90</v>
      </c>
      <c r="G138" s="214" t="s">
        <v>16</v>
      </c>
      <c r="H138" s="311"/>
      <c r="I138" s="214"/>
      <c r="J138" s="319">
        <f>SUM(J132,J137)</f>
        <v>16.278301366889771</v>
      </c>
      <c r="K138" s="319">
        <f t="shared" ref="K138" si="171">SUM(K132,K137)</f>
        <v>26.745594278885928</v>
      </c>
      <c r="L138" s="319">
        <f t="shared" ref="L138" si="172">SUM(L132,L137)</f>
        <v>18.481056935900547</v>
      </c>
      <c r="M138" s="319">
        <f t="shared" ref="M138" si="173">SUM(M132,M137)</f>
        <v>20.501650860558748</v>
      </c>
      <c r="N138" s="319">
        <f t="shared" ref="N138" ca="1" si="174">SUM(N132,N137)</f>
        <v>20.501650860558748</v>
      </c>
      <c r="O138" s="319">
        <f t="shared" ref="O138" ca="1" si="175">SUM(O132,O137)</f>
        <v>20.501650860558748</v>
      </c>
      <c r="P138" s="319">
        <f t="shared" ref="P138:R138" ca="1" si="176">SUM(P132,P137)</f>
        <v>20.501650860558748</v>
      </c>
      <c r="Q138" s="319">
        <f t="shared" ca="1" si="176"/>
        <v>20.501650860558748</v>
      </c>
      <c r="R138" s="319">
        <f t="shared" ca="1" si="176"/>
        <v>20.501650860558748</v>
      </c>
      <c r="S138" s="341"/>
      <c r="T138" s="341"/>
      <c r="U138" s="118"/>
      <c r="V138" s="220">
        <f t="shared" si="148"/>
        <v>6.5513263681469924E-2</v>
      </c>
      <c r="W138" s="220">
        <f t="shared" si="149"/>
        <v>0.10933324493649921</v>
      </c>
      <c r="X138" s="220">
        <f t="shared" ca="1" si="150"/>
        <v>0</v>
      </c>
      <c r="Y138" s="122"/>
    </row>
    <row r="139" spans="1:25" ht="12" customHeight="1" outlineLevel="2" x14ac:dyDescent="0.25">
      <c r="A139" s="845"/>
      <c r="B139" s="25"/>
      <c r="D139" s="10"/>
      <c r="E139" s="12"/>
      <c r="F139" s="12"/>
      <c r="G139" s="215"/>
      <c r="H139" s="311"/>
      <c r="I139" s="215"/>
      <c r="J139" s="108"/>
      <c r="K139" s="108"/>
      <c r="L139" s="108"/>
      <c r="M139" s="108"/>
      <c r="N139" s="108"/>
      <c r="O139" s="108"/>
      <c r="P139" s="108"/>
      <c r="Q139" s="108"/>
      <c r="R139" s="108"/>
      <c r="S139" s="341"/>
      <c r="T139" s="341"/>
      <c r="U139" s="118"/>
      <c r="V139" s="220">
        <f t="shared" si="148"/>
        <v>0</v>
      </c>
      <c r="W139" s="220">
        <f t="shared" si="149"/>
        <v>0</v>
      </c>
      <c r="X139" s="220">
        <f t="shared" si="150"/>
        <v>0</v>
      </c>
      <c r="Y139" s="122"/>
    </row>
    <row r="140" spans="1:25" ht="12" customHeight="1" outlineLevel="1" x14ac:dyDescent="0.25">
      <c r="A140" s="845"/>
      <c r="B140" s="25"/>
      <c r="D140" s="74" t="str">
        <f>D130</f>
        <v>Closing balance prepayments</v>
      </c>
      <c r="E140" s="50"/>
      <c r="F140" s="50"/>
      <c r="G140" s="320" t="str">
        <f>"EUR "&amp;Multiplier</f>
        <v>EUR thd</v>
      </c>
      <c r="H140" s="321"/>
      <c r="I140" s="322"/>
      <c r="J140" s="227">
        <f t="shared" ref="J140:P140" si="177">J138/(J$2-J$1+1)*J128</f>
        <v>224.2534628173791</v>
      </c>
      <c r="K140" s="227">
        <f t="shared" si="177"/>
        <v>713.12222675279543</v>
      </c>
      <c r="L140" s="227">
        <f t="shared" si="177"/>
        <v>386.49156285512123</v>
      </c>
      <c r="M140" s="227">
        <f t="shared" si="177"/>
        <v>672.26699645175506</v>
      </c>
      <c r="N140" s="227">
        <f t="shared" ca="1" si="177"/>
        <v>703.95171144845665</v>
      </c>
      <c r="O140" s="227">
        <f t="shared" ca="1" si="177"/>
        <v>741.17436358805992</v>
      </c>
      <c r="P140" s="227">
        <f t="shared" ca="1" si="177"/>
        <v>778.23308176746298</v>
      </c>
      <c r="Q140" s="227">
        <f t="shared" ref="Q140:R140" ca="1" si="178">Q138/(Q$2-Q$1+1)*Q128</f>
        <v>817.14473585583619</v>
      </c>
      <c r="R140" s="227">
        <f t="shared" ca="1" si="178"/>
        <v>855.6577049637956</v>
      </c>
      <c r="S140" s="341"/>
      <c r="T140" s="341"/>
      <c r="U140" s="118"/>
      <c r="V140" s="220">
        <f t="shared" si="148"/>
        <v>0.31280562798462141</v>
      </c>
      <c r="W140" s="220">
        <f t="shared" si="149"/>
        <v>0.73940924217214676</v>
      </c>
      <c r="X140" s="220">
        <f t="shared" ca="1" si="150"/>
        <v>5.0000000000000044E-2</v>
      </c>
      <c r="Y140" s="122"/>
    </row>
    <row r="141" spans="1:25" ht="12" customHeight="1" x14ac:dyDescent="0.25">
      <c r="A141" s="845"/>
      <c r="G141" s="215"/>
      <c r="H141" s="215"/>
      <c r="I141" s="215"/>
      <c r="J141" s="118"/>
      <c r="K141" s="118"/>
      <c r="L141" s="118"/>
      <c r="M141" s="118"/>
      <c r="N141" s="118"/>
      <c r="O141" s="118"/>
      <c r="P141" s="118"/>
      <c r="Q141" s="118"/>
      <c r="R141" s="118"/>
      <c r="S141" s="118"/>
      <c r="T141" s="118"/>
      <c r="U141" s="118"/>
      <c r="V141" s="220">
        <f t="shared" si="148"/>
        <v>0</v>
      </c>
      <c r="W141" s="220">
        <f t="shared" si="149"/>
        <v>0</v>
      </c>
      <c r="X141" s="220">
        <f t="shared" si="150"/>
        <v>0</v>
      </c>
    </row>
    <row r="142" spans="1:25" ht="12" customHeight="1" x14ac:dyDescent="0.25">
      <c r="A142" s="845"/>
      <c r="B142" s="25">
        <f ca="1">MAX($A$1:B141)+0.1</f>
        <v>1.8000000000000007</v>
      </c>
      <c r="C142" s="9" t="str">
        <f>'0.2.Parameters'!C138</f>
        <v>Subsidies</v>
      </c>
      <c r="D142" s="10"/>
      <c r="E142" s="12"/>
      <c r="F142" s="12"/>
      <c r="G142" s="215"/>
      <c r="H142" s="311"/>
      <c r="I142" s="215"/>
      <c r="J142" s="323"/>
      <c r="K142" s="118"/>
      <c r="L142" s="118"/>
      <c r="M142" s="118"/>
      <c r="N142" s="118"/>
      <c r="O142" s="118"/>
      <c r="P142" s="118"/>
      <c r="Q142" s="118"/>
      <c r="R142" s="118"/>
      <c r="S142" s="118"/>
      <c r="T142" s="118"/>
      <c r="U142" s="118"/>
      <c r="V142" s="220">
        <f t="shared" si="148"/>
        <v>0</v>
      </c>
      <c r="W142" s="220">
        <f t="shared" si="149"/>
        <v>0</v>
      </c>
      <c r="X142" s="220">
        <f t="shared" si="150"/>
        <v>0</v>
      </c>
    </row>
    <row r="143" spans="1:25" ht="12" customHeight="1" x14ac:dyDescent="0.25">
      <c r="A143" s="845"/>
      <c r="B143" s="25"/>
      <c r="E143" s="10" t="str">
        <f>'0.2.Parameters'!$F$98</f>
        <v>Sale of finished goods, of which:</v>
      </c>
      <c r="G143" s="291" t="str">
        <f t="shared" ref="G143:G147" si="179">"EUR "&amp;Multiplier</f>
        <v>EUR thd</v>
      </c>
      <c r="H143" s="416">
        <f>'0.2.Parameters'!H140</f>
        <v>1</v>
      </c>
      <c r="I143" s="215"/>
      <c r="J143" s="107">
        <f>'3.1. Income Statement'!J$10</f>
        <v>3581.311171728868</v>
      </c>
      <c r="K143" s="107">
        <f>'3.1. Income Statement'!K$10</f>
        <v>8365.4754405551539</v>
      </c>
      <c r="L143" s="107">
        <f>'3.1. Income Statement'!L$10</f>
        <v>6263.9606425271304</v>
      </c>
      <c r="M143" s="107">
        <f>'3.1. Income Statement'!M$10</f>
        <v>9801.1922500000001</v>
      </c>
      <c r="N143" s="107">
        <f>'3.1. Income Statement'!N$10</f>
        <v>10291.251862500001</v>
      </c>
      <c r="O143" s="107">
        <f>'3.1. Income Statement'!O$10</f>
        <v>10805.814455625001</v>
      </c>
      <c r="P143" s="107">
        <f>'3.1. Income Statement'!P$10</f>
        <v>11346.105178406251</v>
      </c>
      <c r="Q143" s="107">
        <f>'3.1. Income Statement'!Q$10</f>
        <v>11913.410437326564</v>
      </c>
      <c r="R143" s="107">
        <f>'3.1. Income Statement'!R$10</f>
        <v>12509.080959192892</v>
      </c>
      <c r="S143" s="341"/>
      <c r="T143" s="341"/>
      <c r="U143" s="118"/>
      <c r="V143" s="220">
        <f t="shared" si="148"/>
        <v>0.32252375469423566</v>
      </c>
      <c r="W143" s="220">
        <f t="shared" si="149"/>
        <v>0.56469569483849913</v>
      </c>
      <c r="X143" s="220">
        <f t="shared" si="150"/>
        <v>5.0000000000000044E-2</v>
      </c>
    </row>
    <row r="144" spans="1:25" ht="12" customHeight="1" x14ac:dyDescent="0.25">
      <c r="A144" s="845"/>
      <c r="B144" s="25"/>
      <c r="D144" s="12"/>
      <c r="E144" s="10" t="str">
        <f>'0.2.Parameters'!$F$99</f>
        <v>Services rendered</v>
      </c>
      <c r="F144" s="12"/>
      <c r="G144" s="291" t="str">
        <f t="shared" si="179"/>
        <v>EUR thd</v>
      </c>
      <c r="H144" s="416">
        <f>'0.2.Parameters'!H141</f>
        <v>1</v>
      </c>
      <c r="I144" s="215"/>
      <c r="J144" s="107">
        <f>'3.1. Income Statement'!J$11</f>
        <v>379.61050146967131</v>
      </c>
      <c r="K144" s="107">
        <f>'3.1. Income Statement'!K$11</f>
        <v>691.0021080974584</v>
      </c>
      <c r="L144" s="107">
        <f>'3.1. Income Statement'!L$11</f>
        <v>416.49837756527342</v>
      </c>
      <c r="M144" s="107">
        <f>'3.1. Income Statement'!M$11</f>
        <v>651.69321828360307</v>
      </c>
      <c r="N144" s="107">
        <f>'3.1. Income Statement'!N$11</f>
        <v>684.27787919778325</v>
      </c>
      <c r="O144" s="107">
        <f>'3.1. Income Statement'!O$11</f>
        <v>718.49177315767247</v>
      </c>
      <c r="P144" s="107">
        <f>'3.1. Income Statement'!P$11</f>
        <v>754.41636181555612</v>
      </c>
      <c r="Q144" s="107">
        <f>'3.1. Income Statement'!Q$11</f>
        <v>792.13717990633393</v>
      </c>
      <c r="R144" s="107">
        <f>'3.1. Income Statement'!R$11</f>
        <v>831.7440389016507</v>
      </c>
      <c r="S144" s="341"/>
      <c r="T144" s="341"/>
      <c r="U144" s="118"/>
      <c r="V144" s="220">
        <f t="shared" si="148"/>
        <v>4.7460242708311728E-2</v>
      </c>
      <c r="W144" s="220">
        <f t="shared" si="149"/>
        <v>0.56469569483849913</v>
      </c>
      <c r="X144" s="220">
        <f t="shared" si="150"/>
        <v>5.0000000000000044E-2</v>
      </c>
    </row>
    <row r="145" spans="1:24" ht="12" customHeight="1" x14ac:dyDescent="0.25">
      <c r="A145" s="845"/>
      <c r="B145" s="25"/>
      <c r="D145" s="12"/>
      <c r="E145" s="10" t="str">
        <f>'0.2.Parameters'!$F$100</f>
        <v>Sale of goods purchased for resale</v>
      </c>
      <c r="F145" s="12"/>
      <c r="G145" s="291" t="str">
        <f t="shared" si="179"/>
        <v>EUR thd</v>
      </c>
      <c r="H145" s="416">
        <f>'0.2.Parameters'!H142</f>
        <v>1</v>
      </c>
      <c r="I145" s="215"/>
      <c r="J145" s="107">
        <f>'3.1. Income Statement'!J$12</f>
        <v>1025.8539703393606</v>
      </c>
      <c r="K145" s="107">
        <f>'3.1. Income Statement'!K$12</f>
        <v>636.83500142291098</v>
      </c>
      <c r="L145" s="107">
        <f>'3.1. Income Statement'!L$12</f>
        <v>913.85854303212636</v>
      </c>
      <c r="M145" s="107">
        <f>'3.1. Income Statement'!M$12</f>
        <v>1429.9105279737514</v>
      </c>
      <c r="N145" s="107">
        <f>'3.1. Income Statement'!N$12</f>
        <v>1501.406054372439</v>
      </c>
      <c r="O145" s="107">
        <f>'3.1. Income Statement'!O$12</f>
        <v>1576.4763570910611</v>
      </c>
      <c r="P145" s="107">
        <f>'3.1. Income Statement'!P$12</f>
        <v>1655.3001749456143</v>
      </c>
      <c r="Q145" s="107">
        <f>'3.1. Income Statement'!Q$12</f>
        <v>1738.0651836928951</v>
      </c>
      <c r="R145" s="107">
        <f>'3.1. Income Statement'!R$12</f>
        <v>1824.9684428775399</v>
      </c>
      <c r="S145" s="341"/>
      <c r="T145" s="341"/>
      <c r="U145" s="118"/>
      <c r="V145" s="220">
        <f t="shared" si="148"/>
        <v>-5.6163613243395027E-2</v>
      </c>
      <c r="W145" s="220">
        <f t="shared" si="149"/>
        <v>0.56469569483849913</v>
      </c>
      <c r="X145" s="220">
        <f t="shared" si="150"/>
        <v>5.0000000000000044E-2</v>
      </c>
    </row>
    <row r="146" spans="1:24" ht="12" customHeight="1" x14ac:dyDescent="0.25">
      <c r="A146" s="845"/>
      <c r="B146" s="25"/>
      <c r="D146" s="12"/>
      <c r="E146" s="10" t="str">
        <f>'0.2.Parameters'!$F$101</f>
        <v>Other operating revenues except revenues from subsidiese, fines and penalties</v>
      </c>
      <c r="F146" s="12"/>
      <c r="G146" s="291" t="str">
        <f t="shared" si="179"/>
        <v>EUR thd</v>
      </c>
      <c r="H146" s="416">
        <f>'0.2.Parameters'!H143</f>
        <v>1</v>
      </c>
      <c r="I146" s="215"/>
      <c r="J146" s="107">
        <f>'3.1. Income Statement'!J$15-'3.1. Income Statement'!J$16</f>
        <v>55.3209205486773</v>
      </c>
      <c r="K146" s="107">
        <f>'3.1. Income Statement'!K$15-'3.1. Income Statement'!K$16</f>
        <v>38.743131717782006</v>
      </c>
      <c r="L146" s="107">
        <f>'3.1. Income Statement'!L$15-'3.1. Income Statement'!L$16</f>
        <v>38.872515311056191</v>
      </c>
      <c r="M146" s="107">
        <f>'3.1. Income Statement'!M$15-'3.1. Income Statement'!M$16</f>
        <v>85.872057540685987</v>
      </c>
      <c r="N146" s="107">
        <f ca="1">'3.1. Income Statement'!N$15-'3.1. Income Statement'!N$16</f>
        <v>90.165660417720304</v>
      </c>
      <c r="O146" s="107">
        <f ca="1">'3.1. Income Statement'!O$15-'3.1. Income Statement'!O$16</f>
        <v>94.673943438606315</v>
      </c>
      <c r="P146" s="107">
        <f ca="1">'3.1. Income Statement'!P$15-'3.1. Income Statement'!P$16</f>
        <v>99.407640610536632</v>
      </c>
      <c r="Q146" s="107">
        <f ca="1">'3.1. Income Statement'!Q$15-'3.1. Income Statement'!Q$16</f>
        <v>104.37802264106347</v>
      </c>
      <c r="R146" s="107">
        <f ca="1">'3.1. Income Statement'!R$15-'3.1. Income Statement'!R$16</f>
        <v>109.59692377311663</v>
      </c>
      <c r="S146" s="341"/>
      <c r="T146" s="341"/>
      <c r="U146" s="118"/>
      <c r="V146" s="220">
        <f t="shared" si="148"/>
        <v>-0.16174409291086433</v>
      </c>
      <c r="W146" s="220">
        <f t="shared" si="149"/>
        <v>1.2090687174097554</v>
      </c>
      <c r="X146" s="220">
        <f t="shared" ca="1" si="150"/>
        <v>5.0000000000000044E-2</v>
      </c>
    </row>
    <row r="147" spans="1:24" ht="12" customHeight="1" x14ac:dyDescent="0.25">
      <c r="A147" s="845"/>
      <c r="B147" s="25"/>
      <c r="D147" s="9" t="s">
        <v>93</v>
      </c>
      <c r="G147" s="310" t="str">
        <f t="shared" si="179"/>
        <v>EUR thd</v>
      </c>
      <c r="H147" s="417"/>
      <c r="I147" s="214"/>
      <c r="J147" s="216">
        <f>SUMIF($H143:$H146,1,J143:J146)</f>
        <v>5042.096564086577</v>
      </c>
      <c r="K147" s="216">
        <f t="shared" ref="K147" si="180">SUMIF($H143:$H146,1,K143:K146)</f>
        <v>9732.0556817933048</v>
      </c>
      <c r="L147" s="216">
        <f t="shared" ref="L147" si="181">SUMIF($H143:$H146,1,L143:L146)</f>
        <v>7633.1900784355867</v>
      </c>
      <c r="M147" s="216">
        <f t="shared" ref="M147" si="182">SUMIF($H143:$H146,1,M143:M146)</f>
        <v>11968.668053798041</v>
      </c>
      <c r="N147" s="216">
        <f t="shared" ref="N147" ca="1" si="183">SUMIF($H143:$H146,1,N143:N146)</f>
        <v>12567.101456487944</v>
      </c>
      <c r="O147" s="216">
        <f t="shared" ref="O147" ca="1" si="184">SUMIF($H143:$H146,1,O143:O146)</f>
        <v>13195.45652931234</v>
      </c>
      <c r="P147" s="216">
        <f t="shared" ref="P147:R147" ca="1" si="185">SUMIF($H143:$H146,1,P143:P146)</f>
        <v>13855.229355777958</v>
      </c>
      <c r="Q147" s="216">
        <f t="shared" ca="1" si="185"/>
        <v>14547.990823566857</v>
      </c>
      <c r="R147" s="216">
        <f t="shared" ca="1" si="185"/>
        <v>15275.390364745199</v>
      </c>
      <c r="S147" s="341"/>
      <c r="T147" s="341"/>
      <c r="U147" s="118"/>
      <c r="V147" s="220">
        <f t="shared" si="148"/>
        <v>0.23040322035288541</v>
      </c>
      <c r="W147" s="220">
        <f t="shared" si="149"/>
        <v>0.56797720622869718</v>
      </c>
      <c r="X147" s="220">
        <f t="shared" ca="1" si="150"/>
        <v>5.0000000000000044E-2</v>
      </c>
    </row>
    <row r="148" spans="1:24" ht="12" customHeight="1" x14ac:dyDescent="0.25">
      <c r="A148" s="845"/>
      <c r="B148" s="25"/>
      <c r="D148" s="10"/>
      <c r="G148" s="215"/>
      <c r="H148" s="417"/>
      <c r="I148" s="215"/>
      <c r="J148" s="108"/>
      <c r="K148" s="108"/>
      <c r="L148" s="108"/>
      <c r="M148" s="108"/>
      <c r="N148" s="108"/>
      <c r="O148" s="108"/>
      <c r="P148" s="108"/>
      <c r="Q148" s="108"/>
      <c r="R148" s="108"/>
      <c r="S148" s="341"/>
      <c r="T148" s="341"/>
      <c r="U148" s="118"/>
      <c r="V148" s="220">
        <f t="shared" si="148"/>
        <v>0</v>
      </c>
      <c r="W148" s="220">
        <f t="shared" si="149"/>
        <v>0</v>
      </c>
      <c r="X148" s="220">
        <f t="shared" si="150"/>
        <v>0</v>
      </c>
    </row>
    <row r="149" spans="1:24" ht="12" customHeight="1" x14ac:dyDescent="0.25">
      <c r="A149" s="845"/>
      <c r="B149" s="25"/>
      <c r="D149" s="9" t="str">
        <f>"Closing balance "&amp;LOWER(C142)</f>
        <v>Closing balance subsidies</v>
      </c>
      <c r="E149" s="6"/>
      <c r="F149" s="6"/>
      <c r="G149" s="310" t="str">
        <f>"EUR "&amp;Multiplier</f>
        <v>EUR thd</v>
      </c>
      <c r="H149" s="417"/>
      <c r="I149" s="214"/>
      <c r="J149" s="312">
        <f>IF((J$4="Actual"),SUMIF('1.3.Historical BS'!$D$30:$D$38,$C142,'1.3.Historical BS'!O$30:O$38),"n/a")</f>
        <v>0</v>
      </c>
      <c r="K149" s="312">
        <f>IF((K$4="Actual"),SUMIF('1.3.Historical BS'!$D$30:$D$38,$C142,'1.3.Historical BS'!P$30:P$38),"n/a")</f>
        <v>0</v>
      </c>
      <c r="L149" s="312">
        <f>IF((L$4="Actual"),SUMIF('1.3.Historical BS'!$D$30:$D$38,$C142,'1.3.Historical BS'!Q$30:Q$38),"n/a")</f>
        <v>0</v>
      </c>
      <c r="M149" s="312" t="str">
        <f>IF((M$4="Actual"),SUMIF('1.3.Historical BS'!$D$30:$D$38,$C142,'1.3.Historical BS'!R$30:R$38),"n/a")</f>
        <v>n/a</v>
      </c>
      <c r="N149" s="312" t="str">
        <f>IF((N$4="Actual"),SUMIF('1.3.Historical BS'!$D$30:$D$38,$C142,'1.3.Historical BS'!S$30:S$38),"n/a")</f>
        <v>n/a</v>
      </c>
      <c r="O149" s="312" t="str">
        <f>IF((O$4="Actual"),SUMIF('1.3.Historical BS'!$D$30:$D$38,$C142,'1.3.Historical BS'!T$30:T$38),"n/a")</f>
        <v>n/a</v>
      </c>
      <c r="P149" s="312" t="str">
        <f>IF((P$4="Actual"),SUMIF('1.3.Historical BS'!$D$30:$D$38,$C142,'1.3.Historical BS'!U$30:U$38),"n/a")</f>
        <v>n/a</v>
      </c>
      <c r="Q149" s="312" t="str">
        <f>IF((Q$4="Actual"),SUMIF('1.3.Historical BS'!$D$30:$D$38,$C142,'1.3.Historical BS'!V$30:V$38),"n/a")</f>
        <v>n/a</v>
      </c>
      <c r="R149" s="312" t="str">
        <f>IF((R$4="Actual"),SUMIF('1.3.Historical BS'!$D$30:$D$38,$C142,'1.3.Historical BS'!W$30:W$38),"n/a")</f>
        <v>n/a</v>
      </c>
      <c r="S149" s="341"/>
      <c r="T149" s="341"/>
      <c r="U149" s="218"/>
      <c r="V149" s="220">
        <f t="shared" si="148"/>
        <v>0</v>
      </c>
      <c r="W149" s="220">
        <f t="shared" si="149"/>
        <v>0</v>
      </c>
      <c r="X149" s="220">
        <f t="shared" si="150"/>
        <v>0</v>
      </c>
    </row>
    <row r="150" spans="1:24" ht="12" customHeight="1" x14ac:dyDescent="0.25">
      <c r="A150" s="845"/>
      <c r="B150" s="25"/>
      <c r="D150" s="10"/>
      <c r="G150" s="215"/>
      <c r="H150" s="417"/>
      <c r="I150" s="215"/>
      <c r="J150" s="108"/>
      <c r="K150" s="108"/>
      <c r="L150" s="108"/>
      <c r="M150" s="108"/>
      <c r="N150" s="108"/>
      <c r="O150" s="108"/>
      <c r="P150" s="108"/>
      <c r="Q150" s="108"/>
      <c r="R150" s="108"/>
      <c r="S150" s="341"/>
      <c r="T150" s="341"/>
      <c r="U150" s="118"/>
      <c r="V150" s="220">
        <f t="shared" si="148"/>
        <v>0</v>
      </c>
      <c r="W150" s="220">
        <f t="shared" si="149"/>
        <v>0</v>
      </c>
      <c r="X150" s="220">
        <f t="shared" si="150"/>
        <v>0</v>
      </c>
    </row>
    <row r="151" spans="1:24" ht="12" customHeight="1" x14ac:dyDescent="0.25">
      <c r="A151" s="845"/>
      <c r="B151" s="25"/>
      <c r="D151" s="9" t="s">
        <v>92</v>
      </c>
      <c r="E151" s="6"/>
      <c r="F151" s="6"/>
      <c r="G151" s="214" t="s">
        <v>16</v>
      </c>
      <c r="H151" s="416" t="str">
        <f>'0.2.Parameters'!H144</f>
        <v>Last</v>
      </c>
      <c r="I151" s="313"/>
      <c r="J151" s="216">
        <f t="shared" ref="J151:P151" si="186">IF(ISERROR(J149/J147*(J$2-J$1+1)),"",J149/J147*(J$2-J$1+1))</f>
        <v>0</v>
      </c>
      <c r="K151" s="216">
        <f t="shared" si="186"/>
        <v>0</v>
      </c>
      <c r="L151" s="216">
        <f t="shared" si="186"/>
        <v>0</v>
      </c>
      <c r="M151" s="430" t="str">
        <f t="shared" ref="M151" si="187">IF(ISERROR(M149/M147*(M$2-M$1+1)),"",M149/M147*(M$2-M$1+1))</f>
        <v/>
      </c>
      <c r="N151" s="430" t="str">
        <f t="shared" ca="1" si="186"/>
        <v/>
      </c>
      <c r="O151" s="430" t="str">
        <f t="shared" ca="1" si="186"/>
        <v/>
      </c>
      <c r="P151" s="430" t="str">
        <f t="shared" ca="1" si="186"/>
        <v/>
      </c>
      <c r="Q151" s="430" t="str">
        <f t="shared" ref="Q151:R151" ca="1" si="188">IF(ISERROR(Q149/Q147*(Q$2-Q$1+1)),"",Q149/Q147*(Q$2-Q$1+1))</f>
        <v/>
      </c>
      <c r="R151" s="430" t="str">
        <f t="shared" ca="1" si="188"/>
        <v/>
      </c>
      <c r="S151" s="341"/>
      <c r="T151" s="341"/>
      <c r="U151" s="218"/>
      <c r="V151" s="220">
        <f t="shared" si="148"/>
        <v>0</v>
      </c>
      <c r="W151" s="220">
        <f t="shared" si="149"/>
        <v>0</v>
      </c>
      <c r="X151" s="220">
        <f t="shared" ca="1" si="150"/>
        <v>0</v>
      </c>
    </row>
    <row r="152" spans="1:24" ht="12" customHeight="1" x14ac:dyDescent="0.25">
      <c r="A152" s="845"/>
      <c r="B152" s="56"/>
      <c r="C152" s="43"/>
      <c r="D152" s="13"/>
      <c r="E152" s="13"/>
      <c r="F152" s="11" t="s">
        <v>135</v>
      </c>
      <c r="G152" s="314">
        <f>($F152=H151)*1</f>
        <v>1</v>
      </c>
      <c r="H152" s="311"/>
      <c r="I152" s="315"/>
      <c r="J152" s="223">
        <f>J151</f>
        <v>0</v>
      </c>
      <c r="K152" s="223">
        <f>K151</f>
        <v>0</v>
      </c>
      <c r="L152" s="223">
        <f>L151</f>
        <v>0</v>
      </c>
      <c r="M152" s="341"/>
      <c r="N152" s="341"/>
      <c r="O152" s="341"/>
      <c r="P152" s="341"/>
      <c r="Q152" s="341"/>
      <c r="R152" s="341"/>
      <c r="S152" s="341"/>
      <c r="T152" s="341"/>
      <c r="U152" s="225"/>
      <c r="V152" s="220">
        <f t="shared" si="148"/>
        <v>0</v>
      </c>
      <c r="W152" s="220">
        <f t="shared" si="149"/>
        <v>0</v>
      </c>
      <c r="X152" s="220">
        <f t="shared" si="150"/>
        <v>0</v>
      </c>
    </row>
    <row r="153" spans="1:24" ht="12" customHeight="1" x14ac:dyDescent="0.25">
      <c r="A153" s="845"/>
      <c r="B153" s="56"/>
      <c r="C153" s="43"/>
      <c r="D153" s="13"/>
      <c r="E153" s="13"/>
      <c r="F153" s="11" t="s">
        <v>116</v>
      </c>
      <c r="G153" s="316">
        <f>($F153=H151)*1</f>
        <v>0</v>
      </c>
      <c r="H153" s="311"/>
      <c r="I153" s="315"/>
      <c r="J153" s="223">
        <f>IF(ISERROR(AVERAGE($J151:J151)),"",AVERAGE($J151:J151))</f>
        <v>0</v>
      </c>
      <c r="K153" s="223">
        <f>IF(ISERROR(AVERAGE($J151:K151)),"",AVERAGE($J151:K151))</f>
        <v>0</v>
      </c>
      <c r="L153" s="223">
        <f>IF(ISERROR(AVERAGE($J151:L151)),"",AVERAGE($J151:L151))</f>
        <v>0</v>
      </c>
      <c r="M153" s="341"/>
      <c r="N153" s="341"/>
      <c r="O153" s="341"/>
      <c r="P153" s="341"/>
      <c r="Q153" s="341"/>
      <c r="R153" s="341"/>
      <c r="S153" s="341"/>
      <c r="T153" s="341"/>
      <c r="U153" s="225"/>
      <c r="V153" s="220">
        <f t="shared" si="148"/>
        <v>0</v>
      </c>
      <c r="W153" s="220">
        <f t="shared" si="149"/>
        <v>0</v>
      </c>
      <c r="X153" s="220">
        <f t="shared" si="150"/>
        <v>0</v>
      </c>
    </row>
    <row r="154" spans="1:24" ht="12" customHeight="1" x14ac:dyDescent="0.25">
      <c r="A154" s="845"/>
      <c r="B154" s="56"/>
      <c r="C154" s="43"/>
      <c r="D154" s="13"/>
      <c r="E154" s="13"/>
      <c r="F154" s="11" t="s">
        <v>118</v>
      </c>
      <c r="G154" s="316">
        <f>($F154=H151)*1</f>
        <v>0</v>
      </c>
      <c r="H154" s="311"/>
      <c r="I154" s="315"/>
      <c r="J154" s="223">
        <f>IF(ISERROR(MIN($J151:J151)),"",MIN($J151:J151))</f>
        <v>0</v>
      </c>
      <c r="K154" s="223">
        <f>IF(ISERROR(MIN($J151:K151)),"",MIN($J151:K151))</f>
        <v>0</v>
      </c>
      <c r="L154" s="223">
        <f>IF(ISERROR(MIN($J151:L151)),"",MIN($J151:L151))</f>
        <v>0</v>
      </c>
      <c r="M154" s="341"/>
      <c r="N154" s="341"/>
      <c r="O154" s="341"/>
      <c r="P154" s="341"/>
      <c r="Q154" s="341"/>
      <c r="R154" s="341"/>
      <c r="S154" s="341"/>
      <c r="T154" s="341"/>
      <c r="U154" s="225"/>
      <c r="V154" s="220">
        <f t="shared" si="148"/>
        <v>0</v>
      </c>
      <c r="W154" s="220">
        <f t="shared" si="149"/>
        <v>0</v>
      </c>
      <c r="X154" s="220">
        <f t="shared" si="150"/>
        <v>0</v>
      </c>
    </row>
    <row r="155" spans="1:24" ht="12" customHeight="1" x14ac:dyDescent="0.25">
      <c r="A155" s="845"/>
      <c r="B155" s="56"/>
      <c r="C155" s="43"/>
      <c r="D155" s="13"/>
      <c r="E155" s="13"/>
      <c r="F155" s="11" t="s">
        <v>117</v>
      </c>
      <c r="G155" s="317">
        <f>($F155=H151)*1</f>
        <v>0</v>
      </c>
      <c r="H155" s="311"/>
      <c r="I155" s="315"/>
      <c r="J155" s="223">
        <f>IF(ISERROR(MAX($J151:J151)),"",MAX($J151:J151))</f>
        <v>0</v>
      </c>
      <c r="K155" s="223">
        <f>IF(ISERROR(MAX($J151:K151)),"",MAX($J151:K151))</f>
        <v>0</v>
      </c>
      <c r="L155" s="223">
        <f>IF(ISERROR(MAX($J151:L151)),"",MAX($J151:L151))</f>
        <v>0</v>
      </c>
      <c r="M155" s="341"/>
      <c r="N155" s="341"/>
      <c r="O155" s="341"/>
      <c r="P155" s="341"/>
      <c r="Q155" s="341"/>
      <c r="R155" s="341"/>
      <c r="S155" s="341"/>
      <c r="T155" s="341"/>
      <c r="U155" s="225"/>
      <c r="V155" s="220">
        <f t="shared" si="148"/>
        <v>0</v>
      </c>
      <c r="W155" s="220">
        <f t="shared" si="149"/>
        <v>0</v>
      </c>
      <c r="X155" s="220">
        <f t="shared" si="150"/>
        <v>0</v>
      </c>
    </row>
    <row r="156" spans="1:24" ht="12" customHeight="1" x14ac:dyDescent="0.25">
      <c r="A156" s="845"/>
      <c r="B156" s="25"/>
      <c r="E156" s="10" t="s">
        <v>91</v>
      </c>
      <c r="G156" s="215" t="s">
        <v>16</v>
      </c>
      <c r="H156" s="418">
        <v>0</v>
      </c>
      <c r="I156" s="318"/>
      <c r="J156" s="117" t="str">
        <f t="shared" ref="J156" si="189">IF(J$4="Estimate",SUMPRODUCT(I152:I155,$G152:$G155),IF(J$4="Forecast",I156,""))</f>
        <v/>
      </c>
      <c r="K156" s="117" t="str">
        <f t="shared" ref="K156" si="190">IF(K$4="Estimate",SUMPRODUCT(J152:J155,$G152:$G155),IF(K$4="Forecast",J156,""))</f>
        <v/>
      </c>
      <c r="L156" s="117" t="str">
        <f t="shared" ref="L156" si="191">IF(L$4="Estimate",SUMPRODUCT(K152:K155,$G152:$G155),IF(L$4="Forecast",K156,""))</f>
        <v/>
      </c>
      <c r="M156" s="117">
        <f>SUMPRODUCT(L152:L155,$G152:$G155)</f>
        <v>0</v>
      </c>
      <c r="N156" s="117">
        <f t="shared" ref="N156:O156" si="192">IF(N$4="Estimate",SUMPRODUCT(M152:M155,$G152:$G155),IF(N$4="Forecast",M156,""))</f>
        <v>0</v>
      </c>
      <c r="O156" s="117">
        <f t="shared" si="192"/>
        <v>0</v>
      </c>
      <c r="P156" s="117">
        <f t="shared" ref="P156" si="193">IF(P$4="Estimate",SUMPRODUCT(O152:O155,$G152:$G155),IF(P$4="Forecast",O156,""))</f>
        <v>0</v>
      </c>
      <c r="Q156" s="117">
        <f t="shared" ref="Q156" si="194">IF(Q$4="Estimate",SUMPRODUCT(P152:P155,$G152:$G155),IF(Q$4="Forecast",P156,""))</f>
        <v>0</v>
      </c>
      <c r="R156" s="117">
        <f t="shared" ref="R156" si="195">IF(R$4="Estimate",SUMPRODUCT(Q152:Q155,$G152:$G155),IF(R$4="Forecast",Q156,""))</f>
        <v>0</v>
      </c>
      <c r="S156" s="341"/>
      <c r="T156" s="341"/>
      <c r="U156" s="118"/>
      <c r="V156" s="220">
        <f t="shared" si="148"/>
        <v>0</v>
      </c>
      <c r="W156" s="220">
        <f t="shared" si="149"/>
        <v>0</v>
      </c>
      <c r="X156" s="220">
        <f t="shared" si="150"/>
        <v>0</v>
      </c>
    </row>
    <row r="157" spans="1:24" ht="12" customHeight="1" x14ac:dyDescent="0.25">
      <c r="A157" s="845"/>
      <c r="B157" s="25"/>
      <c r="D157" s="9" t="s">
        <v>90</v>
      </c>
      <c r="G157" s="214" t="s">
        <v>16</v>
      </c>
      <c r="H157" s="311"/>
      <c r="I157" s="214"/>
      <c r="J157" s="319">
        <f>SUM(J151,J156)</f>
        <v>0</v>
      </c>
      <c r="K157" s="319">
        <f t="shared" ref="K157" si="196">SUM(K151,K156)</f>
        <v>0</v>
      </c>
      <c r="L157" s="319">
        <f t="shared" ref="L157" si="197">SUM(L151,L156)</f>
        <v>0</v>
      </c>
      <c r="M157" s="319">
        <f t="shared" ref="M157" si="198">SUM(M151,M156)</f>
        <v>0</v>
      </c>
      <c r="N157" s="319">
        <f t="shared" ref="N157" ca="1" si="199">SUM(N151,N156)</f>
        <v>0</v>
      </c>
      <c r="O157" s="319">
        <f t="shared" ref="O157" ca="1" si="200">SUM(O151,O156)</f>
        <v>0</v>
      </c>
      <c r="P157" s="319">
        <f t="shared" ref="P157:R157" ca="1" si="201">SUM(P151,P156)</f>
        <v>0</v>
      </c>
      <c r="Q157" s="319">
        <f t="shared" ca="1" si="201"/>
        <v>0</v>
      </c>
      <c r="R157" s="319">
        <f t="shared" ca="1" si="201"/>
        <v>0</v>
      </c>
      <c r="S157" s="341"/>
      <c r="T157" s="341"/>
      <c r="U157" s="118"/>
      <c r="V157" s="220">
        <f t="shared" si="148"/>
        <v>0</v>
      </c>
      <c r="W157" s="220">
        <f t="shared" si="149"/>
        <v>0</v>
      </c>
      <c r="X157" s="220">
        <f t="shared" ca="1" si="150"/>
        <v>0</v>
      </c>
    </row>
    <row r="158" spans="1:24" ht="12" customHeight="1" x14ac:dyDescent="0.25">
      <c r="A158" s="845"/>
      <c r="B158" s="25"/>
      <c r="D158" s="10"/>
      <c r="E158" s="12"/>
      <c r="F158" s="12"/>
      <c r="G158" s="215"/>
      <c r="H158" s="311"/>
      <c r="I158" s="215"/>
      <c r="J158" s="108"/>
      <c r="K158" s="108"/>
      <c r="L158" s="108"/>
      <c r="M158" s="108"/>
      <c r="N158" s="108"/>
      <c r="O158" s="108"/>
      <c r="P158" s="108"/>
      <c r="Q158" s="108"/>
      <c r="R158" s="108"/>
      <c r="S158" s="341"/>
      <c r="T158" s="341"/>
      <c r="U158" s="118"/>
      <c r="V158" s="220">
        <f t="shared" si="148"/>
        <v>0</v>
      </c>
      <c r="W158" s="220">
        <f t="shared" si="149"/>
        <v>0</v>
      </c>
      <c r="X158" s="220">
        <f t="shared" si="150"/>
        <v>0</v>
      </c>
    </row>
    <row r="159" spans="1:24" ht="12" customHeight="1" x14ac:dyDescent="0.25">
      <c r="A159" s="845"/>
      <c r="B159" s="25"/>
      <c r="D159" s="74" t="str">
        <f>D149</f>
        <v>Closing balance subsidies</v>
      </c>
      <c r="E159" s="50"/>
      <c r="F159" s="50"/>
      <c r="G159" s="320" t="str">
        <f>"EUR "&amp;Multiplier</f>
        <v>EUR thd</v>
      </c>
      <c r="H159" s="321"/>
      <c r="I159" s="322"/>
      <c r="J159" s="227">
        <f t="shared" ref="J159:P159" si="202">J157/(J$2-J$1+1)*J147</f>
        <v>0</v>
      </c>
      <c r="K159" s="227">
        <f t="shared" si="202"/>
        <v>0</v>
      </c>
      <c r="L159" s="227">
        <f t="shared" si="202"/>
        <v>0</v>
      </c>
      <c r="M159" s="227">
        <f t="shared" si="202"/>
        <v>0</v>
      </c>
      <c r="N159" s="227">
        <f t="shared" ca="1" si="202"/>
        <v>0</v>
      </c>
      <c r="O159" s="227">
        <f t="shared" ca="1" si="202"/>
        <v>0</v>
      </c>
      <c r="P159" s="227">
        <f t="shared" ca="1" si="202"/>
        <v>0</v>
      </c>
      <c r="Q159" s="227">
        <f t="shared" ref="Q159:R159" ca="1" si="203">Q157/(Q$2-Q$1+1)*Q147</f>
        <v>0</v>
      </c>
      <c r="R159" s="227">
        <f t="shared" ca="1" si="203"/>
        <v>0</v>
      </c>
      <c r="S159" s="341"/>
      <c r="T159" s="341"/>
      <c r="U159" s="118"/>
      <c r="V159" s="220">
        <f t="shared" si="148"/>
        <v>0</v>
      </c>
      <c r="W159" s="220">
        <f t="shared" si="149"/>
        <v>0</v>
      </c>
      <c r="X159" s="220">
        <f t="shared" ca="1" si="150"/>
        <v>0</v>
      </c>
    </row>
    <row r="160" spans="1:24" ht="12" customHeight="1" x14ac:dyDescent="0.25">
      <c r="G160" s="215"/>
      <c r="H160" s="215"/>
      <c r="I160" s="215"/>
      <c r="J160" s="118"/>
      <c r="K160" s="118"/>
      <c r="L160" s="118"/>
      <c r="M160" s="118"/>
      <c r="N160" s="118"/>
      <c r="O160" s="118"/>
      <c r="P160" s="118"/>
      <c r="Q160" s="118"/>
      <c r="R160" s="118"/>
      <c r="S160" s="118"/>
      <c r="T160" s="118"/>
      <c r="U160" s="118"/>
      <c r="V160" s="220"/>
      <c r="W160" s="220"/>
      <c r="X160" s="220"/>
    </row>
    <row r="161" spans="1:25" ht="12" customHeight="1" x14ac:dyDescent="0.25">
      <c r="A161" s="14">
        <f ca="1">MAX($A$1:A141)+1</f>
        <v>2</v>
      </c>
      <c r="B161" s="15" t="s">
        <v>160</v>
      </c>
      <c r="C161" s="15"/>
      <c r="D161" s="15"/>
      <c r="E161" s="15"/>
      <c r="F161" s="16"/>
      <c r="G161" s="268"/>
      <c r="H161" s="268"/>
      <c r="I161" s="268"/>
      <c r="J161" s="300"/>
      <c r="K161" s="300"/>
      <c r="L161" s="300"/>
      <c r="M161" s="300"/>
      <c r="N161" s="300"/>
      <c r="O161" s="300"/>
      <c r="P161" s="300"/>
      <c r="Q161" s="300"/>
      <c r="R161" s="300"/>
      <c r="S161" s="300"/>
      <c r="T161" s="300"/>
      <c r="U161" s="300"/>
      <c r="V161" s="300"/>
      <c r="W161" s="300"/>
      <c r="X161" s="300"/>
      <c r="Y161" s="21"/>
    </row>
    <row r="162" spans="1:25" ht="12" customHeight="1" outlineLevel="1" x14ac:dyDescent="0.25">
      <c r="G162" s="215"/>
      <c r="H162" s="311"/>
      <c r="I162" s="215"/>
      <c r="J162" s="118"/>
      <c r="K162" s="118"/>
      <c r="L162" s="118"/>
      <c r="M162" s="118"/>
      <c r="N162" s="118"/>
      <c r="O162" s="118"/>
      <c r="P162" s="118"/>
      <c r="Q162" s="118"/>
      <c r="R162" s="118"/>
      <c r="S162" s="118"/>
      <c r="T162" s="118"/>
      <c r="U162" s="118"/>
      <c r="V162" s="220">
        <f t="shared" ref="V162:V225" si="204">IF(ISERROR((($L162/$J162)^(1/($L$3-$J$3))-1)),0,(($L162/$J162)^(1/($L$3-$J$3))-1))</f>
        <v>0</v>
      </c>
      <c r="W162" s="220">
        <f t="shared" ref="W162:W225" si="205">IF(ISERROR($M162/$L162-1),0,$M162/$L162-1)</f>
        <v>0</v>
      </c>
      <c r="X162" s="220">
        <f t="shared" ref="X162:X225" si="206">IF(ISERROR((($P162/$M162)^(1/($P$3-$M$3))-1)),0,(($P162/$M162)^(1/($P$3-$M$3))-1))</f>
        <v>0</v>
      </c>
      <c r="Y162" s="122"/>
    </row>
    <row r="163" spans="1:25" ht="12" customHeight="1" outlineLevel="1" x14ac:dyDescent="0.25">
      <c r="A163" s="845"/>
      <c r="B163" s="25">
        <f ca="1">MAX($A$1:B162)+0.1</f>
        <v>2.1</v>
      </c>
      <c r="C163" s="9" t="str">
        <f>'1.3.Historical BS'!E60</f>
        <v>Advances from clients</v>
      </c>
      <c r="D163" s="10"/>
      <c r="G163" s="215"/>
      <c r="H163" s="311"/>
      <c r="I163" s="215"/>
      <c r="J163" s="323"/>
      <c r="K163" s="118"/>
      <c r="L163" s="118"/>
      <c r="M163" s="118"/>
      <c r="N163" s="118"/>
      <c r="O163" s="118"/>
      <c r="P163" s="118"/>
      <c r="Q163" s="118"/>
      <c r="R163" s="118"/>
      <c r="S163" s="118"/>
      <c r="T163" s="118"/>
      <c r="U163" s="118"/>
      <c r="V163" s="220">
        <f t="shared" si="204"/>
        <v>0</v>
      </c>
      <c r="W163" s="220">
        <f t="shared" si="205"/>
        <v>0</v>
      </c>
      <c r="X163" s="220">
        <f t="shared" si="206"/>
        <v>0</v>
      </c>
      <c r="Y163" s="122"/>
    </row>
    <row r="164" spans="1:25" ht="12" customHeight="1" outlineLevel="2" x14ac:dyDescent="0.25">
      <c r="A164" s="845"/>
      <c r="B164" s="25"/>
      <c r="E164" s="10" t="str">
        <f>'0.2.Parameters'!$F$147</f>
        <v>Salaries, wages and related costs</v>
      </c>
      <c r="G164" s="291" t="str">
        <f t="shared" ref="G164:G166" si="207">"EUR "&amp;Multiplier</f>
        <v>EUR thd</v>
      </c>
      <c r="H164" s="416">
        <f>'0.2.Parameters'!H147</f>
        <v>0</v>
      </c>
      <c r="I164" s="215"/>
      <c r="J164" s="107">
        <f>'3.1. Income Statement'!J$19</f>
        <v>163.79968602476174</v>
      </c>
      <c r="K164" s="107">
        <f>'3.1. Income Statement'!K$19</f>
        <v>204.84446487598782</v>
      </c>
      <c r="L164" s="107">
        <f>'3.1. Income Statement'!L$19</f>
        <v>232.32738798753627</v>
      </c>
      <c r="M164" s="107">
        <f>'3.1. Income Statement'!M$19</f>
        <v>249.53682413476119</v>
      </c>
      <c r="N164" s="107">
        <f>'3.1. Income Statement'!N$19</f>
        <v>280.08357329608538</v>
      </c>
      <c r="O164" s="107">
        <f>'3.1. Income Statement'!O$19</f>
        <v>294.0877519608897</v>
      </c>
      <c r="P164" s="107">
        <f>'3.1. Income Statement'!P$19</f>
        <v>308.7921395589342</v>
      </c>
      <c r="Q164" s="107">
        <f>'3.1. Income Statement'!Q$19</f>
        <v>324.23174653688091</v>
      </c>
      <c r="R164" s="107">
        <f>'3.1. Income Statement'!R$19</f>
        <v>340.44333386372494</v>
      </c>
      <c r="S164" s="341"/>
      <c r="T164" s="341"/>
      <c r="U164" s="118"/>
      <c r="V164" s="220">
        <f t="shared" si="204"/>
        <v>0.19095039391712287</v>
      </c>
      <c r="W164" s="220">
        <f t="shared" si="205"/>
        <v>7.4074074074074181E-2</v>
      </c>
      <c r="X164" s="220">
        <f t="shared" si="206"/>
        <v>7.3603365849039593E-2</v>
      </c>
      <c r="Y164" s="122"/>
    </row>
    <row r="165" spans="1:25" ht="12" customHeight="1" outlineLevel="2" x14ac:dyDescent="0.25">
      <c r="A165" s="845"/>
      <c r="B165" s="25"/>
      <c r="D165" s="12"/>
      <c r="E165" s="10" t="str">
        <f>'0.2.Parameters'!$F$148</f>
        <v>Other operating expenses</v>
      </c>
      <c r="F165" s="12"/>
      <c r="G165" s="291" t="str">
        <f t="shared" si="207"/>
        <v>EUR thd</v>
      </c>
      <c r="H165" s="416">
        <f>'0.2.Parameters'!H148</f>
        <v>1</v>
      </c>
      <c r="I165" s="215"/>
      <c r="J165" s="107">
        <f>'3.1. Income Statement'!J$23</f>
        <v>4839.3648971230068</v>
      </c>
      <c r="K165" s="107">
        <f>'3.1. Income Statement'!K$23</f>
        <v>8813.0766927168843</v>
      </c>
      <c r="L165" s="107">
        <f>'3.1. Income Statement'!L$23</f>
        <v>7247.4658515096162</v>
      </c>
      <c r="M165" s="107">
        <f>'3.1. Income Statement'!M$23</f>
        <v>10923.445812244656</v>
      </c>
      <c r="N165" s="107">
        <f>'3.1. Income Statement'!N$23</f>
        <v>11469.61810285689</v>
      </c>
      <c r="O165" s="107">
        <f>'3.1. Income Statement'!O$23</f>
        <v>12043.099007999732</v>
      </c>
      <c r="P165" s="107">
        <f>'3.1. Income Statement'!P$23</f>
        <v>12645.25395839972</v>
      </c>
      <c r="Q165" s="107">
        <f>'3.1. Income Statement'!Q$23</f>
        <v>13277.516656319709</v>
      </c>
      <c r="R165" s="107">
        <f>'3.1. Income Statement'!R$23</f>
        <v>13941.392489135693</v>
      </c>
      <c r="S165" s="341"/>
      <c r="T165" s="341"/>
      <c r="U165" s="118"/>
      <c r="V165" s="220">
        <f t="shared" si="204"/>
        <v>0.22376746780994239</v>
      </c>
      <c r="W165" s="220">
        <f t="shared" si="205"/>
        <v>0.50720900740351182</v>
      </c>
      <c r="X165" s="220">
        <f t="shared" si="206"/>
        <v>5.0000000000000044E-2</v>
      </c>
      <c r="Y165" s="122"/>
    </row>
    <row r="166" spans="1:25" ht="12" customHeight="1" outlineLevel="2" x14ac:dyDescent="0.25">
      <c r="A166" s="845"/>
      <c r="B166" s="25"/>
      <c r="D166" s="9" t="s">
        <v>93</v>
      </c>
      <c r="G166" s="310" t="str">
        <f t="shared" si="207"/>
        <v>EUR thd</v>
      </c>
      <c r="H166" s="417"/>
      <c r="I166" s="214"/>
      <c r="J166" s="216">
        <f>SUMIF($H164:$H165,1,J164:J165)</f>
        <v>4839.3648971230068</v>
      </c>
      <c r="K166" s="216">
        <f t="shared" ref="K166:P166" si="208">SUMIF($H164:$H165,1,K164:K165)</f>
        <v>8813.0766927168843</v>
      </c>
      <c r="L166" s="216">
        <f t="shared" si="208"/>
        <v>7247.4658515096162</v>
      </c>
      <c r="M166" s="216">
        <f t="shared" si="208"/>
        <v>10923.445812244656</v>
      </c>
      <c r="N166" s="216">
        <f t="shared" si="208"/>
        <v>11469.61810285689</v>
      </c>
      <c r="O166" s="216">
        <f t="shared" si="208"/>
        <v>12043.099007999732</v>
      </c>
      <c r="P166" s="216">
        <f t="shared" si="208"/>
        <v>12645.25395839972</v>
      </c>
      <c r="Q166" s="216">
        <f t="shared" ref="Q166:R166" si="209">SUMIF($H164:$H165,1,Q164:Q165)</f>
        <v>13277.516656319709</v>
      </c>
      <c r="R166" s="216">
        <f t="shared" si="209"/>
        <v>13941.392489135693</v>
      </c>
      <c r="S166" s="341"/>
      <c r="T166" s="341"/>
      <c r="U166" s="118"/>
      <c r="V166" s="220">
        <f t="shared" si="204"/>
        <v>0.22376746780994239</v>
      </c>
      <c r="W166" s="220">
        <f t="shared" si="205"/>
        <v>0.50720900740351182</v>
      </c>
      <c r="X166" s="220">
        <f t="shared" si="206"/>
        <v>5.0000000000000044E-2</v>
      </c>
      <c r="Y166" s="122"/>
    </row>
    <row r="167" spans="1:25" ht="12" customHeight="1" outlineLevel="2" x14ac:dyDescent="0.25">
      <c r="A167" s="845"/>
      <c r="B167" s="25"/>
      <c r="D167" s="10"/>
      <c r="G167" s="215"/>
      <c r="H167" s="417"/>
      <c r="I167" s="215"/>
      <c r="J167" s="108"/>
      <c r="K167" s="108"/>
      <c r="L167" s="108"/>
      <c r="M167" s="108"/>
      <c r="N167" s="108"/>
      <c r="O167" s="108"/>
      <c r="P167" s="108"/>
      <c r="Q167" s="108"/>
      <c r="R167" s="108"/>
      <c r="S167" s="341"/>
      <c r="T167" s="341"/>
      <c r="U167" s="118"/>
      <c r="V167" s="220">
        <f t="shared" si="204"/>
        <v>0</v>
      </c>
      <c r="W167" s="220">
        <f t="shared" si="205"/>
        <v>0</v>
      </c>
      <c r="X167" s="220">
        <f t="shared" si="206"/>
        <v>0</v>
      </c>
      <c r="Y167" s="122"/>
    </row>
    <row r="168" spans="1:25" s="6" customFormat="1" ht="12" customHeight="1" outlineLevel="2" x14ac:dyDescent="0.25">
      <c r="A168" s="845"/>
      <c r="B168" s="25"/>
      <c r="C168" s="9"/>
      <c r="D168" s="9" t="str">
        <f>"Closing balance "&amp;LOWER(C163)</f>
        <v>Closing balance advances from clients</v>
      </c>
      <c r="G168" s="310" t="str">
        <f>"EUR "&amp;Multiplier</f>
        <v>EUR thd</v>
      </c>
      <c r="H168" s="417"/>
      <c r="I168" s="214"/>
      <c r="J168" s="312">
        <f>IF((J$4="Actual"),SUMIF('1.3.Historical BS'!$E$60:$E$67,$C163,'1.3.Historical BS'!O$60:O$67),"n/a")</f>
        <v>971.91871572966897</v>
      </c>
      <c r="K168" s="312">
        <f>IF((K$4="Actual"),SUMIF('1.3.Historical BS'!$E$60:$E$67,$C163,'1.3.Historical BS'!P$60:P$67),"n/a")</f>
        <v>2154.4197888276071</v>
      </c>
      <c r="L168" s="312">
        <f>IF((L$4="Actual"),SUMIF('1.3.Historical BS'!$E$60:$E$67,$C163,'1.3.Historical BS'!Q$60:Q$67),"n/a")</f>
        <v>1936.53413452261</v>
      </c>
      <c r="M168" s="312" t="str">
        <f>IF((M$4="Actual"),SUMIF('1.3.Historical BS'!$E$60:$E$67,$C163,'1.3.Historical BS'!R$60:R$67),"n/a")</f>
        <v>n/a</v>
      </c>
      <c r="N168" s="312" t="str">
        <f>IF((N$4="Actual"),SUMIF('1.3.Historical BS'!$E$60:$E$67,$C163,'1.3.Historical BS'!S$60:S$67),"n/a")</f>
        <v>n/a</v>
      </c>
      <c r="O168" s="312" t="str">
        <f>IF((O$4="Actual"),SUMIF('1.3.Historical BS'!$E$60:$E$67,$C163,'1.3.Historical BS'!T$60:T$67),"n/a")</f>
        <v>n/a</v>
      </c>
      <c r="P168" s="312" t="str">
        <f>IF((P$4="Actual"),SUMIF('1.3.Historical BS'!$E$60:$E$67,$C163,'1.3.Historical BS'!U$60:U$67),"n/a")</f>
        <v>n/a</v>
      </c>
      <c r="Q168" s="312" t="str">
        <f>IF((Q$4="Actual"),SUMIF('1.3.Historical BS'!$E$60:$E$67,$C163,'1.3.Historical BS'!V$60:V$67),"n/a")</f>
        <v>n/a</v>
      </c>
      <c r="R168" s="312" t="str">
        <f>IF((R$4="Actual"),SUMIF('1.3.Historical BS'!$E$60:$E$67,$C163,'1.3.Historical BS'!W$60:W$67),"n/a")</f>
        <v>n/a</v>
      </c>
      <c r="S168" s="341"/>
      <c r="T168" s="341"/>
      <c r="U168" s="218"/>
      <c r="V168" s="220">
        <f t="shared" si="204"/>
        <v>0.41155435305692345</v>
      </c>
      <c r="W168" s="220">
        <f t="shared" si="205"/>
        <v>0</v>
      </c>
      <c r="X168" s="220">
        <f t="shared" si="206"/>
        <v>0</v>
      </c>
      <c r="Y168" s="125"/>
    </row>
    <row r="169" spans="1:25" ht="12" customHeight="1" outlineLevel="2" x14ac:dyDescent="0.25">
      <c r="A169" s="845"/>
      <c r="B169" s="25"/>
      <c r="D169" s="10"/>
      <c r="G169" s="215"/>
      <c r="H169" s="417"/>
      <c r="I169" s="215"/>
      <c r="J169" s="108"/>
      <c r="K169" s="108"/>
      <c r="L169" s="108"/>
      <c r="M169" s="108"/>
      <c r="N169" s="108"/>
      <c r="O169" s="108"/>
      <c r="P169" s="108"/>
      <c r="Q169" s="108"/>
      <c r="R169" s="108"/>
      <c r="S169" s="341"/>
      <c r="T169" s="341"/>
      <c r="U169" s="118"/>
      <c r="V169" s="220">
        <f t="shared" si="204"/>
        <v>0</v>
      </c>
      <c r="W169" s="220">
        <f t="shared" si="205"/>
        <v>0</v>
      </c>
      <c r="X169" s="220">
        <f t="shared" si="206"/>
        <v>0</v>
      </c>
      <c r="Y169" s="122"/>
    </row>
    <row r="170" spans="1:25" s="6" customFormat="1" ht="12" customHeight="1" outlineLevel="2" x14ac:dyDescent="0.25">
      <c r="A170" s="845"/>
      <c r="B170" s="25"/>
      <c r="C170" s="9"/>
      <c r="D170" s="9" t="s">
        <v>92</v>
      </c>
      <c r="G170" s="214" t="s">
        <v>16</v>
      </c>
      <c r="H170" s="416" t="str">
        <f>'0.2.Parameters'!H149</f>
        <v>Last</v>
      </c>
      <c r="I170" s="313"/>
      <c r="J170" s="216">
        <f t="shared" ref="J170:P170" si="210">IF(ISERROR(J168/J166*(J$2-J$1+1)),"",J168/J166*(J$2-J$1+1))</f>
        <v>73.505978060992064</v>
      </c>
      <c r="K170" s="216">
        <f t="shared" si="210"/>
        <v>89.22686711349354</v>
      </c>
      <c r="L170" s="216">
        <f t="shared" si="210"/>
        <v>97.528567030574138</v>
      </c>
      <c r="M170" s="430" t="str">
        <f t="shared" ref="M170" si="211">IF(ISERROR(M168/M166*(M$2-M$1+1)),"",M168/M166*(M$2-M$1+1))</f>
        <v/>
      </c>
      <c r="N170" s="430" t="str">
        <f t="shared" si="210"/>
        <v/>
      </c>
      <c r="O170" s="430" t="str">
        <f t="shared" si="210"/>
        <v/>
      </c>
      <c r="P170" s="430" t="str">
        <f t="shared" si="210"/>
        <v/>
      </c>
      <c r="Q170" s="430" t="str">
        <f t="shared" ref="Q170:R170" si="212">IF(ISERROR(Q168/Q166*(Q$2-Q$1+1)),"",Q168/Q166*(Q$2-Q$1+1))</f>
        <v/>
      </c>
      <c r="R170" s="430" t="str">
        <f t="shared" si="212"/>
        <v/>
      </c>
      <c r="S170" s="341"/>
      <c r="T170" s="341"/>
      <c r="U170" s="218"/>
      <c r="V170" s="220">
        <f t="shared" si="204"/>
        <v>0.15187298094692769</v>
      </c>
      <c r="W170" s="220">
        <f t="shared" si="205"/>
        <v>0</v>
      </c>
      <c r="X170" s="220">
        <f t="shared" si="206"/>
        <v>0</v>
      </c>
      <c r="Y170" s="125"/>
    </row>
    <row r="171" spans="1:25" s="13" customFormat="1" ht="12" customHeight="1" outlineLevel="3" x14ac:dyDescent="0.25">
      <c r="A171" s="850"/>
      <c r="B171" s="56"/>
      <c r="C171" s="43"/>
      <c r="F171" s="11" t="s">
        <v>135</v>
      </c>
      <c r="G171" s="314">
        <f>($F171=H170)*1</f>
        <v>1</v>
      </c>
      <c r="H171" s="311"/>
      <c r="I171" s="315"/>
      <c r="J171" s="223">
        <f>J170</f>
        <v>73.505978060992064</v>
      </c>
      <c r="K171" s="223">
        <f>K170</f>
        <v>89.22686711349354</v>
      </c>
      <c r="L171" s="223">
        <f>L170</f>
        <v>97.528567030574138</v>
      </c>
      <c r="M171" s="341"/>
      <c r="N171" s="341"/>
      <c r="O171" s="341"/>
      <c r="P171" s="341"/>
      <c r="Q171" s="341"/>
      <c r="R171" s="341"/>
      <c r="S171" s="341"/>
      <c r="T171" s="341"/>
      <c r="U171" s="225"/>
      <c r="V171" s="220">
        <f t="shared" si="204"/>
        <v>0.15187298094692769</v>
      </c>
      <c r="W171" s="220">
        <f t="shared" si="205"/>
        <v>-1</v>
      </c>
      <c r="X171" s="220">
        <f t="shared" si="206"/>
        <v>0</v>
      </c>
      <c r="Y171" s="126"/>
    </row>
    <row r="172" spans="1:25" s="13" customFormat="1" ht="12" customHeight="1" outlineLevel="3" x14ac:dyDescent="0.25">
      <c r="A172" s="850"/>
      <c r="B172" s="56"/>
      <c r="C172" s="43"/>
      <c r="F172" s="11" t="s">
        <v>116</v>
      </c>
      <c r="G172" s="316">
        <f>($F172=H170)*1</f>
        <v>0</v>
      </c>
      <c r="H172" s="311"/>
      <c r="I172" s="315"/>
      <c r="J172" s="223">
        <f>IF(ISERROR(AVERAGE($J170:J170)),"",AVERAGE($J170:J170))</f>
        <v>73.505978060992064</v>
      </c>
      <c r="K172" s="223">
        <f>IF(ISERROR(AVERAGE($J170:K170)),"",AVERAGE($J170:K170))</f>
        <v>81.366422587242795</v>
      </c>
      <c r="L172" s="223">
        <f>IF(ISERROR(AVERAGE($J170:L170)),"",AVERAGE($J170:L170))</f>
        <v>86.753804068353247</v>
      </c>
      <c r="M172" s="341"/>
      <c r="N172" s="341"/>
      <c r="O172" s="341"/>
      <c r="P172" s="341"/>
      <c r="Q172" s="341"/>
      <c r="R172" s="341"/>
      <c r="S172" s="341"/>
      <c r="T172" s="341"/>
      <c r="U172" s="225"/>
      <c r="V172" s="220">
        <f t="shared" si="204"/>
        <v>8.6382930659925306E-2</v>
      </c>
      <c r="W172" s="220">
        <f t="shared" si="205"/>
        <v>-1</v>
      </c>
      <c r="X172" s="220">
        <f t="shared" si="206"/>
        <v>0</v>
      </c>
      <c r="Y172" s="126"/>
    </row>
    <row r="173" spans="1:25" s="13" customFormat="1" ht="12" customHeight="1" outlineLevel="3" x14ac:dyDescent="0.25">
      <c r="A173" s="850"/>
      <c r="B173" s="56"/>
      <c r="C173" s="43"/>
      <c r="F173" s="11" t="s">
        <v>118</v>
      </c>
      <c r="G173" s="316">
        <f>($F173=H170)*1</f>
        <v>0</v>
      </c>
      <c r="H173" s="311"/>
      <c r="I173" s="315"/>
      <c r="J173" s="223">
        <f>IF(ISERROR(MIN($J170:J170)),"",MIN($J170:J170))</f>
        <v>73.505978060992064</v>
      </c>
      <c r="K173" s="223">
        <f>IF(ISERROR(MIN($J170:K170)),"",MIN($J170:K170))</f>
        <v>73.505978060992064</v>
      </c>
      <c r="L173" s="223">
        <f>IF(ISERROR(MIN($J170:L170)),"",MIN($J170:L170))</f>
        <v>73.505978060992064</v>
      </c>
      <c r="M173" s="341"/>
      <c r="N173" s="341"/>
      <c r="O173" s="341"/>
      <c r="P173" s="341"/>
      <c r="Q173" s="341"/>
      <c r="R173" s="341"/>
      <c r="S173" s="341"/>
      <c r="T173" s="341"/>
      <c r="U173" s="225"/>
      <c r="V173" s="220">
        <f t="shared" si="204"/>
        <v>0</v>
      </c>
      <c r="W173" s="220">
        <f t="shared" si="205"/>
        <v>-1</v>
      </c>
      <c r="X173" s="220">
        <f t="shared" si="206"/>
        <v>0</v>
      </c>
      <c r="Y173" s="126"/>
    </row>
    <row r="174" spans="1:25" s="13" customFormat="1" ht="12" customHeight="1" outlineLevel="3" x14ac:dyDescent="0.25">
      <c r="A174" s="850"/>
      <c r="B174" s="56"/>
      <c r="C174" s="43"/>
      <c r="F174" s="11" t="s">
        <v>117</v>
      </c>
      <c r="G174" s="317">
        <f>($F174=H170)*1</f>
        <v>0</v>
      </c>
      <c r="H174" s="311"/>
      <c r="I174" s="315"/>
      <c r="J174" s="223">
        <f>IF(ISERROR(MAX($J170:J170)),"",MAX($J170:J170))</f>
        <v>73.505978060992064</v>
      </c>
      <c r="K174" s="223">
        <f>IF(ISERROR(MAX($J170:K170)),"",MAX($J170:K170))</f>
        <v>89.22686711349354</v>
      </c>
      <c r="L174" s="223">
        <f>IF(ISERROR(MAX($J170:L170)),"",MAX($J170:L170))</f>
        <v>97.528567030574138</v>
      </c>
      <c r="M174" s="341"/>
      <c r="N174" s="341"/>
      <c r="O174" s="341"/>
      <c r="P174" s="341"/>
      <c r="Q174" s="341"/>
      <c r="R174" s="341"/>
      <c r="S174" s="341"/>
      <c r="T174" s="341"/>
      <c r="U174" s="225"/>
      <c r="V174" s="220">
        <f t="shared" si="204"/>
        <v>0.15187298094692769</v>
      </c>
      <c r="W174" s="220">
        <f t="shared" si="205"/>
        <v>-1</v>
      </c>
      <c r="X174" s="220">
        <f t="shared" si="206"/>
        <v>0</v>
      </c>
      <c r="Y174" s="126"/>
    </row>
    <row r="175" spans="1:25" ht="12" customHeight="1" outlineLevel="2" x14ac:dyDescent="0.25">
      <c r="A175" s="845"/>
      <c r="B175" s="25"/>
      <c r="E175" s="10" t="s">
        <v>91</v>
      </c>
      <c r="G175" s="215" t="s">
        <v>16</v>
      </c>
      <c r="H175" s="418">
        <v>0</v>
      </c>
      <c r="I175" s="318"/>
      <c r="J175" s="117" t="str">
        <f t="shared" ref="J175" si="213">IF(J$4="Estimate",SUMPRODUCT(I171:I174,$G171:$G174),IF(J$4="Forecast",I175,""))</f>
        <v/>
      </c>
      <c r="K175" s="117" t="str">
        <f t="shared" ref="K175" si="214">IF(K$4="Estimate",SUMPRODUCT(J171:J174,$G171:$G174),IF(K$4="Forecast",J175,""))</f>
        <v/>
      </c>
      <c r="L175" s="117" t="str">
        <f t="shared" ref="L175" si="215">IF(L$4="Estimate",SUMPRODUCT(K171:K174,$G171:$G174),IF(L$4="Forecast",K175,""))</f>
        <v/>
      </c>
      <c r="M175" s="117">
        <f>SUMPRODUCT(L171:L174,$G171:$G174)</f>
        <v>97.528567030574138</v>
      </c>
      <c r="N175" s="117">
        <f t="shared" ref="N175" si="216">IF(N$4="Estimate",SUMPRODUCT(M171:M174,$G171:$G174),IF(N$4="Forecast",M175,""))</f>
        <v>97.528567030574138</v>
      </c>
      <c r="O175" s="117">
        <f t="shared" ref="O175" si="217">IF(O$4="Estimate",SUMPRODUCT(N171:N174,$G171:$G174),IF(O$4="Forecast",N175,""))</f>
        <v>97.528567030574138</v>
      </c>
      <c r="P175" s="117">
        <f t="shared" ref="P175" si="218">IF(P$4="Estimate",SUMPRODUCT(O171:O174,$G171:$G174),IF(P$4="Forecast",O175,""))</f>
        <v>97.528567030574138</v>
      </c>
      <c r="Q175" s="117">
        <f t="shared" ref="Q175" si="219">IF(Q$4="Estimate",SUMPRODUCT(P171:P174,$G171:$G174),IF(Q$4="Forecast",P175,""))</f>
        <v>97.528567030574138</v>
      </c>
      <c r="R175" s="117">
        <f t="shared" ref="R175" si="220">IF(R$4="Estimate",SUMPRODUCT(Q171:Q174,$G171:$G174),IF(R$4="Forecast",Q175,""))</f>
        <v>97.528567030574138</v>
      </c>
      <c r="S175" s="341"/>
      <c r="T175" s="341"/>
      <c r="U175" s="118"/>
      <c r="V175" s="220">
        <f t="shared" si="204"/>
        <v>0</v>
      </c>
      <c r="W175" s="220">
        <f t="shared" si="205"/>
        <v>0</v>
      </c>
      <c r="X175" s="220">
        <f t="shared" si="206"/>
        <v>0</v>
      </c>
      <c r="Y175" s="122"/>
    </row>
    <row r="176" spans="1:25" ht="12" customHeight="1" outlineLevel="2" x14ac:dyDescent="0.25">
      <c r="A176" s="845"/>
      <c r="B176" s="25"/>
      <c r="D176" s="9" t="s">
        <v>90</v>
      </c>
      <c r="G176" s="214" t="s">
        <v>16</v>
      </c>
      <c r="H176" s="311"/>
      <c r="I176" s="214"/>
      <c r="J176" s="319">
        <f>SUM(J170,J175)</f>
        <v>73.505978060992064</v>
      </c>
      <c r="K176" s="319">
        <f t="shared" ref="K176" si="221">SUM(K170,K175)</f>
        <v>89.22686711349354</v>
      </c>
      <c r="L176" s="319">
        <f t="shared" ref="L176" si="222">SUM(L170,L175)</f>
        <v>97.528567030574138</v>
      </c>
      <c r="M176" s="319">
        <f t="shared" ref="M176" si="223">SUM(M170,M175)</f>
        <v>97.528567030574138</v>
      </c>
      <c r="N176" s="319">
        <f t="shared" ref="N176" si="224">SUM(N170,N175)</f>
        <v>97.528567030574138</v>
      </c>
      <c r="O176" s="319">
        <f t="shared" ref="O176" si="225">SUM(O170,O175)</f>
        <v>97.528567030574138</v>
      </c>
      <c r="P176" s="319">
        <f t="shared" ref="P176:R176" si="226">SUM(P170,P175)</f>
        <v>97.528567030574138</v>
      </c>
      <c r="Q176" s="319">
        <f t="shared" si="226"/>
        <v>97.528567030574138</v>
      </c>
      <c r="R176" s="319">
        <f t="shared" si="226"/>
        <v>97.528567030574138</v>
      </c>
      <c r="S176" s="341"/>
      <c r="T176" s="341"/>
      <c r="U176" s="118"/>
      <c r="V176" s="220">
        <f t="shared" si="204"/>
        <v>0.15187298094692769</v>
      </c>
      <c r="W176" s="220">
        <f t="shared" si="205"/>
        <v>0</v>
      </c>
      <c r="X176" s="220">
        <f t="shared" si="206"/>
        <v>0</v>
      </c>
      <c r="Y176" s="122"/>
    </row>
    <row r="177" spans="1:25" ht="12" customHeight="1" outlineLevel="2" x14ac:dyDescent="0.25">
      <c r="A177" s="845"/>
      <c r="B177" s="25"/>
      <c r="D177" s="10"/>
      <c r="G177" s="215"/>
      <c r="H177" s="311"/>
      <c r="I177" s="215"/>
      <c r="J177" s="108"/>
      <c r="K177" s="108"/>
      <c r="L177" s="108"/>
      <c r="M177" s="108"/>
      <c r="N177" s="108"/>
      <c r="O177" s="108"/>
      <c r="P177" s="108"/>
      <c r="Q177" s="108"/>
      <c r="R177" s="108"/>
      <c r="S177" s="341"/>
      <c r="T177" s="341"/>
      <c r="U177" s="118"/>
      <c r="V177" s="220">
        <f t="shared" si="204"/>
        <v>0</v>
      </c>
      <c r="W177" s="220">
        <f t="shared" si="205"/>
        <v>0</v>
      </c>
      <c r="X177" s="220">
        <f t="shared" si="206"/>
        <v>0</v>
      </c>
      <c r="Y177" s="122"/>
    </row>
    <row r="178" spans="1:25" ht="12" customHeight="1" outlineLevel="1" x14ac:dyDescent="0.25">
      <c r="B178" s="25"/>
      <c r="D178" s="74" t="str">
        <f>D168</f>
        <v>Closing balance advances from clients</v>
      </c>
      <c r="E178" s="50"/>
      <c r="F178" s="50"/>
      <c r="G178" s="320" t="str">
        <f>"EUR "&amp;Multiplier</f>
        <v>EUR thd</v>
      </c>
      <c r="H178" s="321"/>
      <c r="I178" s="322"/>
      <c r="J178" s="227">
        <f t="shared" ref="J178:P178" si="227">J176/(J$2-J$1+1)*J166</f>
        <v>971.91871572966897</v>
      </c>
      <c r="K178" s="227">
        <f t="shared" si="227"/>
        <v>2154.4197888276071</v>
      </c>
      <c r="L178" s="227">
        <f t="shared" si="227"/>
        <v>1936.53413452261</v>
      </c>
      <c r="M178" s="227">
        <f t="shared" si="227"/>
        <v>2918.7616906968419</v>
      </c>
      <c r="N178" s="227">
        <f t="shared" si="227"/>
        <v>3056.3262785780457</v>
      </c>
      <c r="O178" s="227">
        <f t="shared" si="227"/>
        <v>3217.9347639932676</v>
      </c>
      <c r="P178" s="227">
        <f t="shared" si="227"/>
        <v>3378.8315021929316</v>
      </c>
      <c r="Q178" s="227">
        <f t="shared" ref="Q178:R178" si="228">Q176/(Q$2-Q$1+1)*Q166</f>
        <v>3547.7730773025787</v>
      </c>
      <c r="R178" s="227">
        <f t="shared" si="228"/>
        <v>3714.9836936508555</v>
      </c>
      <c r="S178" s="341"/>
      <c r="T178" s="341"/>
      <c r="U178" s="118"/>
      <c r="V178" s="220">
        <f t="shared" si="204"/>
        <v>0.41155435305692345</v>
      </c>
      <c r="W178" s="220">
        <f t="shared" si="205"/>
        <v>0.50720900740351182</v>
      </c>
      <c r="X178" s="220">
        <f t="shared" si="206"/>
        <v>5.0000000000000044E-2</v>
      </c>
      <c r="Y178" s="122"/>
    </row>
    <row r="179" spans="1:25" ht="12" customHeight="1" outlineLevel="1" x14ac:dyDescent="0.25">
      <c r="G179" s="215"/>
      <c r="H179" s="215"/>
      <c r="I179" s="215"/>
      <c r="J179" s="118"/>
      <c r="K179" s="118"/>
      <c r="L179" s="118"/>
      <c r="M179" s="118"/>
      <c r="N179" s="118"/>
      <c r="O179" s="118"/>
      <c r="P179" s="118"/>
      <c r="Q179" s="118"/>
      <c r="R179" s="118"/>
      <c r="S179" s="118"/>
      <c r="T179" s="118"/>
      <c r="U179" s="118"/>
      <c r="V179" s="220">
        <f t="shared" si="204"/>
        <v>0</v>
      </c>
      <c r="W179" s="220">
        <f t="shared" si="205"/>
        <v>0</v>
      </c>
      <c r="X179" s="220">
        <f t="shared" si="206"/>
        <v>0</v>
      </c>
    </row>
    <row r="180" spans="1:25" ht="12" customHeight="1" outlineLevel="1" x14ac:dyDescent="0.25">
      <c r="A180" s="845"/>
      <c r="B180" s="25">
        <f ca="1">MAX($A$1:B179)+0.1</f>
        <v>2.2000000000000002</v>
      </c>
      <c r="C180" s="9" t="str">
        <f>'1.3.Historical BS'!E61</f>
        <v>Trade payables</v>
      </c>
      <c r="D180" s="10"/>
      <c r="G180" s="215"/>
      <c r="H180" s="311"/>
      <c r="I180" s="215"/>
      <c r="J180" s="323"/>
      <c r="K180" s="118"/>
      <c r="L180" s="118"/>
      <c r="M180" s="118"/>
      <c r="N180" s="118"/>
      <c r="O180" s="118"/>
      <c r="P180" s="118"/>
      <c r="Q180" s="118"/>
      <c r="R180" s="118"/>
      <c r="S180" s="118"/>
      <c r="T180" s="118"/>
      <c r="U180" s="118"/>
      <c r="V180" s="220">
        <f t="shared" si="204"/>
        <v>0</v>
      </c>
      <c r="W180" s="220">
        <f t="shared" si="205"/>
        <v>0</v>
      </c>
      <c r="X180" s="220">
        <f t="shared" si="206"/>
        <v>0</v>
      </c>
      <c r="Y180" s="122"/>
    </row>
    <row r="181" spans="1:25" ht="12" customHeight="1" outlineLevel="2" x14ac:dyDescent="0.25">
      <c r="A181" s="845"/>
      <c r="B181" s="25"/>
      <c r="E181" s="10" t="str">
        <f>'0.2.Parameters'!$F$147</f>
        <v>Salaries, wages and related costs</v>
      </c>
      <c r="G181" s="291" t="str">
        <f t="shared" ref="G181:G183" si="229">"EUR "&amp;Multiplier</f>
        <v>EUR thd</v>
      </c>
      <c r="H181" s="416">
        <f>'0.2.Parameters'!H152</f>
        <v>0</v>
      </c>
      <c r="I181" s="215"/>
      <c r="J181" s="107">
        <f>'3.1. Income Statement'!J$19</f>
        <v>163.79968602476174</v>
      </c>
      <c r="K181" s="107">
        <f>'3.1. Income Statement'!K$19</f>
        <v>204.84446487598782</v>
      </c>
      <c r="L181" s="107">
        <f>'3.1. Income Statement'!L$19</f>
        <v>232.32738798753627</v>
      </c>
      <c r="M181" s="107">
        <f>'3.1. Income Statement'!M$19</f>
        <v>249.53682413476119</v>
      </c>
      <c r="N181" s="107">
        <f>'3.1. Income Statement'!N$19</f>
        <v>280.08357329608538</v>
      </c>
      <c r="O181" s="107">
        <f>'3.1. Income Statement'!O$19</f>
        <v>294.0877519608897</v>
      </c>
      <c r="P181" s="107">
        <f>'3.1. Income Statement'!P$19</f>
        <v>308.7921395589342</v>
      </c>
      <c r="Q181" s="107">
        <f>'3.1. Income Statement'!Q$19</f>
        <v>324.23174653688091</v>
      </c>
      <c r="R181" s="107">
        <f>'3.1. Income Statement'!R$19</f>
        <v>340.44333386372494</v>
      </c>
      <c r="S181" s="341"/>
      <c r="T181" s="341"/>
      <c r="U181" s="118"/>
      <c r="V181" s="220">
        <f t="shared" si="204"/>
        <v>0.19095039391712287</v>
      </c>
      <c r="W181" s="220">
        <f t="shared" si="205"/>
        <v>7.4074074074074181E-2</v>
      </c>
      <c r="X181" s="220">
        <f t="shared" si="206"/>
        <v>7.3603365849039593E-2</v>
      </c>
      <c r="Y181" s="122"/>
    </row>
    <row r="182" spans="1:25" ht="12" customHeight="1" outlineLevel="2" x14ac:dyDescent="0.25">
      <c r="A182" s="845"/>
      <c r="B182" s="25"/>
      <c r="D182" s="12"/>
      <c r="E182" s="10" t="str">
        <f>'0.2.Parameters'!$F$148</f>
        <v>Other operating expenses</v>
      </c>
      <c r="F182" s="12"/>
      <c r="G182" s="291" t="str">
        <f t="shared" si="229"/>
        <v>EUR thd</v>
      </c>
      <c r="H182" s="416">
        <f>'0.2.Parameters'!H153</f>
        <v>1</v>
      </c>
      <c r="I182" s="215"/>
      <c r="J182" s="107">
        <f>'3.1. Income Statement'!J$23</f>
        <v>4839.3648971230068</v>
      </c>
      <c r="K182" s="107">
        <f>'3.1. Income Statement'!K$23</f>
        <v>8813.0766927168843</v>
      </c>
      <c r="L182" s="107">
        <f>'3.1. Income Statement'!L$23</f>
        <v>7247.4658515096162</v>
      </c>
      <c r="M182" s="107">
        <f>'3.1. Income Statement'!M$23</f>
        <v>10923.445812244656</v>
      </c>
      <c r="N182" s="107">
        <f>'3.1. Income Statement'!N$23</f>
        <v>11469.61810285689</v>
      </c>
      <c r="O182" s="107">
        <f>'3.1. Income Statement'!O$23</f>
        <v>12043.099007999732</v>
      </c>
      <c r="P182" s="107">
        <f>'3.1. Income Statement'!P$23</f>
        <v>12645.25395839972</v>
      </c>
      <c r="Q182" s="107">
        <f>'3.1. Income Statement'!Q$23</f>
        <v>13277.516656319709</v>
      </c>
      <c r="R182" s="107">
        <f>'3.1. Income Statement'!R$23</f>
        <v>13941.392489135693</v>
      </c>
      <c r="S182" s="341"/>
      <c r="T182" s="341"/>
      <c r="U182" s="118"/>
      <c r="V182" s="220">
        <f t="shared" si="204"/>
        <v>0.22376746780994239</v>
      </c>
      <c r="W182" s="220">
        <f t="shared" si="205"/>
        <v>0.50720900740351182</v>
      </c>
      <c r="X182" s="220">
        <f t="shared" si="206"/>
        <v>5.0000000000000044E-2</v>
      </c>
      <c r="Y182" s="122"/>
    </row>
    <row r="183" spans="1:25" ht="12" customHeight="1" outlineLevel="2" x14ac:dyDescent="0.25">
      <c r="A183" s="845"/>
      <c r="B183" s="25"/>
      <c r="D183" s="9" t="s">
        <v>93</v>
      </c>
      <c r="G183" s="310" t="str">
        <f t="shared" si="229"/>
        <v>EUR thd</v>
      </c>
      <c r="H183" s="417"/>
      <c r="I183" s="214"/>
      <c r="J183" s="216">
        <f>SUMIF($H181:$H182,1,J181:J182)</f>
        <v>4839.3648971230068</v>
      </c>
      <c r="K183" s="216">
        <f t="shared" ref="K183" si="230">SUMIF($H181:$H182,1,K181:K182)</f>
        <v>8813.0766927168843</v>
      </c>
      <c r="L183" s="216">
        <f t="shared" ref="L183" si="231">SUMIF($H181:$H182,1,L181:L182)</f>
        <v>7247.4658515096162</v>
      </c>
      <c r="M183" s="216">
        <f t="shared" ref="M183" si="232">SUMIF($H181:$H182,1,M181:M182)</f>
        <v>10923.445812244656</v>
      </c>
      <c r="N183" s="216">
        <f t="shared" ref="N183" si="233">SUMIF($H181:$H182,1,N181:N182)</f>
        <v>11469.61810285689</v>
      </c>
      <c r="O183" s="216">
        <f t="shared" ref="O183" si="234">SUMIF($H181:$H182,1,O181:O182)</f>
        <v>12043.099007999732</v>
      </c>
      <c r="P183" s="216">
        <f t="shared" ref="P183:R183" si="235">SUMIF($H181:$H182,1,P181:P182)</f>
        <v>12645.25395839972</v>
      </c>
      <c r="Q183" s="216">
        <f t="shared" si="235"/>
        <v>13277.516656319709</v>
      </c>
      <c r="R183" s="216">
        <f t="shared" si="235"/>
        <v>13941.392489135693</v>
      </c>
      <c r="S183" s="341"/>
      <c r="T183" s="341"/>
      <c r="U183" s="118"/>
      <c r="V183" s="220">
        <f t="shared" si="204"/>
        <v>0.22376746780994239</v>
      </c>
      <c r="W183" s="220">
        <f t="shared" si="205"/>
        <v>0.50720900740351182</v>
      </c>
      <c r="X183" s="220">
        <f t="shared" si="206"/>
        <v>5.0000000000000044E-2</v>
      </c>
      <c r="Y183" s="122"/>
    </row>
    <row r="184" spans="1:25" ht="12" customHeight="1" outlineLevel="2" x14ac:dyDescent="0.25">
      <c r="A184" s="845"/>
      <c r="B184" s="25"/>
      <c r="D184" s="10"/>
      <c r="G184" s="215"/>
      <c r="H184" s="417"/>
      <c r="I184" s="215"/>
      <c r="J184" s="108"/>
      <c r="K184" s="108"/>
      <c r="L184" s="108"/>
      <c r="M184" s="108"/>
      <c r="N184" s="108"/>
      <c r="O184" s="108"/>
      <c r="P184" s="108"/>
      <c r="Q184" s="108"/>
      <c r="R184" s="108"/>
      <c r="S184" s="341"/>
      <c r="T184" s="341"/>
      <c r="U184" s="118"/>
      <c r="V184" s="220">
        <f t="shared" si="204"/>
        <v>0</v>
      </c>
      <c r="W184" s="220">
        <f t="shared" si="205"/>
        <v>0</v>
      </c>
      <c r="X184" s="220">
        <f t="shared" si="206"/>
        <v>0</v>
      </c>
      <c r="Y184" s="122"/>
    </row>
    <row r="185" spans="1:25" s="6" customFormat="1" ht="12" customHeight="1" outlineLevel="2" x14ac:dyDescent="0.25">
      <c r="A185" s="845"/>
      <c r="B185" s="25"/>
      <c r="C185" s="9"/>
      <c r="D185" s="9" t="str">
        <f>"Closing balance "&amp;LOWER(C180)</f>
        <v>Closing balance trade payables</v>
      </c>
      <c r="G185" s="310" t="str">
        <f>"EUR "&amp;Multiplier</f>
        <v>EUR thd</v>
      </c>
      <c r="H185" s="417"/>
      <c r="I185" s="214"/>
      <c r="J185" s="312">
        <f>IF((J$4="Actual"),SUMIF('1.3.Historical BS'!$E$60:$E$67,$C180,'1.3.Historical BS'!O$60:O$67),"n/a")</f>
        <v>1342.1991499856865</v>
      </c>
      <c r="K185" s="312">
        <f>IF((K$4="Actual"),SUMIF('1.3.Historical BS'!$E$60:$E$67,$C180,'1.3.Historical BS'!P$60:P$67),"n/a")</f>
        <v>1686.1100907783762</v>
      </c>
      <c r="L185" s="312">
        <f>IF((L$4="Actual"),SUMIF('1.3.Historical BS'!$E$60:$E$67,$C180,'1.3.Historical BS'!Q$60:Q$67),"n/a")</f>
        <v>1102.3144557130299</v>
      </c>
      <c r="M185" s="312" t="str">
        <f>IF((M$4="Actual"),SUMIF('1.3.Historical BS'!$E$60:$E$67,$C180,'1.3.Historical BS'!R$60:R$67),"n/a")</f>
        <v>n/a</v>
      </c>
      <c r="N185" s="312" t="str">
        <f>IF((N$4="Actual"),SUMIF('1.3.Historical BS'!$E$60:$E$67,$C180,'1.3.Historical BS'!S$60:S$67),"n/a")</f>
        <v>n/a</v>
      </c>
      <c r="O185" s="312" t="str">
        <f>IF((O$4="Actual"),SUMIF('1.3.Historical BS'!$E$60:$E$67,$C180,'1.3.Historical BS'!T$60:T$67),"n/a")</f>
        <v>n/a</v>
      </c>
      <c r="P185" s="312" t="str">
        <f>IF((P$4="Actual"),SUMIF('1.3.Historical BS'!$E$60:$E$67,$C180,'1.3.Historical BS'!U$60:U$67),"n/a")</f>
        <v>n/a</v>
      </c>
      <c r="Q185" s="312" t="str">
        <f>IF((Q$4="Actual"),SUMIF('1.3.Historical BS'!$E$60:$E$67,$C180,'1.3.Historical BS'!V$60:V$67),"n/a")</f>
        <v>n/a</v>
      </c>
      <c r="R185" s="312" t="str">
        <f>IF((R$4="Actual"),SUMIF('1.3.Historical BS'!$E$60:$E$67,$C180,'1.3.Historical BS'!W$60:W$67),"n/a")</f>
        <v>n/a</v>
      </c>
      <c r="S185" s="341"/>
      <c r="T185" s="341"/>
      <c r="U185" s="218"/>
      <c r="V185" s="220">
        <f t="shared" si="204"/>
        <v>-9.3757820803171743E-2</v>
      </c>
      <c r="W185" s="220">
        <f t="shared" si="205"/>
        <v>0</v>
      </c>
      <c r="X185" s="220">
        <f t="shared" si="206"/>
        <v>0</v>
      </c>
      <c r="Y185" s="125"/>
    </row>
    <row r="186" spans="1:25" ht="12" customHeight="1" outlineLevel="2" x14ac:dyDescent="0.25">
      <c r="A186" s="845"/>
      <c r="B186" s="25"/>
      <c r="D186" s="10"/>
      <c r="G186" s="215"/>
      <c r="H186" s="417"/>
      <c r="I186" s="215"/>
      <c r="J186" s="108"/>
      <c r="K186" s="108"/>
      <c r="L186" s="108"/>
      <c r="M186" s="108"/>
      <c r="N186" s="108"/>
      <c r="O186" s="108"/>
      <c r="P186" s="108"/>
      <c r="Q186" s="108"/>
      <c r="R186" s="108"/>
      <c r="S186" s="341"/>
      <c r="T186" s="341"/>
      <c r="U186" s="118"/>
      <c r="V186" s="220">
        <f t="shared" si="204"/>
        <v>0</v>
      </c>
      <c r="W186" s="220">
        <f t="shared" si="205"/>
        <v>0</v>
      </c>
      <c r="X186" s="220">
        <f t="shared" si="206"/>
        <v>0</v>
      </c>
      <c r="Y186" s="122"/>
    </row>
    <row r="187" spans="1:25" s="6" customFormat="1" ht="12" customHeight="1" outlineLevel="2" x14ac:dyDescent="0.25">
      <c r="A187" s="845"/>
      <c r="B187" s="25"/>
      <c r="C187" s="9"/>
      <c r="D187" s="9" t="s">
        <v>92</v>
      </c>
      <c r="G187" s="214" t="s">
        <v>16</v>
      </c>
      <c r="H187" s="416" t="str">
        <f>'0.2.Parameters'!H154</f>
        <v>Average</v>
      </c>
      <c r="I187" s="313"/>
      <c r="J187" s="216">
        <f t="shared" ref="J187:P187" si="236">IF(ISERROR(J185/J183*(J$2-J$1+1)),"",J185/J183*(J$2-J$1+1))</f>
        <v>101.51019799866826</v>
      </c>
      <c r="K187" s="216">
        <f t="shared" si="236"/>
        <v>69.831479356431572</v>
      </c>
      <c r="L187" s="216">
        <f t="shared" si="236"/>
        <v>55.515235887789551</v>
      </c>
      <c r="M187" s="430" t="str">
        <f t="shared" ref="M187" si="237">IF(ISERROR(M185/M183*(M$2-M$1+1)),"",M185/M183*(M$2-M$1+1))</f>
        <v/>
      </c>
      <c r="N187" s="430" t="str">
        <f t="shared" si="236"/>
        <v/>
      </c>
      <c r="O187" s="430" t="str">
        <f t="shared" si="236"/>
        <v/>
      </c>
      <c r="P187" s="430" t="str">
        <f t="shared" si="236"/>
        <v/>
      </c>
      <c r="Q187" s="430" t="str">
        <f t="shared" ref="Q187:R187" si="238">IF(ISERROR(Q185/Q183*(Q$2-Q$1+1)),"",Q185/Q183*(Q$2-Q$1+1))</f>
        <v/>
      </c>
      <c r="R187" s="430" t="str">
        <f t="shared" si="238"/>
        <v/>
      </c>
      <c r="S187" s="341"/>
      <c r="T187" s="341"/>
      <c r="U187" s="218"/>
      <c r="V187" s="220">
        <f t="shared" si="204"/>
        <v>-0.26047772928429758</v>
      </c>
      <c r="W187" s="220">
        <f t="shared" si="205"/>
        <v>0</v>
      </c>
      <c r="X187" s="220">
        <f t="shared" si="206"/>
        <v>0</v>
      </c>
      <c r="Y187" s="125"/>
    </row>
    <row r="188" spans="1:25" s="13" customFormat="1" ht="12" customHeight="1" outlineLevel="3" x14ac:dyDescent="0.25">
      <c r="A188" s="850"/>
      <c r="B188" s="56"/>
      <c r="C188" s="43"/>
      <c r="F188" s="11" t="s">
        <v>135</v>
      </c>
      <c r="G188" s="314">
        <f>($F188=H187)*1</f>
        <v>0</v>
      </c>
      <c r="H188" s="417"/>
      <c r="I188" s="315"/>
      <c r="J188" s="223">
        <f>J187</f>
        <v>101.51019799866826</v>
      </c>
      <c r="K188" s="223">
        <f>K187</f>
        <v>69.831479356431572</v>
      </c>
      <c r="L188" s="223">
        <f>L187</f>
        <v>55.515235887789551</v>
      </c>
      <c r="M188" s="341"/>
      <c r="N188" s="341"/>
      <c r="O188" s="341"/>
      <c r="P188" s="341"/>
      <c r="Q188" s="341"/>
      <c r="R188" s="341"/>
      <c r="S188" s="341"/>
      <c r="T188" s="341"/>
      <c r="U188" s="225"/>
      <c r="V188" s="220">
        <f t="shared" si="204"/>
        <v>-0.26047772928429758</v>
      </c>
      <c r="W188" s="220">
        <f t="shared" si="205"/>
        <v>-1</v>
      </c>
      <c r="X188" s="220">
        <f t="shared" si="206"/>
        <v>0</v>
      </c>
      <c r="Y188" s="126"/>
    </row>
    <row r="189" spans="1:25" s="13" customFormat="1" ht="12" customHeight="1" outlineLevel="3" x14ac:dyDescent="0.25">
      <c r="A189" s="850"/>
      <c r="B189" s="56"/>
      <c r="C189" s="43"/>
      <c r="F189" s="11" t="s">
        <v>116</v>
      </c>
      <c r="G189" s="316">
        <f>($F189=H187)*1</f>
        <v>1</v>
      </c>
      <c r="H189" s="417"/>
      <c r="I189" s="315"/>
      <c r="J189" s="223">
        <f>IF(ISERROR(AVERAGE($J187:J187)),"",AVERAGE($J187:J187))</f>
        <v>101.51019799866826</v>
      </c>
      <c r="K189" s="223">
        <f>IF(ISERROR(AVERAGE($J187:K187)),"",AVERAGE($J187:K187))</f>
        <v>85.670838677549909</v>
      </c>
      <c r="L189" s="223">
        <f>IF(ISERROR(AVERAGE($J187:L187)),"",AVERAGE($J187:L187))</f>
        <v>75.618971080963121</v>
      </c>
      <c r="M189" s="341"/>
      <c r="N189" s="341"/>
      <c r="O189" s="341"/>
      <c r="P189" s="341"/>
      <c r="Q189" s="341"/>
      <c r="R189" s="341"/>
      <c r="S189" s="341"/>
      <c r="T189" s="341"/>
      <c r="U189" s="225"/>
      <c r="V189" s="220">
        <f t="shared" si="204"/>
        <v>-0.13690113708403517</v>
      </c>
      <c r="W189" s="220">
        <f t="shared" si="205"/>
        <v>-1</v>
      </c>
      <c r="X189" s="220">
        <f t="shared" si="206"/>
        <v>0</v>
      </c>
      <c r="Y189" s="126"/>
    </row>
    <row r="190" spans="1:25" s="13" customFormat="1" ht="12" customHeight="1" outlineLevel="3" x14ac:dyDescent="0.25">
      <c r="A190" s="850"/>
      <c r="B190" s="56"/>
      <c r="C190" s="43"/>
      <c r="F190" s="11" t="s">
        <v>118</v>
      </c>
      <c r="G190" s="316">
        <f>($F190=H187)*1</f>
        <v>0</v>
      </c>
      <c r="H190" s="417"/>
      <c r="I190" s="315"/>
      <c r="J190" s="223">
        <f>IF(ISERROR(MIN($J187:J187)),"",MIN($J187:J187))</f>
        <v>101.51019799866826</v>
      </c>
      <c r="K190" s="223">
        <f>IF(ISERROR(MIN($J187:K187)),"",MIN($J187:K187))</f>
        <v>69.831479356431572</v>
      </c>
      <c r="L190" s="223">
        <f>IF(ISERROR(MIN($J187:L187)),"",MIN($J187:L187))</f>
        <v>55.515235887789551</v>
      </c>
      <c r="M190" s="341"/>
      <c r="N190" s="341"/>
      <c r="O190" s="341"/>
      <c r="P190" s="341"/>
      <c r="Q190" s="341"/>
      <c r="R190" s="341"/>
      <c r="S190" s="341"/>
      <c r="T190" s="341"/>
      <c r="U190" s="225"/>
      <c r="V190" s="220">
        <f t="shared" si="204"/>
        <v>-0.26047772928429758</v>
      </c>
      <c r="W190" s="220">
        <f t="shared" si="205"/>
        <v>-1</v>
      </c>
      <c r="X190" s="220">
        <f t="shared" si="206"/>
        <v>0</v>
      </c>
      <c r="Y190" s="126"/>
    </row>
    <row r="191" spans="1:25" s="13" customFormat="1" ht="12" customHeight="1" outlineLevel="3" x14ac:dyDescent="0.25">
      <c r="A191" s="850"/>
      <c r="B191" s="56"/>
      <c r="C191" s="43"/>
      <c r="F191" s="11" t="s">
        <v>117</v>
      </c>
      <c r="G191" s="317">
        <f>($F191=H187)*1</f>
        <v>0</v>
      </c>
      <c r="H191" s="417"/>
      <c r="I191" s="315"/>
      <c r="J191" s="223">
        <f>IF(ISERROR(MAX($J187:J187)),"",MAX($J187:J187))</f>
        <v>101.51019799866826</v>
      </c>
      <c r="K191" s="223">
        <f>IF(ISERROR(MAX($J187:K187)),"",MAX($J187:K187))</f>
        <v>101.51019799866826</v>
      </c>
      <c r="L191" s="223">
        <f>IF(ISERROR(MAX($J187:L187)),"",MAX($J187:L187))</f>
        <v>101.51019799866826</v>
      </c>
      <c r="M191" s="341"/>
      <c r="N191" s="341"/>
      <c r="O191" s="341"/>
      <c r="P191" s="341"/>
      <c r="Q191" s="341"/>
      <c r="R191" s="341"/>
      <c r="S191" s="341"/>
      <c r="T191" s="341"/>
      <c r="U191" s="225"/>
      <c r="V191" s="220">
        <f t="shared" si="204"/>
        <v>0</v>
      </c>
      <c r="W191" s="220">
        <f t="shared" si="205"/>
        <v>-1</v>
      </c>
      <c r="X191" s="220">
        <f t="shared" si="206"/>
        <v>0</v>
      </c>
      <c r="Y191" s="126"/>
    </row>
    <row r="192" spans="1:25" ht="12" customHeight="1" outlineLevel="2" x14ac:dyDescent="0.25">
      <c r="A192" s="845"/>
      <c r="B192" s="25"/>
      <c r="E192" s="10" t="s">
        <v>91</v>
      </c>
      <c r="G192" s="215" t="s">
        <v>16</v>
      </c>
      <c r="H192" s="418">
        <v>0</v>
      </c>
      <c r="I192" s="318"/>
      <c r="J192" s="117" t="str">
        <f t="shared" ref="J192" si="239">IF(J$4="Estimate",SUMPRODUCT(I188:I191,$G188:$G191),IF(J$4="Forecast",I192,""))</f>
        <v/>
      </c>
      <c r="K192" s="117" t="str">
        <f t="shared" ref="K192" si="240">IF(K$4="Estimate",SUMPRODUCT(J188:J191,$G188:$G191),IF(K$4="Forecast",J192,""))</f>
        <v/>
      </c>
      <c r="L192" s="117" t="str">
        <f t="shared" ref="L192" si="241">IF(L$4="Estimate",SUMPRODUCT(K188:K191,$G188:$G191),IF(L$4="Forecast",K192,""))</f>
        <v/>
      </c>
      <c r="M192" s="117">
        <f>SUMPRODUCT(L188:L191,$G188:$G191)</f>
        <v>75.618971080963121</v>
      </c>
      <c r="N192" s="117">
        <f t="shared" ref="N192" si="242">IF(N$4="Estimate",SUMPRODUCT(M188:M191,$G188:$G191),IF(N$4="Forecast",M192,""))</f>
        <v>75.618971080963121</v>
      </c>
      <c r="O192" s="117">
        <f t="shared" ref="O192" si="243">IF(O$4="Estimate",SUMPRODUCT(N188:N191,$G188:$G191),IF(O$4="Forecast",N192,""))</f>
        <v>75.618971080963121</v>
      </c>
      <c r="P192" s="117">
        <f t="shared" ref="P192" si="244">IF(P$4="Estimate",SUMPRODUCT(O188:O191,$G188:$G191),IF(P$4="Forecast",O192,""))</f>
        <v>75.618971080963121</v>
      </c>
      <c r="Q192" s="117">
        <f t="shared" ref="Q192" si="245">IF(Q$4="Estimate",SUMPRODUCT(P188:P191,$G188:$G191),IF(Q$4="Forecast",P192,""))</f>
        <v>75.618971080963121</v>
      </c>
      <c r="R192" s="117">
        <f t="shared" ref="R192" si="246">IF(R$4="Estimate",SUMPRODUCT(Q188:Q191,$G188:$G191),IF(R$4="Forecast",Q192,""))</f>
        <v>75.618971080963121</v>
      </c>
      <c r="S192" s="341"/>
      <c r="T192" s="341"/>
      <c r="U192" s="118"/>
      <c r="V192" s="220">
        <f t="shared" si="204"/>
        <v>0</v>
      </c>
      <c r="W192" s="220">
        <f t="shared" si="205"/>
        <v>0</v>
      </c>
      <c r="X192" s="220">
        <f t="shared" si="206"/>
        <v>0</v>
      </c>
      <c r="Y192" s="122"/>
    </row>
    <row r="193" spans="1:25" ht="12" customHeight="1" outlineLevel="2" x14ac:dyDescent="0.25">
      <c r="A193" s="845"/>
      <c r="B193" s="25"/>
      <c r="D193" s="9" t="s">
        <v>90</v>
      </c>
      <c r="G193" s="214" t="s">
        <v>16</v>
      </c>
      <c r="H193" s="311"/>
      <c r="I193" s="214"/>
      <c r="J193" s="319">
        <f>SUM(J187,J192)</f>
        <v>101.51019799866826</v>
      </c>
      <c r="K193" s="319">
        <f t="shared" ref="K193" si="247">SUM(K187,K192)</f>
        <v>69.831479356431572</v>
      </c>
      <c r="L193" s="319">
        <f t="shared" ref="L193" si="248">SUM(L187,L192)</f>
        <v>55.515235887789551</v>
      </c>
      <c r="M193" s="319">
        <f t="shared" ref="M193" si="249">SUM(M187,M192)</f>
        <v>75.618971080963121</v>
      </c>
      <c r="N193" s="319">
        <f t="shared" ref="N193" si="250">SUM(N187,N192)</f>
        <v>75.618971080963121</v>
      </c>
      <c r="O193" s="319">
        <f t="shared" ref="O193" si="251">SUM(O187,O192)</f>
        <v>75.618971080963121</v>
      </c>
      <c r="P193" s="319">
        <f t="shared" ref="P193:R193" si="252">SUM(P187,P192)</f>
        <v>75.618971080963121</v>
      </c>
      <c r="Q193" s="319">
        <f t="shared" si="252"/>
        <v>75.618971080963121</v>
      </c>
      <c r="R193" s="319">
        <f t="shared" si="252"/>
        <v>75.618971080963121</v>
      </c>
      <c r="S193" s="341"/>
      <c r="T193" s="341"/>
      <c r="U193" s="118"/>
      <c r="V193" s="220">
        <f t="shared" si="204"/>
        <v>-0.26047772928429758</v>
      </c>
      <c r="W193" s="220">
        <f t="shared" si="205"/>
        <v>0.36213005081719096</v>
      </c>
      <c r="X193" s="220">
        <f t="shared" si="206"/>
        <v>0</v>
      </c>
      <c r="Y193" s="122"/>
    </row>
    <row r="194" spans="1:25" ht="12" customHeight="1" outlineLevel="2" x14ac:dyDescent="0.25">
      <c r="A194" s="845"/>
      <c r="B194" s="25"/>
      <c r="D194" s="10"/>
      <c r="G194" s="215"/>
      <c r="H194" s="311"/>
      <c r="I194" s="215"/>
      <c r="J194" s="108"/>
      <c r="K194" s="108"/>
      <c r="L194" s="108"/>
      <c r="M194" s="108"/>
      <c r="N194" s="108"/>
      <c r="O194" s="108"/>
      <c r="P194" s="108"/>
      <c r="Q194" s="108"/>
      <c r="R194" s="108"/>
      <c r="S194" s="341"/>
      <c r="T194" s="341"/>
      <c r="U194" s="118"/>
      <c r="V194" s="220">
        <f t="shared" si="204"/>
        <v>0</v>
      </c>
      <c r="W194" s="220">
        <f t="shared" si="205"/>
        <v>0</v>
      </c>
      <c r="X194" s="220">
        <f t="shared" si="206"/>
        <v>0</v>
      </c>
      <c r="Y194" s="122"/>
    </row>
    <row r="195" spans="1:25" ht="12" customHeight="1" outlineLevel="1" x14ac:dyDescent="0.25">
      <c r="A195" s="845"/>
      <c r="B195" s="25"/>
      <c r="D195" s="74" t="str">
        <f>D185</f>
        <v>Closing balance trade payables</v>
      </c>
      <c r="E195" s="50"/>
      <c r="F195" s="50"/>
      <c r="G195" s="320" t="str">
        <f>"EUR "&amp;Multiplier</f>
        <v>EUR thd</v>
      </c>
      <c r="H195" s="321"/>
      <c r="I195" s="322"/>
      <c r="J195" s="227">
        <f t="shared" ref="J195:P195" si="253">J193/(J$2-J$1+1)*J183</f>
        <v>1342.1991499856865</v>
      </c>
      <c r="K195" s="227">
        <f t="shared" si="253"/>
        <v>1686.1100907783762</v>
      </c>
      <c r="L195" s="227">
        <f t="shared" si="253"/>
        <v>1102.3144557130299</v>
      </c>
      <c r="M195" s="227">
        <f t="shared" si="253"/>
        <v>2263.0677615906752</v>
      </c>
      <c r="N195" s="227">
        <f t="shared" si="253"/>
        <v>2369.7287421574488</v>
      </c>
      <c r="O195" s="227">
        <f t="shared" si="253"/>
        <v>2495.0322071537189</v>
      </c>
      <c r="P195" s="227">
        <f t="shared" si="253"/>
        <v>2619.7838175114052</v>
      </c>
      <c r="Q195" s="227">
        <f t="shared" ref="Q195:R195" si="254">Q193/(Q$2-Q$1+1)*Q183</f>
        <v>2750.773008386976</v>
      </c>
      <c r="R195" s="227">
        <f t="shared" si="254"/>
        <v>2880.4200968970172</v>
      </c>
      <c r="S195" s="341"/>
      <c r="T195" s="341"/>
      <c r="U195" s="118"/>
      <c r="V195" s="220">
        <f t="shared" si="204"/>
        <v>-9.3757820803171743E-2</v>
      </c>
      <c r="W195" s="220">
        <f t="shared" si="205"/>
        <v>1.0530146818466735</v>
      </c>
      <c r="X195" s="220">
        <f t="shared" si="206"/>
        <v>5.0000000000000044E-2</v>
      </c>
      <c r="Y195" s="122"/>
    </row>
    <row r="196" spans="1:25" ht="12" customHeight="1" outlineLevel="1" x14ac:dyDescent="0.25">
      <c r="G196" s="215"/>
      <c r="H196" s="215"/>
      <c r="I196" s="215"/>
      <c r="J196" s="118"/>
      <c r="K196" s="118"/>
      <c r="L196" s="118"/>
      <c r="M196" s="118"/>
      <c r="N196" s="118"/>
      <c r="O196" s="118"/>
      <c r="P196" s="118"/>
      <c r="Q196" s="118"/>
      <c r="R196" s="118"/>
      <c r="S196" s="118"/>
      <c r="T196" s="118"/>
      <c r="U196" s="118"/>
      <c r="V196" s="220">
        <f t="shared" si="204"/>
        <v>0</v>
      </c>
      <c r="W196" s="220">
        <f t="shared" si="205"/>
        <v>0</v>
      </c>
      <c r="X196" s="220">
        <f t="shared" si="206"/>
        <v>0</v>
      </c>
    </row>
    <row r="197" spans="1:25" ht="12" customHeight="1" outlineLevel="1" x14ac:dyDescent="0.25">
      <c r="A197" s="845"/>
      <c r="B197" s="25">
        <f ca="1">MAX($A$1:B196)+0.1</f>
        <v>2.3000000000000003</v>
      </c>
      <c r="C197" s="9" t="str">
        <f>'1.3.Historical BS'!E62</f>
        <v>Suppliers of non-current assets</v>
      </c>
      <c r="D197" s="10"/>
      <c r="G197" s="215"/>
      <c r="H197" s="311"/>
      <c r="I197" s="215"/>
      <c r="J197" s="323"/>
      <c r="K197" s="118"/>
      <c r="L197" s="118"/>
      <c r="M197" s="118"/>
      <c r="N197" s="118"/>
      <c r="O197" s="118"/>
      <c r="P197" s="118"/>
      <c r="Q197" s="118"/>
      <c r="R197" s="118"/>
      <c r="S197" s="118"/>
      <c r="T197" s="118"/>
      <c r="U197" s="118"/>
      <c r="V197" s="220">
        <f t="shared" si="204"/>
        <v>0</v>
      </c>
      <c r="W197" s="220">
        <f t="shared" si="205"/>
        <v>0</v>
      </c>
      <c r="X197" s="220">
        <f t="shared" si="206"/>
        <v>0</v>
      </c>
      <c r="Y197" s="122"/>
    </row>
    <row r="198" spans="1:25" ht="12" customHeight="1" outlineLevel="2" x14ac:dyDescent="0.25">
      <c r="A198" s="845"/>
      <c r="B198" s="25"/>
      <c r="E198" s="10" t="str">
        <f>'0.2.Parameters'!$F$147</f>
        <v>Salaries, wages and related costs</v>
      </c>
      <c r="G198" s="291" t="str">
        <f t="shared" ref="G198:G200" si="255">"EUR "&amp;Multiplier</f>
        <v>EUR thd</v>
      </c>
      <c r="H198" s="416">
        <f>'0.2.Parameters'!H157</f>
        <v>0</v>
      </c>
      <c r="I198" s="215"/>
      <c r="J198" s="107">
        <f>'3.1. Income Statement'!J$19</f>
        <v>163.79968602476174</v>
      </c>
      <c r="K198" s="107">
        <f>'3.1. Income Statement'!K$19</f>
        <v>204.84446487598782</v>
      </c>
      <c r="L198" s="107">
        <f>'3.1. Income Statement'!L$19</f>
        <v>232.32738798753627</v>
      </c>
      <c r="M198" s="107">
        <f>'3.1. Income Statement'!M$19</f>
        <v>249.53682413476119</v>
      </c>
      <c r="N198" s="107">
        <f>'3.1. Income Statement'!N$19</f>
        <v>280.08357329608538</v>
      </c>
      <c r="O198" s="107">
        <f>'3.1. Income Statement'!O$19</f>
        <v>294.0877519608897</v>
      </c>
      <c r="P198" s="107">
        <f>'3.1. Income Statement'!P$19</f>
        <v>308.7921395589342</v>
      </c>
      <c r="Q198" s="107">
        <f>'3.1. Income Statement'!Q$19</f>
        <v>324.23174653688091</v>
      </c>
      <c r="R198" s="107">
        <f>'3.1. Income Statement'!R$19</f>
        <v>340.44333386372494</v>
      </c>
      <c r="S198" s="341"/>
      <c r="T198" s="341"/>
      <c r="U198" s="118"/>
      <c r="V198" s="220">
        <f t="shared" si="204"/>
        <v>0.19095039391712287</v>
      </c>
      <c r="W198" s="220">
        <f t="shared" si="205"/>
        <v>7.4074074074074181E-2</v>
      </c>
      <c r="X198" s="220">
        <f t="shared" si="206"/>
        <v>7.3603365849039593E-2</v>
      </c>
      <c r="Y198" s="122"/>
    </row>
    <row r="199" spans="1:25" ht="12" customHeight="1" outlineLevel="2" x14ac:dyDescent="0.25">
      <c r="A199" s="845"/>
      <c r="B199" s="25"/>
      <c r="D199" s="12"/>
      <c r="E199" s="10" t="str">
        <f>'0.2.Parameters'!$F$148</f>
        <v>Other operating expenses</v>
      </c>
      <c r="F199" s="12"/>
      <c r="G199" s="291" t="str">
        <f t="shared" si="255"/>
        <v>EUR thd</v>
      </c>
      <c r="H199" s="416">
        <f>'0.2.Parameters'!H158</f>
        <v>1</v>
      </c>
      <c r="I199" s="215"/>
      <c r="J199" s="107">
        <f>'3.1. Income Statement'!J$23</f>
        <v>4839.3648971230068</v>
      </c>
      <c r="K199" s="107">
        <f>'3.1. Income Statement'!K$23</f>
        <v>8813.0766927168843</v>
      </c>
      <c r="L199" s="107">
        <f>'3.1. Income Statement'!L$23</f>
        <v>7247.4658515096162</v>
      </c>
      <c r="M199" s="107">
        <f>'3.1. Income Statement'!M$23</f>
        <v>10923.445812244656</v>
      </c>
      <c r="N199" s="107">
        <f>'3.1. Income Statement'!N$23</f>
        <v>11469.61810285689</v>
      </c>
      <c r="O199" s="107">
        <f>'3.1. Income Statement'!O$23</f>
        <v>12043.099007999732</v>
      </c>
      <c r="P199" s="107">
        <f>'3.1. Income Statement'!P$23</f>
        <v>12645.25395839972</v>
      </c>
      <c r="Q199" s="107">
        <f>'3.1. Income Statement'!Q$23</f>
        <v>13277.516656319709</v>
      </c>
      <c r="R199" s="107">
        <f>'3.1. Income Statement'!R$23</f>
        <v>13941.392489135693</v>
      </c>
      <c r="S199" s="341"/>
      <c r="T199" s="341"/>
      <c r="U199" s="118"/>
      <c r="V199" s="220">
        <f t="shared" si="204"/>
        <v>0.22376746780994239</v>
      </c>
      <c r="W199" s="220">
        <f t="shared" si="205"/>
        <v>0.50720900740351182</v>
      </c>
      <c r="X199" s="220">
        <f t="shared" si="206"/>
        <v>5.0000000000000044E-2</v>
      </c>
      <c r="Y199" s="122"/>
    </row>
    <row r="200" spans="1:25" ht="12" customHeight="1" outlineLevel="2" x14ac:dyDescent="0.25">
      <c r="A200" s="845"/>
      <c r="B200" s="25"/>
      <c r="D200" s="9" t="s">
        <v>93</v>
      </c>
      <c r="G200" s="310" t="str">
        <f t="shared" si="255"/>
        <v>EUR thd</v>
      </c>
      <c r="H200" s="417"/>
      <c r="I200" s="214"/>
      <c r="J200" s="216">
        <f>SUMIF($H198:$H199,1,J198:J199)</f>
        <v>4839.3648971230068</v>
      </c>
      <c r="K200" s="216">
        <f t="shared" ref="K200" si="256">SUMIF($H198:$H199,1,K198:K199)</f>
        <v>8813.0766927168843</v>
      </c>
      <c r="L200" s="216">
        <f t="shared" ref="L200" si="257">SUMIF($H198:$H199,1,L198:L199)</f>
        <v>7247.4658515096162</v>
      </c>
      <c r="M200" s="216">
        <f t="shared" ref="M200" si="258">SUMIF($H198:$H199,1,M198:M199)</f>
        <v>10923.445812244656</v>
      </c>
      <c r="N200" s="216">
        <f t="shared" ref="N200" si="259">SUMIF($H198:$H199,1,N198:N199)</f>
        <v>11469.61810285689</v>
      </c>
      <c r="O200" s="216">
        <f t="shared" ref="O200" si="260">SUMIF($H198:$H199,1,O198:O199)</f>
        <v>12043.099007999732</v>
      </c>
      <c r="P200" s="216">
        <f t="shared" ref="P200:R200" si="261">SUMIF($H198:$H199,1,P198:P199)</f>
        <v>12645.25395839972</v>
      </c>
      <c r="Q200" s="216">
        <f t="shared" si="261"/>
        <v>13277.516656319709</v>
      </c>
      <c r="R200" s="216">
        <f t="shared" si="261"/>
        <v>13941.392489135693</v>
      </c>
      <c r="S200" s="341"/>
      <c r="T200" s="341"/>
      <c r="U200" s="118"/>
      <c r="V200" s="220">
        <f t="shared" si="204"/>
        <v>0.22376746780994239</v>
      </c>
      <c r="W200" s="220">
        <f t="shared" si="205"/>
        <v>0.50720900740351182</v>
      </c>
      <c r="X200" s="220">
        <f t="shared" si="206"/>
        <v>5.0000000000000044E-2</v>
      </c>
      <c r="Y200" s="122"/>
    </row>
    <row r="201" spans="1:25" ht="12" customHeight="1" outlineLevel="2" x14ac:dyDescent="0.25">
      <c r="A201" s="845"/>
      <c r="B201" s="25"/>
      <c r="D201" s="10"/>
      <c r="G201" s="215"/>
      <c r="H201" s="417"/>
      <c r="I201" s="215"/>
      <c r="J201" s="108"/>
      <c r="K201" s="108"/>
      <c r="L201" s="108"/>
      <c r="M201" s="108"/>
      <c r="N201" s="108"/>
      <c r="O201" s="108"/>
      <c r="P201" s="108"/>
      <c r="Q201" s="108"/>
      <c r="R201" s="108"/>
      <c r="S201" s="341"/>
      <c r="T201" s="341"/>
      <c r="U201" s="118"/>
      <c r="V201" s="220">
        <f t="shared" si="204"/>
        <v>0</v>
      </c>
      <c r="W201" s="220">
        <f t="shared" si="205"/>
        <v>0</v>
      </c>
      <c r="X201" s="220">
        <f t="shared" si="206"/>
        <v>0</v>
      </c>
      <c r="Y201" s="122"/>
    </row>
    <row r="202" spans="1:25" s="6" customFormat="1" ht="12" customHeight="1" outlineLevel="2" x14ac:dyDescent="0.25">
      <c r="A202" s="845"/>
      <c r="B202" s="25"/>
      <c r="C202" s="9"/>
      <c r="D202" s="9" t="str">
        <f>"Closing balance "&amp;LOWER(C197)</f>
        <v>Closing balance suppliers of non-current assets</v>
      </c>
      <c r="G202" s="310" t="str">
        <f>"EUR "&amp;Multiplier</f>
        <v>EUR thd</v>
      </c>
      <c r="H202" s="417"/>
      <c r="I202" s="214"/>
      <c r="J202" s="312">
        <f>IF((J$4="Actual"),SUMIF('1.3.Historical BS'!$E$60:$E$67,$C197,'1.3.Historical BS'!O$60:O$67),"n/a")</f>
        <v>0</v>
      </c>
      <c r="K202" s="312">
        <f>IF((K$4="Actual"),SUMIF('1.3.Historical BS'!$E$60:$E$67,$C197,'1.3.Historical BS'!P$60:P$67),"n/a")</f>
        <v>0</v>
      </c>
      <c r="L202" s="312">
        <f>IF((L$4="Actual"),SUMIF('1.3.Historical BS'!$E$60:$E$67,$C197,'1.3.Historical BS'!Q$60:Q$67),"n/a")</f>
        <v>0</v>
      </c>
      <c r="M202" s="312" t="str">
        <f>IF((M$4="Actual"),SUMIF('1.3.Historical BS'!$E$60:$E$67,$C197,'1.3.Historical BS'!R$60:R$67),"n/a")</f>
        <v>n/a</v>
      </c>
      <c r="N202" s="312" t="str">
        <f>IF((N$4="Actual"),SUMIF('1.3.Historical BS'!$E$60:$E$67,$C197,'1.3.Historical BS'!S$60:S$67),"n/a")</f>
        <v>n/a</v>
      </c>
      <c r="O202" s="312" t="str">
        <f>IF((O$4="Actual"),SUMIF('1.3.Historical BS'!$E$60:$E$67,$C197,'1.3.Historical BS'!T$60:T$67),"n/a")</f>
        <v>n/a</v>
      </c>
      <c r="P202" s="312" t="str">
        <f>IF((P$4="Actual"),SUMIF('1.3.Historical BS'!$E$60:$E$67,$C197,'1.3.Historical BS'!U$60:U$67),"n/a")</f>
        <v>n/a</v>
      </c>
      <c r="Q202" s="312" t="str">
        <f>IF((Q$4="Actual"),SUMIF('1.3.Historical BS'!$E$60:$E$67,$C197,'1.3.Historical BS'!V$60:V$67),"n/a")</f>
        <v>n/a</v>
      </c>
      <c r="R202" s="312" t="str">
        <f>IF((R$4="Actual"),SUMIF('1.3.Historical BS'!$E$60:$E$67,$C197,'1.3.Historical BS'!W$60:W$67),"n/a")</f>
        <v>n/a</v>
      </c>
      <c r="S202" s="341"/>
      <c r="T202" s="341"/>
      <c r="U202" s="218"/>
      <c r="V202" s="220">
        <f t="shared" si="204"/>
        <v>0</v>
      </c>
      <c r="W202" s="220">
        <f t="shared" si="205"/>
        <v>0</v>
      </c>
      <c r="X202" s="220">
        <f t="shared" si="206"/>
        <v>0</v>
      </c>
      <c r="Y202" s="125"/>
    </row>
    <row r="203" spans="1:25" ht="12" customHeight="1" outlineLevel="2" x14ac:dyDescent="0.25">
      <c r="A203" s="845"/>
      <c r="B203" s="25"/>
      <c r="D203" s="10"/>
      <c r="G203" s="215"/>
      <c r="H203" s="417"/>
      <c r="I203" s="215"/>
      <c r="J203" s="108"/>
      <c r="K203" s="108"/>
      <c r="L203" s="108"/>
      <c r="M203" s="108"/>
      <c r="N203" s="108"/>
      <c r="O203" s="108"/>
      <c r="P203" s="108"/>
      <c r="Q203" s="108"/>
      <c r="R203" s="108"/>
      <c r="S203" s="341"/>
      <c r="T203" s="341"/>
      <c r="U203" s="118"/>
      <c r="V203" s="220">
        <f t="shared" si="204"/>
        <v>0</v>
      </c>
      <c r="W203" s="220">
        <f t="shared" si="205"/>
        <v>0</v>
      </c>
      <c r="X203" s="220">
        <f t="shared" si="206"/>
        <v>0</v>
      </c>
      <c r="Y203" s="122"/>
    </row>
    <row r="204" spans="1:25" s="6" customFormat="1" ht="12" customHeight="1" outlineLevel="2" x14ac:dyDescent="0.25">
      <c r="A204" s="845"/>
      <c r="B204" s="25"/>
      <c r="C204" s="9"/>
      <c r="D204" s="9" t="s">
        <v>92</v>
      </c>
      <c r="G204" s="214" t="s">
        <v>16</v>
      </c>
      <c r="H204" s="416" t="str">
        <f>'0.2.Parameters'!H159</f>
        <v>Last</v>
      </c>
      <c r="I204" s="313"/>
      <c r="J204" s="216">
        <f t="shared" ref="J204:P204" si="262">IF(ISERROR(J202/J200*(J$2-J$1+1)),"",J202/J200*(J$2-J$1+1))</f>
        <v>0</v>
      </c>
      <c r="K204" s="216">
        <f t="shared" si="262"/>
        <v>0</v>
      </c>
      <c r="L204" s="216">
        <f t="shared" si="262"/>
        <v>0</v>
      </c>
      <c r="M204" s="430" t="str">
        <f t="shared" ref="M204" si="263">IF(ISERROR(M202/M200*(M$2-M$1+1)),"",M202/M200*(M$2-M$1+1))</f>
        <v/>
      </c>
      <c r="N204" s="430" t="str">
        <f t="shared" si="262"/>
        <v/>
      </c>
      <c r="O204" s="430" t="str">
        <f t="shared" si="262"/>
        <v/>
      </c>
      <c r="P204" s="430" t="str">
        <f t="shared" si="262"/>
        <v/>
      </c>
      <c r="Q204" s="430" t="str">
        <f t="shared" ref="Q204:R204" si="264">IF(ISERROR(Q202/Q200*(Q$2-Q$1+1)),"",Q202/Q200*(Q$2-Q$1+1))</f>
        <v/>
      </c>
      <c r="R204" s="430" t="str">
        <f t="shared" si="264"/>
        <v/>
      </c>
      <c r="S204" s="341"/>
      <c r="T204" s="341"/>
      <c r="U204" s="218"/>
      <c r="V204" s="220">
        <f t="shared" si="204"/>
        <v>0</v>
      </c>
      <c r="W204" s="220">
        <f t="shared" si="205"/>
        <v>0</v>
      </c>
      <c r="X204" s="220">
        <f t="shared" si="206"/>
        <v>0</v>
      </c>
      <c r="Y204" s="125"/>
    </row>
    <row r="205" spans="1:25" s="13" customFormat="1" ht="12" customHeight="1" outlineLevel="3" x14ac:dyDescent="0.25">
      <c r="A205" s="850"/>
      <c r="B205" s="56"/>
      <c r="C205" s="43"/>
      <c r="F205" s="11" t="s">
        <v>135</v>
      </c>
      <c r="G205" s="314">
        <f>($F205=H204)*1</f>
        <v>1</v>
      </c>
      <c r="H205" s="417"/>
      <c r="I205" s="315"/>
      <c r="J205" s="223">
        <f>J204</f>
        <v>0</v>
      </c>
      <c r="K205" s="223">
        <f>K204</f>
        <v>0</v>
      </c>
      <c r="L205" s="223">
        <f>L204</f>
        <v>0</v>
      </c>
      <c r="M205" s="341"/>
      <c r="N205" s="341"/>
      <c r="O205" s="341"/>
      <c r="P205" s="341"/>
      <c r="Q205" s="341"/>
      <c r="R205" s="341"/>
      <c r="S205" s="341"/>
      <c r="T205" s="341"/>
      <c r="U205" s="225"/>
      <c r="V205" s="220">
        <f t="shared" si="204"/>
        <v>0</v>
      </c>
      <c r="W205" s="220">
        <f t="shared" si="205"/>
        <v>0</v>
      </c>
      <c r="X205" s="220">
        <f t="shared" si="206"/>
        <v>0</v>
      </c>
      <c r="Y205" s="126"/>
    </row>
    <row r="206" spans="1:25" s="13" customFormat="1" ht="12" customHeight="1" outlineLevel="3" x14ac:dyDescent="0.25">
      <c r="A206" s="850"/>
      <c r="B206" s="56"/>
      <c r="C206" s="43"/>
      <c r="F206" s="11" t="s">
        <v>116</v>
      </c>
      <c r="G206" s="316">
        <f>($F206=H204)*1</f>
        <v>0</v>
      </c>
      <c r="H206" s="417"/>
      <c r="I206" s="315"/>
      <c r="J206" s="223">
        <f>IF(ISERROR(AVERAGE($J204:J204)),"",AVERAGE($J204:J204))</f>
        <v>0</v>
      </c>
      <c r="K206" s="223">
        <f>IF(ISERROR(AVERAGE($J204:K204)),"",AVERAGE($J204:K204))</f>
        <v>0</v>
      </c>
      <c r="L206" s="223">
        <f>IF(ISERROR(AVERAGE($J204:L204)),"",AVERAGE($J204:L204))</f>
        <v>0</v>
      </c>
      <c r="M206" s="341"/>
      <c r="N206" s="341"/>
      <c r="O206" s="341"/>
      <c r="P206" s="341"/>
      <c r="Q206" s="341"/>
      <c r="R206" s="341"/>
      <c r="S206" s="341"/>
      <c r="T206" s="341"/>
      <c r="U206" s="225"/>
      <c r="V206" s="220">
        <f t="shared" si="204"/>
        <v>0</v>
      </c>
      <c r="W206" s="220">
        <f t="shared" si="205"/>
        <v>0</v>
      </c>
      <c r="X206" s="220">
        <f t="shared" si="206"/>
        <v>0</v>
      </c>
      <c r="Y206" s="126"/>
    </row>
    <row r="207" spans="1:25" s="13" customFormat="1" ht="12" customHeight="1" outlineLevel="3" x14ac:dyDescent="0.25">
      <c r="A207" s="850"/>
      <c r="B207" s="56"/>
      <c r="C207" s="43"/>
      <c r="F207" s="11" t="s">
        <v>118</v>
      </c>
      <c r="G207" s="316">
        <f>($F207=H204)*1</f>
        <v>0</v>
      </c>
      <c r="H207" s="417"/>
      <c r="I207" s="315"/>
      <c r="J207" s="223">
        <f>IF(ISERROR(MIN($J204:J204)),"",MIN($J204:J204))</f>
        <v>0</v>
      </c>
      <c r="K207" s="223">
        <f>IF(ISERROR(MIN($J204:K204)),"",MIN($J204:K204))</f>
        <v>0</v>
      </c>
      <c r="L207" s="223">
        <f>IF(ISERROR(MIN($J204:L204)),"",MIN($J204:L204))</f>
        <v>0</v>
      </c>
      <c r="M207" s="341"/>
      <c r="N207" s="341"/>
      <c r="O207" s="341"/>
      <c r="P207" s="341"/>
      <c r="Q207" s="341"/>
      <c r="R207" s="341"/>
      <c r="S207" s="341"/>
      <c r="T207" s="341"/>
      <c r="U207" s="225"/>
      <c r="V207" s="220">
        <f t="shared" si="204"/>
        <v>0</v>
      </c>
      <c r="W207" s="220">
        <f t="shared" si="205"/>
        <v>0</v>
      </c>
      <c r="X207" s="220">
        <f t="shared" si="206"/>
        <v>0</v>
      </c>
      <c r="Y207" s="126"/>
    </row>
    <row r="208" spans="1:25" s="13" customFormat="1" ht="12" customHeight="1" outlineLevel="3" x14ac:dyDescent="0.25">
      <c r="A208" s="850"/>
      <c r="B208" s="56"/>
      <c r="C208" s="43"/>
      <c r="F208" s="11" t="s">
        <v>117</v>
      </c>
      <c r="G208" s="317">
        <f>($F208=H204)*1</f>
        <v>0</v>
      </c>
      <c r="H208" s="417"/>
      <c r="I208" s="315"/>
      <c r="J208" s="223">
        <f>IF(ISERROR(MAX($J204:J204)),"",MAX($J204:J204))</f>
        <v>0</v>
      </c>
      <c r="K208" s="223">
        <f>IF(ISERROR(MAX($J204:K204)),"",MAX($J204:K204))</f>
        <v>0</v>
      </c>
      <c r="L208" s="223">
        <f>IF(ISERROR(MAX($J204:L204)),"",MAX($J204:L204))</f>
        <v>0</v>
      </c>
      <c r="M208" s="341"/>
      <c r="N208" s="341"/>
      <c r="O208" s="341"/>
      <c r="P208" s="341"/>
      <c r="Q208" s="341"/>
      <c r="R208" s="341"/>
      <c r="S208" s="341"/>
      <c r="T208" s="341"/>
      <c r="U208" s="225"/>
      <c r="V208" s="220">
        <f t="shared" si="204"/>
        <v>0</v>
      </c>
      <c r="W208" s="220">
        <f t="shared" si="205"/>
        <v>0</v>
      </c>
      <c r="X208" s="220">
        <f t="shared" si="206"/>
        <v>0</v>
      </c>
      <c r="Y208" s="126"/>
    </row>
    <row r="209" spans="1:25" ht="12" customHeight="1" outlineLevel="2" x14ac:dyDescent="0.25">
      <c r="A209" s="845"/>
      <c r="B209" s="25"/>
      <c r="E209" s="10" t="s">
        <v>91</v>
      </c>
      <c r="G209" s="215" t="s">
        <v>16</v>
      </c>
      <c r="H209" s="418">
        <v>0</v>
      </c>
      <c r="I209" s="318"/>
      <c r="J209" s="117" t="str">
        <f t="shared" ref="J209" si="265">IF(J$4="Estimate",SUMPRODUCT(I205:I208,$G205:$G208),IF(J$4="Forecast",I209,""))</f>
        <v/>
      </c>
      <c r="K209" s="117" t="str">
        <f t="shared" ref="K209" si="266">IF(K$4="Estimate",SUMPRODUCT(J205:J208,$G205:$G208),IF(K$4="Forecast",J209,""))</f>
        <v/>
      </c>
      <c r="L209" s="117" t="str">
        <f t="shared" ref="L209" si="267">IF(L$4="Estimate",SUMPRODUCT(K205:K208,$G205:$G208),IF(L$4="Forecast",K209,""))</f>
        <v/>
      </c>
      <c r="M209" s="117">
        <f>SUMPRODUCT(L205:L208,$G205:$G208)</f>
        <v>0</v>
      </c>
      <c r="N209" s="117">
        <f t="shared" ref="N209" si="268">IF(N$4="Estimate",SUMPRODUCT(M205:M208,$G205:$G208),IF(N$4="Forecast",M209,""))</f>
        <v>0</v>
      </c>
      <c r="O209" s="117">
        <f t="shared" ref="O209" si="269">IF(O$4="Estimate",SUMPRODUCT(N205:N208,$G205:$G208),IF(O$4="Forecast",N209,""))</f>
        <v>0</v>
      </c>
      <c r="P209" s="117">
        <f t="shared" ref="P209" si="270">IF(P$4="Estimate",SUMPRODUCT(O205:O208,$G205:$G208),IF(P$4="Forecast",O209,""))</f>
        <v>0</v>
      </c>
      <c r="Q209" s="117">
        <f t="shared" ref="Q209" si="271">IF(Q$4="Estimate",SUMPRODUCT(P205:P208,$G205:$G208),IF(Q$4="Forecast",P209,""))</f>
        <v>0</v>
      </c>
      <c r="R209" s="117">
        <f t="shared" ref="R209" si="272">IF(R$4="Estimate",SUMPRODUCT(Q205:Q208,$G205:$G208),IF(R$4="Forecast",Q209,""))</f>
        <v>0</v>
      </c>
      <c r="S209" s="341"/>
      <c r="T209" s="341"/>
      <c r="U209" s="118"/>
      <c r="V209" s="220">
        <f t="shared" si="204"/>
        <v>0</v>
      </c>
      <c r="W209" s="220">
        <f t="shared" si="205"/>
        <v>0</v>
      </c>
      <c r="X209" s="220">
        <f t="shared" si="206"/>
        <v>0</v>
      </c>
      <c r="Y209" s="122"/>
    </row>
    <row r="210" spans="1:25" ht="12" customHeight="1" outlineLevel="2" x14ac:dyDescent="0.25">
      <c r="A210" s="845"/>
      <c r="B210" s="25"/>
      <c r="D210" s="9" t="s">
        <v>90</v>
      </c>
      <c r="G210" s="214" t="s">
        <v>16</v>
      </c>
      <c r="H210" s="311"/>
      <c r="I210" s="214"/>
      <c r="J210" s="319">
        <f>SUM(J204,J209)</f>
        <v>0</v>
      </c>
      <c r="K210" s="319">
        <f t="shared" ref="K210" si="273">SUM(K204,K209)</f>
        <v>0</v>
      </c>
      <c r="L210" s="319">
        <f t="shared" ref="L210" si="274">SUM(L204,L209)</f>
        <v>0</v>
      </c>
      <c r="M210" s="319">
        <f t="shared" ref="M210" si="275">SUM(M204,M209)</f>
        <v>0</v>
      </c>
      <c r="N210" s="319">
        <f t="shared" ref="N210" si="276">SUM(N204,N209)</f>
        <v>0</v>
      </c>
      <c r="O210" s="319">
        <f t="shared" ref="O210" si="277">SUM(O204,O209)</f>
        <v>0</v>
      </c>
      <c r="P210" s="319">
        <f t="shared" ref="P210:R210" si="278">SUM(P204,P209)</f>
        <v>0</v>
      </c>
      <c r="Q210" s="319">
        <f t="shared" si="278"/>
        <v>0</v>
      </c>
      <c r="R210" s="319">
        <f t="shared" si="278"/>
        <v>0</v>
      </c>
      <c r="S210" s="341"/>
      <c r="T210" s="341"/>
      <c r="U210" s="118"/>
      <c r="V210" s="220">
        <f t="shared" si="204"/>
        <v>0</v>
      </c>
      <c r="W210" s="220">
        <f t="shared" si="205"/>
        <v>0</v>
      </c>
      <c r="X210" s="220">
        <f t="shared" si="206"/>
        <v>0</v>
      </c>
      <c r="Y210" s="122"/>
    </row>
    <row r="211" spans="1:25" ht="12" customHeight="1" outlineLevel="2" x14ac:dyDescent="0.25">
      <c r="B211" s="25"/>
      <c r="D211" s="10"/>
      <c r="G211" s="215"/>
      <c r="H211" s="311"/>
      <c r="I211" s="215"/>
      <c r="J211" s="108"/>
      <c r="K211" s="108"/>
      <c r="L211" s="108"/>
      <c r="M211" s="108"/>
      <c r="N211" s="108"/>
      <c r="O211" s="108"/>
      <c r="P211" s="108"/>
      <c r="Q211" s="108"/>
      <c r="R211" s="108"/>
      <c r="S211" s="341"/>
      <c r="T211" s="341"/>
      <c r="U211" s="118"/>
      <c r="V211" s="220">
        <f t="shared" si="204"/>
        <v>0</v>
      </c>
      <c r="W211" s="220">
        <f t="shared" si="205"/>
        <v>0</v>
      </c>
      <c r="X211" s="220">
        <f t="shared" si="206"/>
        <v>0</v>
      </c>
      <c r="Y211" s="122"/>
    </row>
    <row r="212" spans="1:25" ht="12" customHeight="1" outlineLevel="1" x14ac:dyDescent="0.25">
      <c r="B212" s="25"/>
      <c r="D212" s="74" t="str">
        <f>D202</f>
        <v>Closing balance suppliers of non-current assets</v>
      </c>
      <c r="E212" s="50"/>
      <c r="F212" s="50"/>
      <c r="G212" s="320" t="str">
        <f>"EUR "&amp;Multiplier</f>
        <v>EUR thd</v>
      </c>
      <c r="H212" s="321"/>
      <c r="I212" s="322"/>
      <c r="J212" s="227">
        <f t="shared" ref="J212:P212" si="279">J210/(J$2-J$1+1)*J200</f>
        <v>0</v>
      </c>
      <c r="K212" s="227">
        <f t="shared" si="279"/>
        <v>0</v>
      </c>
      <c r="L212" s="227">
        <f t="shared" si="279"/>
        <v>0</v>
      </c>
      <c r="M212" s="227">
        <f t="shared" si="279"/>
        <v>0</v>
      </c>
      <c r="N212" s="227">
        <f t="shared" si="279"/>
        <v>0</v>
      </c>
      <c r="O212" s="227">
        <f t="shared" si="279"/>
        <v>0</v>
      </c>
      <c r="P212" s="227">
        <f t="shared" si="279"/>
        <v>0</v>
      </c>
      <c r="Q212" s="227">
        <f t="shared" ref="Q212:R212" si="280">Q210/(Q$2-Q$1+1)*Q200</f>
        <v>0</v>
      </c>
      <c r="R212" s="227">
        <f t="shared" si="280"/>
        <v>0</v>
      </c>
      <c r="S212" s="341"/>
      <c r="T212" s="341"/>
      <c r="U212" s="118"/>
      <c r="V212" s="220">
        <f t="shared" si="204"/>
        <v>0</v>
      </c>
      <c r="W212" s="220">
        <f t="shared" si="205"/>
        <v>0</v>
      </c>
      <c r="X212" s="220">
        <f t="shared" si="206"/>
        <v>0</v>
      </c>
      <c r="Y212" s="122"/>
    </row>
    <row r="213" spans="1:25" ht="12" customHeight="1" outlineLevel="1" x14ac:dyDescent="0.25">
      <c r="G213" s="215"/>
      <c r="H213" s="215"/>
      <c r="I213" s="215"/>
      <c r="J213" s="118"/>
      <c r="K213" s="118"/>
      <c r="L213" s="118"/>
      <c r="M213" s="118"/>
      <c r="N213" s="118"/>
      <c r="O213" s="118"/>
      <c r="P213" s="118"/>
      <c r="Q213" s="118"/>
      <c r="R213" s="118"/>
      <c r="S213" s="118"/>
      <c r="T213" s="118"/>
      <c r="U213" s="118"/>
      <c r="V213" s="220">
        <f t="shared" si="204"/>
        <v>0</v>
      </c>
      <c r="W213" s="220">
        <f t="shared" si="205"/>
        <v>0</v>
      </c>
      <c r="X213" s="220">
        <f t="shared" si="206"/>
        <v>0</v>
      </c>
    </row>
    <row r="214" spans="1:25" ht="12" customHeight="1" outlineLevel="1" x14ac:dyDescent="0.25">
      <c r="A214" s="845"/>
      <c r="B214" s="25">
        <f ca="1">MAX($A$1:B213)+0.1</f>
        <v>2.4000000000000004</v>
      </c>
      <c r="C214" s="9" t="str">
        <f>'1.3.Historical BS'!E63</f>
        <v>Salaries and related payables</v>
      </c>
      <c r="D214" s="10"/>
      <c r="G214" s="215"/>
      <c r="H214" s="311"/>
      <c r="I214" s="215"/>
      <c r="J214" s="323"/>
      <c r="K214" s="118"/>
      <c r="L214" s="118"/>
      <c r="M214" s="118"/>
      <c r="N214" s="118"/>
      <c r="O214" s="118"/>
      <c r="P214" s="118"/>
      <c r="Q214" s="118"/>
      <c r="R214" s="118"/>
      <c r="S214" s="118"/>
      <c r="T214" s="118"/>
      <c r="U214" s="118"/>
      <c r="V214" s="220">
        <f t="shared" si="204"/>
        <v>0</v>
      </c>
      <c r="W214" s="220">
        <f t="shared" si="205"/>
        <v>0</v>
      </c>
      <c r="X214" s="220">
        <f t="shared" si="206"/>
        <v>0</v>
      </c>
      <c r="Y214" s="122"/>
    </row>
    <row r="215" spans="1:25" ht="12" customHeight="1" outlineLevel="2" x14ac:dyDescent="0.25">
      <c r="A215" s="845"/>
      <c r="B215" s="25"/>
      <c r="E215" s="10" t="str">
        <f>'0.2.Parameters'!$F$147</f>
        <v>Salaries, wages and related costs</v>
      </c>
      <c r="G215" s="291" t="str">
        <f t="shared" ref="G215:G217" si="281">"EUR "&amp;Multiplier</f>
        <v>EUR thd</v>
      </c>
      <c r="H215" s="416">
        <f>'0.2.Parameters'!H162</f>
        <v>1</v>
      </c>
      <c r="I215" s="215"/>
      <c r="J215" s="107">
        <f>'3.1. Income Statement'!J$19</f>
        <v>163.79968602476174</v>
      </c>
      <c r="K215" s="107">
        <f>'3.1. Income Statement'!K$19</f>
        <v>204.84446487598782</v>
      </c>
      <c r="L215" s="107">
        <f>'3.1. Income Statement'!L$19</f>
        <v>232.32738798753627</v>
      </c>
      <c r="M215" s="107">
        <f>'3.1. Income Statement'!M$19</f>
        <v>249.53682413476119</v>
      </c>
      <c r="N215" s="107">
        <f>'3.1. Income Statement'!N$19</f>
        <v>280.08357329608538</v>
      </c>
      <c r="O215" s="107">
        <f>'3.1. Income Statement'!O$19</f>
        <v>294.0877519608897</v>
      </c>
      <c r="P215" s="107">
        <f>'3.1. Income Statement'!P$19</f>
        <v>308.7921395589342</v>
      </c>
      <c r="Q215" s="107">
        <f>'3.1. Income Statement'!Q$19</f>
        <v>324.23174653688091</v>
      </c>
      <c r="R215" s="107">
        <f>'3.1. Income Statement'!R$19</f>
        <v>340.44333386372494</v>
      </c>
      <c r="S215" s="341"/>
      <c r="T215" s="341"/>
      <c r="U215" s="118"/>
      <c r="V215" s="220">
        <f t="shared" si="204"/>
        <v>0.19095039391712287</v>
      </c>
      <c r="W215" s="220">
        <f t="shared" si="205"/>
        <v>7.4074074074074181E-2</v>
      </c>
      <c r="X215" s="220">
        <f t="shared" si="206"/>
        <v>7.3603365849039593E-2</v>
      </c>
      <c r="Y215" s="122"/>
    </row>
    <row r="216" spans="1:25" ht="12" customHeight="1" outlineLevel="2" x14ac:dyDescent="0.25">
      <c r="A216" s="845"/>
      <c r="B216" s="25"/>
      <c r="D216" s="12"/>
      <c r="E216" s="10" t="str">
        <f>'0.2.Parameters'!$F$148</f>
        <v>Other operating expenses</v>
      </c>
      <c r="F216" s="12"/>
      <c r="G216" s="291" t="str">
        <f t="shared" si="281"/>
        <v>EUR thd</v>
      </c>
      <c r="H216" s="416">
        <f>'0.2.Parameters'!H163</f>
        <v>0</v>
      </c>
      <c r="I216" s="215"/>
      <c r="J216" s="107">
        <f>'3.1. Income Statement'!J$23</f>
        <v>4839.3648971230068</v>
      </c>
      <c r="K216" s="107">
        <f>'3.1. Income Statement'!K$23</f>
        <v>8813.0766927168843</v>
      </c>
      <c r="L216" s="107">
        <f>'3.1. Income Statement'!L$23</f>
        <v>7247.4658515096162</v>
      </c>
      <c r="M216" s="107">
        <f>'3.1. Income Statement'!M$23</f>
        <v>10923.445812244656</v>
      </c>
      <c r="N216" s="107">
        <f>'3.1. Income Statement'!N$23</f>
        <v>11469.61810285689</v>
      </c>
      <c r="O216" s="107">
        <f>'3.1. Income Statement'!O$23</f>
        <v>12043.099007999732</v>
      </c>
      <c r="P216" s="107">
        <f>'3.1. Income Statement'!P$23</f>
        <v>12645.25395839972</v>
      </c>
      <c r="Q216" s="107">
        <f>'3.1. Income Statement'!Q$23</f>
        <v>13277.516656319709</v>
      </c>
      <c r="R216" s="107">
        <f>'3.1. Income Statement'!R$23</f>
        <v>13941.392489135693</v>
      </c>
      <c r="S216" s="341"/>
      <c r="T216" s="341"/>
      <c r="U216" s="118"/>
      <c r="V216" s="220">
        <f t="shared" si="204"/>
        <v>0.22376746780994239</v>
      </c>
      <c r="W216" s="220">
        <f t="shared" si="205"/>
        <v>0.50720900740351182</v>
      </c>
      <c r="X216" s="220">
        <f t="shared" si="206"/>
        <v>5.0000000000000044E-2</v>
      </c>
      <c r="Y216" s="122"/>
    </row>
    <row r="217" spans="1:25" ht="12" customHeight="1" outlineLevel="2" x14ac:dyDescent="0.25">
      <c r="A217" s="845"/>
      <c r="B217" s="25"/>
      <c r="D217" s="9" t="s">
        <v>93</v>
      </c>
      <c r="G217" s="310" t="str">
        <f t="shared" si="281"/>
        <v>EUR thd</v>
      </c>
      <c r="H217" s="417"/>
      <c r="I217" s="214"/>
      <c r="J217" s="216">
        <f>SUMIF($H215:$H216,1,J215:J216)</f>
        <v>163.79968602476174</v>
      </c>
      <c r="K217" s="216">
        <f t="shared" ref="K217" si="282">SUMIF($H215:$H216,1,K215:K216)</f>
        <v>204.84446487598782</v>
      </c>
      <c r="L217" s="216">
        <f t="shared" ref="L217" si="283">SUMIF($H215:$H216,1,L215:L216)</f>
        <v>232.32738798753627</v>
      </c>
      <c r="M217" s="216">
        <f t="shared" ref="M217" si="284">SUMIF($H215:$H216,1,M215:M216)</f>
        <v>249.53682413476119</v>
      </c>
      <c r="N217" s="216">
        <f t="shared" ref="N217" si="285">SUMIF($H215:$H216,1,N215:N216)</f>
        <v>280.08357329608538</v>
      </c>
      <c r="O217" s="216">
        <f t="shared" ref="O217" si="286">SUMIF($H215:$H216,1,O215:O216)</f>
        <v>294.0877519608897</v>
      </c>
      <c r="P217" s="216">
        <f t="shared" ref="P217:R217" si="287">SUMIF($H215:$H216,1,P215:P216)</f>
        <v>308.7921395589342</v>
      </c>
      <c r="Q217" s="216">
        <f t="shared" si="287"/>
        <v>324.23174653688091</v>
      </c>
      <c r="R217" s="216">
        <f t="shared" si="287"/>
        <v>340.44333386372494</v>
      </c>
      <c r="S217" s="341"/>
      <c r="T217" s="341"/>
      <c r="U217" s="118"/>
      <c r="V217" s="220">
        <f t="shared" si="204"/>
        <v>0.19095039391712287</v>
      </c>
      <c r="W217" s="220">
        <f t="shared" si="205"/>
        <v>7.4074074074074181E-2</v>
      </c>
      <c r="X217" s="220">
        <f t="shared" si="206"/>
        <v>7.3603365849039593E-2</v>
      </c>
      <c r="Y217" s="122"/>
    </row>
    <row r="218" spans="1:25" ht="12" customHeight="1" outlineLevel="2" x14ac:dyDescent="0.25">
      <c r="A218" s="845"/>
      <c r="B218" s="25"/>
      <c r="D218" s="10"/>
      <c r="G218" s="215"/>
      <c r="H218" s="417"/>
      <c r="I218" s="215"/>
      <c r="J218" s="108"/>
      <c r="K218" s="108"/>
      <c r="L218" s="108"/>
      <c r="M218" s="108"/>
      <c r="N218" s="108"/>
      <c r="O218" s="108"/>
      <c r="P218" s="108"/>
      <c r="Q218" s="108"/>
      <c r="R218" s="108"/>
      <c r="S218" s="341"/>
      <c r="T218" s="341"/>
      <c r="U218" s="118"/>
      <c r="V218" s="220">
        <f t="shared" si="204"/>
        <v>0</v>
      </c>
      <c r="W218" s="220">
        <f t="shared" si="205"/>
        <v>0</v>
      </c>
      <c r="X218" s="220">
        <f t="shared" si="206"/>
        <v>0</v>
      </c>
      <c r="Y218" s="122"/>
    </row>
    <row r="219" spans="1:25" s="6" customFormat="1" ht="12" customHeight="1" outlineLevel="2" x14ac:dyDescent="0.25">
      <c r="A219" s="845"/>
      <c r="B219" s="25"/>
      <c r="C219" s="9"/>
      <c r="D219" s="9" t="str">
        <f>"Closing balance "&amp;LOWER(C214)</f>
        <v>Closing balance salaries and related payables</v>
      </c>
      <c r="G219" s="310" t="str">
        <f>"EUR "&amp;Multiplier</f>
        <v>EUR thd</v>
      </c>
      <c r="H219" s="417"/>
      <c r="I219" s="214"/>
      <c r="J219" s="312">
        <f>IF((J$4="Actual"),SUMIF('1.3.Historical BS'!$E$60:$E$67,$C214,'1.3.Historical BS'!O$60:O$67),"n/a")</f>
        <v>0</v>
      </c>
      <c r="K219" s="312">
        <f>IF((K$4="Actual"),SUMIF('1.3.Historical BS'!$E$60:$E$67,$C214,'1.3.Historical BS'!P$60:P$67),"n/a")</f>
        <v>0</v>
      </c>
      <c r="L219" s="312">
        <f>IF((L$4="Actual"),SUMIF('1.3.Historical BS'!$E$60:$E$67,$C214,'1.3.Historical BS'!Q$60:Q$67),"n/a")</f>
        <v>0</v>
      </c>
      <c r="M219" s="312" t="str">
        <f>IF((M$4="Actual"),SUMIF('1.3.Historical BS'!$E$60:$E$67,$C214,'1.3.Historical BS'!R$60:R$67),"n/a")</f>
        <v>n/a</v>
      </c>
      <c r="N219" s="312" t="str">
        <f>IF((N$4="Actual"),SUMIF('1.3.Historical BS'!$E$60:$E$67,$C214,'1.3.Historical BS'!S$60:S$67),"n/a")</f>
        <v>n/a</v>
      </c>
      <c r="O219" s="312" t="str">
        <f>IF((O$4="Actual"),SUMIF('1.3.Historical BS'!$E$60:$E$67,$C214,'1.3.Historical BS'!T$60:T$67),"n/a")</f>
        <v>n/a</v>
      </c>
      <c r="P219" s="312" t="str">
        <f>IF((P$4="Actual"),SUMIF('1.3.Historical BS'!$E$60:$E$67,$C214,'1.3.Historical BS'!U$60:U$67),"n/a")</f>
        <v>n/a</v>
      </c>
      <c r="Q219" s="312" t="str">
        <f>IF((Q$4="Actual"),SUMIF('1.3.Historical BS'!$E$60:$E$67,$C214,'1.3.Historical BS'!V$60:V$67),"n/a")</f>
        <v>n/a</v>
      </c>
      <c r="R219" s="312" t="str">
        <f>IF((R$4="Actual"),SUMIF('1.3.Historical BS'!$E$60:$E$67,$C214,'1.3.Historical BS'!W$60:W$67),"n/a")</f>
        <v>n/a</v>
      </c>
      <c r="S219" s="341"/>
      <c r="T219" s="341"/>
      <c r="U219" s="218"/>
      <c r="V219" s="220">
        <f t="shared" si="204"/>
        <v>0</v>
      </c>
      <c r="W219" s="220">
        <f t="shared" si="205"/>
        <v>0</v>
      </c>
      <c r="X219" s="220">
        <f t="shared" si="206"/>
        <v>0</v>
      </c>
      <c r="Y219" s="125"/>
    </row>
    <row r="220" spans="1:25" ht="12" customHeight="1" outlineLevel="2" x14ac:dyDescent="0.25">
      <c r="A220" s="845"/>
      <c r="B220" s="25"/>
      <c r="D220" s="10"/>
      <c r="G220" s="215"/>
      <c r="H220" s="417"/>
      <c r="I220" s="215"/>
      <c r="J220" s="108"/>
      <c r="K220" s="108"/>
      <c r="L220" s="108"/>
      <c r="M220" s="108"/>
      <c r="N220" s="108"/>
      <c r="O220" s="108"/>
      <c r="P220" s="108"/>
      <c r="Q220" s="108"/>
      <c r="R220" s="108"/>
      <c r="S220" s="341"/>
      <c r="T220" s="341"/>
      <c r="U220" s="118"/>
      <c r="V220" s="220">
        <f t="shared" si="204"/>
        <v>0</v>
      </c>
      <c r="W220" s="220">
        <f t="shared" si="205"/>
        <v>0</v>
      </c>
      <c r="X220" s="220">
        <f t="shared" si="206"/>
        <v>0</v>
      </c>
      <c r="Y220" s="122"/>
    </row>
    <row r="221" spans="1:25" s="6" customFormat="1" ht="12" customHeight="1" outlineLevel="2" x14ac:dyDescent="0.25">
      <c r="A221" s="845"/>
      <c r="B221" s="25"/>
      <c r="C221" s="9"/>
      <c r="D221" s="9" t="s">
        <v>92</v>
      </c>
      <c r="G221" s="214" t="s">
        <v>16</v>
      </c>
      <c r="H221" s="416" t="str">
        <f>'0.2.Parameters'!H164</f>
        <v>Average</v>
      </c>
      <c r="I221" s="313"/>
      <c r="J221" s="216">
        <f t="shared" ref="J221:P221" si="288">IF(ISERROR(J219/J217*(J$2-J$1+1)),"",J219/J217*(J$2-J$1+1))</f>
        <v>0</v>
      </c>
      <c r="K221" s="216">
        <f t="shared" si="288"/>
        <v>0</v>
      </c>
      <c r="L221" s="216">
        <f t="shared" si="288"/>
        <v>0</v>
      </c>
      <c r="M221" s="430" t="str">
        <f t="shared" ref="M221" si="289">IF(ISERROR(M219/M217*(M$2-M$1+1)),"",M219/M217*(M$2-M$1+1))</f>
        <v/>
      </c>
      <c r="N221" s="430" t="str">
        <f t="shared" si="288"/>
        <v/>
      </c>
      <c r="O221" s="430" t="str">
        <f t="shared" si="288"/>
        <v/>
      </c>
      <c r="P221" s="430" t="str">
        <f t="shared" si="288"/>
        <v/>
      </c>
      <c r="Q221" s="430" t="str">
        <f t="shared" ref="Q221:R221" si="290">IF(ISERROR(Q219/Q217*(Q$2-Q$1+1)),"",Q219/Q217*(Q$2-Q$1+1))</f>
        <v/>
      </c>
      <c r="R221" s="430" t="str">
        <f t="shared" si="290"/>
        <v/>
      </c>
      <c r="S221" s="341"/>
      <c r="T221" s="341"/>
      <c r="U221" s="218"/>
      <c r="V221" s="220">
        <f t="shared" si="204"/>
        <v>0</v>
      </c>
      <c r="W221" s="220">
        <f t="shared" si="205"/>
        <v>0</v>
      </c>
      <c r="X221" s="220">
        <f t="shared" si="206"/>
        <v>0</v>
      </c>
      <c r="Y221" s="125"/>
    </row>
    <row r="222" spans="1:25" s="13" customFormat="1" ht="12" customHeight="1" outlineLevel="3" x14ac:dyDescent="0.25">
      <c r="A222" s="850"/>
      <c r="B222" s="56"/>
      <c r="C222" s="43"/>
      <c r="F222" s="11" t="s">
        <v>135</v>
      </c>
      <c r="G222" s="314">
        <f>($F222=H221)*1</f>
        <v>0</v>
      </c>
      <c r="H222" s="417"/>
      <c r="I222" s="315"/>
      <c r="J222" s="223">
        <f>J221</f>
        <v>0</v>
      </c>
      <c r="K222" s="223">
        <f>K221</f>
        <v>0</v>
      </c>
      <c r="L222" s="223">
        <f>L221</f>
        <v>0</v>
      </c>
      <c r="M222" s="341"/>
      <c r="N222" s="341"/>
      <c r="O222" s="341"/>
      <c r="P222" s="341"/>
      <c r="Q222" s="341"/>
      <c r="R222" s="341"/>
      <c r="S222" s="341"/>
      <c r="T222" s="341"/>
      <c r="U222" s="225"/>
      <c r="V222" s="220">
        <f t="shared" si="204"/>
        <v>0</v>
      </c>
      <c r="W222" s="220">
        <f t="shared" si="205"/>
        <v>0</v>
      </c>
      <c r="X222" s="220">
        <f t="shared" si="206"/>
        <v>0</v>
      </c>
      <c r="Y222" s="126"/>
    </row>
    <row r="223" spans="1:25" s="13" customFormat="1" ht="12" customHeight="1" outlineLevel="3" x14ac:dyDescent="0.25">
      <c r="A223" s="850"/>
      <c r="B223" s="56"/>
      <c r="C223" s="43"/>
      <c r="F223" s="11" t="s">
        <v>116</v>
      </c>
      <c r="G223" s="316">
        <f>($F223=H221)*1</f>
        <v>1</v>
      </c>
      <c r="H223" s="311"/>
      <c r="I223" s="315"/>
      <c r="J223" s="223">
        <f>IF(ISERROR(AVERAGE($J221:J221)),"",AVERAGE($J221:J221))</f>
        <v>0</v>
      </c>
      <c r="K223" s="223">
        <f>IF(ISERROR(AVERAGE($J221:K221)),"",AVERAGE($J221:K221))</f>
        <v>0</v>
      </c>
      <c r="L223" s="223">
        <f>IF(ISERROR(AVERAGE($J221:L221)),"",AVERAGE($J221:L221))</f>
        <v>0</v>
      </c>
      <c r="M223" s="341"/>
      <c r="N223" s="341"/>
      <c r="O223" s="341"/>
      <c r="P223" s="341"/>
      <c r="Q223" s="341"/>
      <c r="R223" s="341"/>
      <c r="S223" s="341"/>
      <c r="T223" s="341"/>
      <c r="U223" s="225"/>
      <c r="V223" s="220">
        <f t="shared" si="204"/>
        <v>0</v>
      </c>
      <c r="W223" s="220">
        <f t="shared" si="205"/>
        <v>0</v>
      </c>
      <c r="X223" s="220">
        <f t="shared" si="206"/>
        <v>0</v>
      </c>
      <c r="Y223" s="126"/>
    </row>
    <row r="224" spans="1:25" s="13" customFormat="1" ht="12" customHeight="1" outlineLevel="3" x14ac:dyDescent="0.25">
      <c r="A224" s="850"/>
      <c r="B224" s="56"/>
      <c r="C224" s="43"/>
      <c r="F224" s="11" t="s">
        <v>118</v>
      </c>
      <c r="G224" s="316">
        <f>($F224=H221)*1</f>
        <v>0</v>
      </c>
      <c r="H224" s="311"/>
      <c r="I224" s="315"/>
      <c r="J224" s="223">
        <f>IF(ISERROR(MIN($J221:J221)),"",MIN($J221:J221))</f>
        <v>0</v>
      </c>
      <c r="K224" s="223">
        <f>IF(ISERROR(MIN($J221:K221)),"",MIN($J221:K221))</f>
        <v>0</v>
      </c>
      <c r="L224" s="223">
        <f>IF(ISERROR(MIN($J221:L221)),"",MIN($J221:L221))</f>
        <v>0</v>
      </c>
      <c r="M224" s="341"/>
      <c r="N224" s="341"/>
      <c r="O224" s="341"/>
      <c r="P224" s="341"/>
      <c r="Q224" s="341"/>
      <c r="R224" s="341"/>
      <c r="S224" s="341"/>
      <c r="T224" s="341"/>
      <c r="U224" s="225"/>
      <c r="V224" s="220">
        <f t="shared" si="204"/>
        <v>0</v>
      </c>
      <c r="W224" s="220">
        <f t="shared" si="205"/>
        <v>0</v>
      </c>
      <c r="X224" s="220">
        <f t="shared" si="206"/>
        <v>0</v>
      </c>
      <c r="Y224" s="126"/>
    </row>
    <row r="225" spans="1:25" s="13" customFormat="1" ht="12" customHeight="1" outlineLevel="3" x14ac:dyDescent="0.25">
      <c r="A225" s="850"/>
      <c r="B225" s="56"/>
      <c r="C225" s="43"/>
      <c r="F225" s="11" t="s">
        <v>117</v>
      </c>
      <c r="G225" s="317">
        <f>($F225=H221)*1</f>
        <v>0</v>
      </c>
      <c r="H225" s="311"/>
      <c r="I225" s="315"/>
      <c r="J225" s="223">
        <f>IF(ISERROR(MAX($J221:J221)),"",MAX($J221:J221))</f>
        <v>0</v>
      </c>
      <c r="K225" s="223">
        <f>IF(ISERROR(MAX($J221:K221)),"",MAX($J221:K221))</f>
        <v>0</v>
      </c>
      <c r="L225" s="223">
        <f>IF(ISERROR(MAX($J221:L221)),"",MAX($J221:L221))</f>
        <v>0</v>
      </c>
      <c r="M225" s="341"/>
      <c r="N225" s="341"/>
      <c r="O225" s="341"/>
      <c r="P225" s="341"/>
      <c r="Q225" s="341"/>
      <c r="R225" s="341"/>
      <c r="S225" s="341"/>
      <c r="T225" s="341"/>
      <c r="U225" s="225"/>
      <c r="V225" s="220">
        <f t="shared" si="204"/>
        <v>0</v>
      </c>
      <c r="W225" s="220">
        <f t="shared" si="205"/>
        <v>0</v>
      </c>
      <c r="X225" s="220">
        <f t="shared" si="206"/>
        <v>0</v>
      </c>
      <c r="Y225" s="126"/>
    </row>
    <row r="226" spans="1:25" ht="12" customHeight="1" outlineLevel="2" x14ac:dyDescent="0.25">
      <c r="A226" s="845"/>
      <c r="B226" s="25"/>
      <c r="E226" s="10" t="s">
        <v>91</v>
      </c>
      <c r="G226" s="215" t="s">
        <v>16</v>
      </c>
      <c r="H226" s="418">
        <v>0</v>
      </c>
      <c r="I226" s="318"/>
      <c r="J226" s="117" t="str">
        <f t="shared" ref="J226" si="291">IF(J$4="Estimate",SUMPRODUCT(I222:I225,$G222:$G225),IF(J$4="Forecast",I226,""))</f>
        <v/>
      </c>
      <c r="K226" s="117" t="str">
        <f t="shared" ref="K226" si="292">IF(K$4="Estimate",SUMPRODUCT(J222:J225,$G222:$G225),IF(K$4="Forecast",J226,""))</f>
        <v/>
      </c>
      <c r="L226" s="117" t="str">
        <f t="shared" ref="L226" si="293">IF(L$4="Estimate",SUMPRODUCT(K222:K225,$G222:$G225),IF(L$4="Forecast",K226,""))</f>
        <v/>
      </c>
      <c r="M226" s="117">
        <f>SUMPRODUCT(L222:L225,$G222:$G225)</f>
        <v>0</v>
      </c>
      <c r="N226" s="117">
        <f t="shared" ref="N226" si="294">IF(N$4="Estimate",SUMPRODUCT(M222:M225,$G222:$G225),IF(N$4="Forecast",M226,""))</f>
        <v>0</v>
      </c>
      <c r="O226" s="117">
        <f t="shared" ref="O226" si="295">IF(O$4="Estimate",SUMPRODUCT(N222:N225,$G222:$G225),IF(O$4="Forecast",N226,""))</f>
        <v>0</v>
      </c>
      <c r="P226" s="117">
        <f t="shared" ref="P226" si="296">IF(P$4="Estimate",SUMPRODUCT(O222:O225,$G222:$G225),IF(P$4="Forecast",O226,""))</f>
        <v>0</v>
      </c>
      <c r="Q226" s="117">
        <f t="shared" ref="Q226" si="297">IF(Q$4="Estimate",SUMPRODUCT(P222:P225,$G222:$G225),IF(Q$4="Forecast",P226,""))</f>
        <v>0</v>
      </c>
      <c r="R226" s="117">
        <f t="shared" ref="R226" si="298">IF(R$4="Estimate",SUMPRODUCT(Q222:Q225,$G222:$G225),IF(R$4="Forecast",Q226,""))</f>
        <v>0</v>
      </c>
      <c r="S226" s="341"/>
      <c r="T226" s="341"/>
      <c r="U226" s="118"/>
      <c r="V226" s="220">
        <f t="shared" ref="V226:V289" si="299">IF(ISERROR((($L226/$J226)^(1/($L$3-$J$3))-1)),0,(($L226/$J226)^(1/($L$3-$J$3))-1))</f>
        <v>0</v>
      </c>
      <c r="W226" s="220">
        <f t="shared" ref="W226:W289" si="300">IF(ISERROR($M226/$L226-1),0,$M226/$L226-1)</f>
        <v>0</v>
      </c>
      <c r="X226" s="220">
        <f t="shared" ref="X226:X289" si="301">IF(ISERROR((($P226/$M226)^(1/($P$3-$M$3))-1)),0,(($P226/$M226)^(1/($P$3-$M$3))-1))</f>
        <v>0</v>
      </c>
      <c r="Y226" s="122"/>
    </row>
    <row r="227" spans="1:25" ht="12" customHeight="1" outlineLevel="2" x14ac:dyDescent="0.25">
      <c r="A227" s="845"/>
      <c r="B227" s="25"/>
      <c r="D227" s="9" t="s">
        <v>90</v>
      </c>
      <c r="G227" s="214" t="s">
        <v>16</v>
      </c>
      <c r="H227" s="311"/>
      <c r="I227" s="214"/>
      <c r="J227" s="319">
        <f>SUM(J221,J226)</f>
        <v>0</v>
      </c>
      <c r="K227" s="319">
        <f t="shared" ref="K227" si="302">SUM(K221,K226)</f>
        <v>0</v>
      </c>
      <c r="L227" s="319">
        <f t="shared" ref="L227" si="303">SUM(L221,L226)</f>
        <v>0</v>
      </c>
      <c r="M227" s="319">
        <f t="shared" ref="M227" si="304">SUM(M221,M226)</f>
        <v>0</v>
      </c>
      <c r="N227" s="319">
        <f t="shared" ref="N227" si="305">SUM(N221,N226)</f>
        <v>0</v>
      </c>
      <c r="O227" s="319">
        <f t="shared" ref="O227" si="306">SUM(O221,O226)</f>
        <v>0</v>
      </c>
      <c r="P227" s="319">
        <f t="shared" ref="P227:R227" si="307">SUM(P221,P226)</f>
        <v>0</v>
      </c>
      <c r="Q227" s="319">
        <f t="shared" si="307"/>
        <v>0</v>
      </c>
      <c r="R227" s="319">
        <f t="shared" si="307"/>
        <v>0</v>
      </c>
      <c r="S227" s="341"/>
      <c r="T227" s="341"/>
      <c r="U227" s="118"/>
      <c r="V227" s="220">
        <f t="shared" si="299"/>
        <v>0</v>
      </c>
      <c r="W227" s="220">
        <f t="shared" si="300"/>
        <v>0</v>
      </c>
      <c r="X227" s="220">
        <f t="shared" si="301"/>
        <v>0</v>
      </c>
      <c r="Y227" s="122"/>
    </row>
    <row r="228" spans="1:25" ht="12" customHeight="1" outlineLevel="2" x14ac:dyDescent="0.25">
      <c r="A228" s="845"/>
      <c r="B228" s="25"/>
      <c r="D228" s="10"/>
      <c r="G228" s="215"/>
      <c r="H228" s="311"/>
      <c r="I228" s="215"/>
      <c r="J228" s="108"/>
      <c r="K228" s="108"/>
      <c r="L228" s="108"/>
      <c r="M228" s="108"/>
      <c r="N228" s="108"/>
      <c r="O228" s="108"/>
      <c r="P228" s="108"/>
      <c r="Q228" s="108"/>
      <c r="R228" s="108"/>
      <c r="S228" s="341"/>
      <c r="T228" s="341"/>
      <c r="U228" s="118"/>
      <c r="V228" s="220">
        <f t="shared" si="299"/>
        <v>0</v>
      </c>
      <c r="W228" s="220">
        <f t="shared" si="300"/>
        <v>0</v>
      </c>
      <c r="X228" s="220">
        <f t="shared" si="301"/>
        <v>0</v>
      </c>
      <c r="Y228" s="122"/>
    </row>
    <row r="229" spans="1:25" ht="12" customHeight="1" outlineLevel="1" x14ac:dyDescent="0.25">
      <c r="A229" s="845"/>
      <c r="B229" s="25"/>
      <c r="D229" s="74" t="str">
        <f>D219</f>
        <v>Closing balance salaries and related payables</v>
      </c>
      <c r="E229" s="50"/>
      <c r="F229" s="50"/>
      <c r="G229" s="320" t="str">
        <f>"EUR "&amp;Multiplier</f>
        <v>EUR thd</v>
      </c>
      <c r="H229" s="321"/>
      <c r="I229" s="322"/>
      <c r="J229" s="227">
        <f t="shared" ref="J229:P229" si="308">J227/(J$2-J$1+1)*J217</f>
        <v>0</v>
      </c>
      <c r="K229" s="227">
        <f t="shared" si="308"/>
        <v>0</v>
      </c>
      <c r="L229" s="227">
        <f t="shared" si="308"/>
        <v>0</v>
      </c>
      <c r="M229" s="227">
        <f t="shared" si="308"/>
        <v>0</v>
      </c>
      <c r="N229" s="227">
        <f t="shared" si="308"/>
        <v>0</v>
      </c>
      <c r="O229" s="227">
        <f t="shared" si="308"/>
        <v>0</v>
      </c>
      <c r="P229" s="227">
        <f t="shared" si="308"/>
        <v>0</v>
      </c>
      <c r="Q229" s="227">
        <f t="shared" ref="Q229:R229" si="309">Q227/(Q$2-Q$1+1)*Q217</f>
        <v>0</v>
      </c>
      <c r="R229" s="227">
        <f t="shared" si="309"/>
        <v>0</v>
      </c>
      <c r="S229" s="341"/>
      <c r="T229" s="341"/>
      <c r="U229" s="118"/>
      <c r="V229" s="220">
        <f t="shared" si="299"/>
        <v>0</v>
      </c>
      <c r="W229" s="220">
        <f t="shared" si="300"/>
        <v>0</v>
      </c>
      <c r="X229" s="220">
        <f t="shared" si="301"/>
        <v>0</v>
      </c>
      <c r="Y229" s="122"/>
    </row>
    <row r="230" spans="1:25" ht="12" customHeight="1" outlineLevel="1" x14ac:dyDescent="0.25">
      <c r="G230" s="215"/>
      <c r="H230" s="215"/>
      <c r="I230" s="215"/>
      <c r="J230" s="118"/>
      <c r="K230" s="118"/>
      <c r="L230" s="118"/>
      <c r="M230" s="118"/>
      <c r="N230" s="118"/>
      <c r="O230" s="118"/>
      <c r="P230" s="118"/>
      <c r="Q230" s="118"/>
      <c r="R230" s="118"/>
      <c r="S230" s="118"/>
      <c r="T230" s="118"/>
      <c r="U230" s="118"/>
      <c r="V230" s="220">
        <f t="shared" si="299"/>
        <v>0</v>
      </c>
      <c r="W230" s="220">
        <f t="shared" si="300"/>
        <v>0</v>
      </c>
      <c r="X230" s="220">
        <f t="shared" si="301"/>
        <v>0</v>
      </c>
    </row>
    <row r="231" spans="1:25" ht="12" customHeight="1" outlineLevel="1" x14ac:dyDescent="0.25">
      <c r="A231" s="845"/>
      <c r="B231" s="25">
        <f ca="1">MAX($A$1:B230)+0.1</f>
        <v>2.5000000000000004</v>
      </c>
      <c r="C231" s="9" t="str">
        <f>'1.3.Historical BS'!E64</f>
        <v>VAT payable</v>
      </c>
      <c r="D231" s="10"/>
      <c r="G231" s="215"/>
      <c r="H231" s="311"/>
      <c r="I231" s="215"/>
      <c r="J231" s="323"/>
      <c r="K231" s="118"/>
      <c r="L231" s="118"/>
      <c r="M231" s="118"/>
      <c r="N231" s="118"/>
      <c r="O231" s="118"/>
      <c r="P231" s="118"/>
      <c r="Q231" s="118"/>
      <c r="R231" s="118"/>
      <c r="S231" s="118"/>
      <c r="T231" s="118"/>
      <c r="U231" s="118"/>
      <c r="V231" s="220">
        <f t="shared" si="299"/>
        <v>0</v>
      </c>
      <c r="W231" s="220">
        <f t="shared" si="300"/>
        <v>0</v>
      </c>
      <c r="X231" s="220">
        <f t="shared" si="301"/>
        <v>0</v>
      </c>
      <c r="Y231" s="122"/>
    </row>
    <row r="232" spans="1:25" ht="12" customHeight="1" outlineLevel="2" x14ac:dyDescent="0.25">
      <c r="A232" s="845"/>
      <c r="B232" s="25"/>
      <c r="E232" s="10" t="str">
        <f>'0.2.Parameters'!$F$147</f>
        <v>Salaries, wages and related costs</v>
      </c>
      <c r="G232" s="291" t="str">
        <f t="shared" ref="G232:G234" si="310">"EUR "&amp;Multiplier</f>
        <v>EUR thd</v>
      </c>
      <c r="H232" s="416">
        <f>'0.2.Parameters'!$H$167</f>
        <v>0</v>
      </c>
      <c r="I232" s="215"/>
      <c r="J232" s="107">
        <f>'3.1. Income Statement'!J$19</f>
        <v>163.79968602476174</v>
      </c>
      <c r="K232" s="107">
        <f>'3.1. Income Statement'!K$19</f>
        <v>204.84446487598782</v>
      </c>
      <c r="L232" s="107">
        <f>'3.1. Income Statement'!L$19</f>
        <v>232.32738798753627</v>
      </c>
      <c r="M232" s="107">
        <f>'3.1. Income Statement'!M$19</f>
        <v>249.53682413476119</v>
      </c>
      <c r="N232" s="107">
        <f>'3.1. Income Statement'!N$19</f>
        <v>280.08357329608538</v>
      </c>
      <c r="O232" s="107">
        <f>'3.1. Income Statement'!O$19</f>
        <v>294.0877519608897</v>
      </c>
      <c r="P232" s="107">
        <f>'3.1. Income Statement'!P$19</f>
        <v>308.7921395589342</v>
      </c>
      <c r="Q232" s="107">
        <f>'3.1. Income Statement'!Q$19</f>
        <v>324.23174653688091</v>
      </c>
      <c r="R232" s="107">
        <f>'3.1. Income Statement'!R$19</f>
        <v>340.44333386372494</v>
      </c>
      <c r="S232" s="341"/>
      <c r="T232" s="341"/>
      <c r="U232" s="118"/>
      <c r="V232" s="220">
        <f t="shared" si="299"/>
        <v>0.19095039391712287</v>
      </c>
      <c r="W232" s="220">
        <f t="shared" si="300"/>
        <v>7.4074074074074181E-2</v>
      </c>
      <c r="X232" s="220">
        <f t="shared" si="301"/>
        <v>7.3603365849039593E-2</v>
      </c>
      <c r="Y232" s="122"/>
    </row>
    <row r="233" spans="1:25" ht="12" customHeight="1" outlineLevel="2" x14ac:dyDescent="0.25">
      <c r="A233" s="845"/>
      <c r="B233" s="25"/>
      <c r="D233" s="12"/>
      <c r="E233" s="10" t="str">
        <f>'0.2.Parameters'!$F$148</f>
        <v>Other operating expenses</v>
      </c>
      <c r="F233" s="12"/>
      <c r="G233" s="291" t="str">
        <f t="shared" si="310"/>
        <v>EUR thd</v>
      </c>
      <c r="H233" s="416">
        <f>'0.2.Parameters'!$H$168</f>
        <v>1</v>
      </c>
      <c r="I233" s="215"/>
      <c r="J233" s="107">
        <f>'3.1. Income Statement'!J$23</f>
        <v>4839.3648971230068</v>
      </c>
      <c r="K233" s="107">
        <f>'3.1. Income Statement'!K$23</f>
        <v>8813.0766927168843</v>
      </c>
      <c r="L233" s="107">
        <f>'3.1. Income Statement'!L$23</f>
        <v>7247.4658515096162</v>
      </c>
      <c r="M233" s="107">
        <f>'3.1. Income Statement'!M$23</f>
        <v>10923.445812244656</v>
      </c>
      <c r="N233" s="107">
        <f>'3.1. Income Statement'!N$23</f>
        <v>11469.61810285689</v>
      </c>
      <c r="O233" s="107">
        <f>'3.1. Income Statement'!O$23</f>
        <v>12043.099007999732</v>
      </c>
      <c r="P233" s="107">
        <f>'3.1. Income Statement'!P$23</f>
        <v>12645.25395839972</v>
      </c>
      <c r="Q233" s="107">
        <f>'3.1. Income Statement'!Q$23</f>
        <v>13277.516656319709</v>
      </c>
      <c r="R233" s="107">
        <f>'3.1. Income Statement'!R$23</f>
        <v>13941.392489135693</v>
      </c>
      <c r="S233" s="341"/>
      <c r="T233" s="341"/>
      <c r="U233" s="118"/>
      <c r="V233" s="220">
        <f t="shared" si="299"/>
        <v>0.22376746780994239</v>
      </c>
      <c r="W233" s="220">
        <f t="shared" si="300"/>
        <v>0.50720900740351182</v>
      </c>
      <c r="X233" s="220">
        <f t="shared" si="301"/>
        <v>5.0000000000000044E-2</v>
      </c>
      <c r="Y233" s="122"/>
    </row>
    <row r="234" spans="1:25" ht="12" customHeight="1" outlineLevel="2" x14ac:dyDescent="0.25">
      <c r="A234" s="845"/>
      <c r="B234" s="25"/>
      <c r="D234" s="9" t="s">
        <v>93</v>
      </c>
      <c r="G234" s="310" t="str">
        <f t="shared" si="310"/>
        <v>EUR thd</v>
      </c>
      <c r="H234" s="417"/>
      <c r="I234" s="214"/>
      <c r="J234" s="216">
        <f>SUMIF($H232:$H233,1,J232:J233)</f>
        <v>4839.3648971230068</v>
      </c>
      <c r="K234" s="216">
        <f t="shared" ref="K234" si="311">SUMIF($H232:$H233,1,K232:K233)</f>
        <v>8813.0766927168843</v>
      </c>
      <c r="L234" s="216">
        <f t="shared" ref="L234" si="312">SUMIF($H232:$H233,1,L232:L233)</f>
        <v>7247.4658515096162</v>
      </c>
      <c r="M234" s="216">
        <f t="shared" ref="M234" si="313">SUMIF($H232:$H233,1,M232:M233)</f>
        <v>10923.445812244656</v>
      </c>
      <c r="N234" s="216">
        <f t="shared" ref="N234" si="314">SUMIF($H232:$H233,1,N232:N233)</f>
        <v>11469.61810285689</v>
      </c>
      <c r="O234" s="216">
        <f t="shared" ref="O234" si="315">SUMIF($H232:$H233,1,O232:O233)</f>
        <v>12043.099007999732</v>
      </c>
      <c r="P234" s="216">
        <f t="shared" ref="P234:R234" si="316">SUMIF($H232:$H233,1,P232:P233)</f>
        <v>12645.25395839972</v>
      </c>
      <c r="Q234" s="216">
        <f t="shared" si="316"/>
        <v>13277.516656319709</v>
      </c>
      <c r="R234" s="216">
        <f t="shared" si="316"/>
        <v>13941.392489135693</v>
      </c>
      <c r="S234" s="341"/>
      <c r="T234" s="341"/>
      <c r="U234" s="118"/>
      <c r="V234" s="220">
        <f t="shared" si="299"/>
        <v>0.22376746780994239</v>
      </c>
      <c r="W234" s="220">
        <f t="shared" si="300"/>
        <v>0.50720900740351182</v>
      </c>
      <c r="X234" s="220">
        <f t="shared" si="301"/>
        <v>5.0000000000000044E-2</v>
      </c>
      <c r="Y234" s="122"/>
    </row>
    <row r="235" spans="1:25" ht="12" customHeight="1" outlineLevel="2" x14ac:dyDescent="0.25">
      <c r="A235" s="845"/>
      <c r="B235" s="25"/>
      <c r="D235" s="10"/>
      <c r="G235" s="215"/>
      <c r="H235" s="417"/>
      <c r="I235" s="215"/>
      <c r="J235" s="108"/>
      <c r="K235" s="108"/>
      <c r="L235" s="108"/>
      <c r="M235" s="108"/>
      <c r="N235" s="108"/>
      <c r="O235" s="108"/>
      <c r="P235" s="108"/>
      <c r="Q235" s="108"/>
      <c r="R235" s="108"/>
      <c r="S235" s="341"/>
      <c r="T235" s="341"/>
      <c r="U235" s="118"/>
      <c r="V235" s="220">
        <f t="shared" si="299"/>
        <v>0</v>
      </c>
      <c r="W235" s="220">
        <f t="shared" si="300"/>
        <v>0</v>
      </c>
      <c r="X235" s="220">
        <f t="shared" si="301"/>
        <v>0</v>
      </c>
      <c r="Y235" s="122"/>
    </row>
    <row r="236" spans="1:25" s="6" customFormat="1" ht="12" customHeight="1" outlineLevel="2" x14ac:dyDescent="0.25">
      <c r="A236" s="845"/>
      <c r="B236" s="25"/>
      <c r="C236" s="9"/>
      <c r="D236" s="9" t="str">
        <f>"Closing balance "&amp;LOWER(C231)</f>
        <v>Closing balance vat payable</v>
      </c>
      <c r="G236" s="310" t="str">
        <f>"EUR "&amp;Multiplier</f>
        <v>EUR thd</v>
      </c>
      <c r="H236" s="417"/>
      <c r="I236" s="214"/>
      <c r="J236" s="312">
        <f>IF((J$4="Actual"),SUMIF('1.3.Historical BS'!$E$60:$E$67,$C231,'1.3.Historical BS'!O$60:O$67),"n/a")</f>
        <v>0</v>
      </c>
      <c r="K236" s="312">
        <f>IF((K$4="Actual"),SUMIF('1.3.Historical BS'!$E$60:$E$67,$C231,'1.3.Historical BS'!P$60:P$67),"n/a")</f>
        <v>0</v>
      </c>
      <c r="L236" s="312">
        <f>IF((L$4="Actual"),SUMIF('1.3.Historical BS'!$E$60:$E$67,$C231,'1.3.Historical BS'!Q$60:Q$67),"n/a")</f>
        <v>0</v>
      </c>
      <c r="M236" s="312" t="str">
        <f>IF((M$4="Actual"),SUMIF('1.3.Historical BS'!$E$60:$E$67,$C231,'1.3.Historical BS'!R$60:R$67),"n/a")</f>
        <v>n/a</v>
      </c>
      <c r="N236" s="312" t="str">
        <f>IF((N$4="Actual"),SUMIF('1.3.Historical BS'!$E$60:$E$67,$C231,'1.3.Historical BS'!S$60:S$67),"n/a")</f>
        <v>n/a</v>
      </c>
      <c r="O236" s="312" t="str">
        <f>IF((O$4="Actual"),SUMIF('1.3.Historical BS'!$E$60:$E$67,$C231,'1.3.Historical BS'!T$60:T$67),"n/a")</f>
        <v>n/a</v>
      </c>
      <c r="P236" s="312" t="str">
        <f>IF((P$4="Actual"),SUMIF('1.3.Historical BS'!$E$60:$E$67,$C231,'1.3.Historical BS'!U$60:U$67),"n/a")</f>
        <v>n/a</v>
      </c>
      <c r="Q236" s="312" t="str">
        <f>IF((Q$4="Actual"),SUMIF('1.3.Historical BS'!$E$60:$E$67,$C231,'1.3.Historical BS'!V$60:V$67),"n/a")</f>
        <v>n/a</v>
      </c>
      <c r="R236" s="312" t="str">
        <f>IF((R$4="Actual"),SUMIF('1.3.Historical BS'!$E$60:$E$67,$C231,'1.3.Historical BS'!W$60:W$67),"n/a")</f>
        <v>n/a</v>
      </c>
      <c r="S236" s="341"/>
      <c r="T236" s="341"/>
      <c r="U236" s="218"/>
      <c r="V236" s="220">
        <f t="shared" si="299"/>
        <v>0</v>
      </c>
      <c r="W236" s="220">
        <f t="shared" si="300"/>
        <v>0</v>
      </c>
      <c r="X236" s="220">
        <f t="shared" si="301"/>
        <v>0</v>
      </c>
      <c r="Y236" s="125"/>
    </row>
    <row r="237" spans="1:25" ht="12" customHeight="1" outlineLevel="2" x14ac:dyDescent="0.25">
      <c r="A237" s="845"/>
      <c r="B237" s="25"/>
      <c r="D237" s="10"/>
      <c r="G237" s="215"/>
      <c r="H237" s="417"/>
      <c r="I237" s="215"/>
      <c r="J237" s="108"/>
      <c r="K237" s="108"/>
      <c r="L237" s="108"/>
      <c r="M237" s="108"/>
      <c r="N237" s="108"/>
      <c r="O237" s="108"/>
      <c r="P237" s="108"/>
      <c r="Q237" s="108"/>
      <c r="R237" s="108"/>
      <c r="S237" s="341"/>
      <c r="T237" s="341"/>
      <c r="U237" s="118"/>
      <c r="V237" s="220">
        <f t="shared" si="299"/>
        <v>0</v>
      </c>
      <c r="W237" s="220">
        <f t="shared" si="300"/>
        <v>0</v>
      </c>
      <c r="X237" s="220">
        <f t="shared" si="301"/>
        <v>0</v>
      </c>
      <c r="Y237" s="122"/>
    </row>
    <row r="238" spans="1:25" s="6" customFormat="1" ht="12" customHeight="1" outlineLevel="2" x14ac:dyDescent="0.25">
      <c r="A238" s="845"/>
      <c r="B238" s="25"/>
      <c r="C238" s="9"/>
      <c r="D238" s="9" t="s">
        <v>92</v>
      </c>
      <c r="G238" s="214" t="s">
        <v>16</v>
      </c>
      <c r="H238" s="416" t="str">
        <f>'0.2.Parameters'!$H$169</f>
        <v>Average</v>
      </c>
      <c r="I238" s="313"/>
      <c r="J238" s="216">
        <f t="shared" ref="J238:P238" si="317">IF(ISERROR(J236/J234*(J$2-J$1+1)),"",J236/J234*(J$2-J$1+1))</f>
        <v>0</v>
      </c>
      <c r="K238" s="216">
        <f t="shared" si="317"/>
        <v>0</v>
      </c>
      <c r="L238" s="216">
        <f t="shared" si="317"/>
        <v>0</v>
      </c>
      <c r="M238" s="430" t="str">
        <f t="shared" ref="M238" si="318">IF(ISERROR(M236/M234*(M$2-M$1+1)),"",M236/M234*(M$2-M$1+1))</f>
        <v/>
      </c>
      <c r="N238" s="430" t="str">
        <f t="shared" si="317"/>
        <v/>
      </c>
      <c r="O238" s="430" t="str">
        <f t="shared" si="317"/>
        <v/>
      </c>
      <c r="P238" s="430" t="str">
        <f t="shared" si="317"/>
        <v/>
      </c>
      <c r="Q238" s="430" t="str">
        <f t="shared" ref="Q238:R238" si="319">IF(ISERROR(Q236/Q234*(Q$2-Q$1+1)),"",Q236/Q234*(Q$2-Q$1+1))</f>
        <v/>
      </c>
      <c r="R238" s="430" t="str">
        <f t="shared" si="319"/>
        <v/>
      </c>
      <c r="S238" s="341"/>
      <c r="T238" s="341"/>
      <c r="U238" s="218"/>
      <c r="V238" s="220">
        <f t="shared" si="299"/>
        <v>0</v>
      </c>
      <c r="W238" s="220">
        <f t="shared" si="300"/>
        <v>0</v>
      </c>
      <c r="X238" s="220">
        <f t="shared" si="301"/>
        <v>0</v>
      </c>
      <c r="Y238" s="125"/>
    </row>
    <row r="239" spans="1:25" s="13" customFormat="1" ht="12" customHeight="1" outlineLevel="3" x14ac:dyDescent="0.25">
      <c r="A239" s="850"/>
      <c r="B239" s="56"/>
      <c r="C239" s="43"/>
      <c r="F239" s="11" t="s">
        <v>135</v>
      </c>
      <c r="G239" s="314">
        <f>($F239=H238)*1</f>
        <v>0</v>
      </c>
      <c r="H239" s="311"/>
      <c r="I239" s="315"/>
      <c r="J239" s="223">
        <f>J238</f>
        <v>0</v>
      </c>
      <c r="K239" s="223">
        <f>K238</f>
        <v>0</v>
      </c>
      <c r="L239" s="223">
        <f>L238</f>
        <v>0</v>
      </c>
      <c r="M239" s="341"/>
      <c r="N239" s="341"/>
      <c r="O239" s="341"/>
      <c r="P239" s="341"/>
      <c r="Q239" s="341"/>
      <c r="R239" s="341"/>
      <c r="S239" s="341"/>
      <c r="T239" s="341"/>
      <c r="U239" s="225"/>
      <c r="V239" s="220">
        <f t="shared" si="299"/>
        <v>0</v>
      </c>
      <c r="W239" s="220">
        <f t="shared" si="300"/>
        <v>0</v>
      </c>
      <c r="X239" s="220">
        <f t="shared" si="301"/>
        <v>0</v>
      </c>
      <c r="Y239" s="126"/>
    </row>
    <row r="240" spans="1:25" s="13" customFormat="1" ht="12" customHeight="1" outlineLevel="3" x14ac:dyDescent="0.25">
      <c r="A240" s="850"/>
      <c r="B240" s="56"/>
      <c r="C240" s="43"/>
      <c r="F240" s="11" t="s">
        <v>116</v>
      </c>
      <c r="G240" s="316">
        <f>($F240=H238)*1</f>
        <v>1</v>
      </c>
      <c r="H240" s="311"/>
      <c r="I240" s="315"/>
      <c r="J240" s="223">
        <f>IF(ISERROR(AVERAGE($J238:J238)),"",AVERAGE($J238:J238))</f>
        <v>0</v>
      </c>
      <c r="K240" s="223">
        <f>IF(ISERROR(AVERAGE($J238:K238)),"",AVERAGE($J238:K238))</f>
        <v>0</v>
      </c>
      <c r="L240" s="223">
        <f>IF(ISERROR(AVERAGE($J238:L238)),"",AVERAGE($J238:L238))</f>
        <v>0</v>
      </c>
      <c r="M240" s="341"/>
      <c r="N240" s="341"/>
      <c r="O240" s="341"/>
      <c r="P240" s="341"/>
      <c r="Q240" s="341"/>
      <c r="R240" s="341"/>
      <c r="S240" s="341"/>
      <c r="T240" s="341"/>
      <c r="U240" s="225"/>
      <c r="V240" s="220">
        <f t="shared" si="299"/>
        <v>0</v>
      </c>
      <c r="W240" s="220">
        <f t="shared" si="300"/>
        <v>0</v>
      </c>
      <c r="X240" s="220">
        <f t="shared" si="301"/>
        <v>0</v>
      </c>
      <c r="Y240" s="126"/>
    </row>
    <row r="241" spans="1:25" s="13" customFormat="1" ht="12" customHeight="1" outlineLevel="3" x14ac:dyDescent="0.25">
      <c r="A241" s="850"/>
      <c r="B241" s="56"/>
      <c r="C241" s="43"/>
      <c r="F241" s="11" t="s">
        <v>118</v>
      </c>
      <c r="G241" s="316">
        <f>($F241=H238)*1</f>
        <v>0</v>
      </c>
      <c r="H241" s="311"/>
      <c r="I241" s="315"/>
      <c r="J241" s="223">
        <f>IF(ISERROR(MIN($J238:J238)),"",MIN($J238:J238))</f>
        <v>0</v>
      </c>
      <c r="K241" s="223">
        <f>IF(ISERROR(MIN($J238:K238)),"",MIN($J238:K238))</f>
        <v>0</v>
      </c>
      <c r="L241" s="223">
        <f>IF(ISERROR(MIN($J238:L238)),"",MIN($J238:L238))</f>
        <v>0</v>
      </c>
      <c r="M241" s="341"/>
      <c r="N241" s="341"/>
      <c r="O241" s="341"/>
      <c r="P241" s="341"/>
      <c r="Q241" s="341"/>
      <c r="R241" s="341"/>
      <c r="S241" s="341"/>
      <c r="T241" s="341"/>
      <c r="U241" s="225"/>
      <c r="V241" s="220">
        <f t="shared" si="299"/>
        <v>0</v>
      </c>
      <c r="W241" s="220">
        <f t="shared" si="300"/>
        <v>0</v>
      </c>
      <c r="X241" s="220">
        <f t="shared" si="301"/>
        <v>0</v>
      </c>
      <c r="Y241" s="126"/>
    </row>
    <row r="242" spans="1:25" s="13" customFormat="1" ht="12" customHeight="1" outlineLevel="3" x14ac:dyDescent="0.25">
      <c r="A242" s="850"/>
      <c r="B242" s="56"/>
      <c r="C242" s="43"/>
      <c r="F242" s="11" t="s">
        <v>117</v>
      </c>
      <c r="G242" s="317">
        <f>($F242=H238)*1</f>
        <v>0</v>
      </c>
      <c r="H242" s="311"/>
      <c r="I242" s="315"/>
      <c r="J242" s="223">
        <f>IF(ISERROR(MAX($J238:J238)),"",MAX($J238:J238))</f>
        <v>0</v>
      </c>
      <c r="K242" s="223">
        <f>IF(ISERROR(MAX($J238:K238)),"",MAX($J238:K238))</f>
        <v>0</v>
      </c>
      <c r="L242" s="223">
        <f>IF(ISERROR(MAX($J238:L238)),"",MAX($J238:L238))</f>
        <v>0</v>
      </c>
      <c r="M242" s="341"/>
      <c r="N242" s="341"/>
      <c r="O242" s="341"/>
      <c r="P242" s="341"/>
      <c r="Q242" s="341"/>
      <c r="R242" s="341"/>
      <c r="S242" s="341"/>
      <c r="T242" s="341"/>
      <c r="U242" s="225"/>
      <c r="V242" s="220">
        <f t="shared" si="299"/>
        <v>0</v>
      </c>
      <c r="W242" s="220">
        <f t="shared" si="300"/>
        <v>0</v>
      </c>
      <c r="X242" s="220">
        <f t="shared" si="301"/>
        <v>0</v>
      </c>
      <c r="Y242" s="126"/>
    </row>
    <row r="243" spans="1:25" ht="12" customHeight="1" outlineLevel="2" x14ac:dyDescent="0.25">
      <c r="A243" s="845"/>
      <c r="B243" s="25"/>
      <c r="E243" s="10" t="s">
        <v>91</v>
      </c>
      <c r="G243" s="215" t="s">
        <v>16</v>
      </c>
      <c r="H243" s="418">
        <v>0</v>
      </c>
      <c r="I243" s="318"/>
      <c r="J243" s="117" t="str">
        <f t="shared" ref="J243" si="320">IF(J$4="Estimate",SUMPRODUCT(I239:I242,$G239:$G242),IF(J$4="Forecast",I243,""))</f>
        <v/>
      </c>
      <c r="K243" s="117" t="str">
        <f t="shared" ref="K243" si="321">IF(K$4="Estimate",SUMPRODUCT(J239:J242,$G239:$G242),IF(K$4="Forecast",J243,""))</f>
        <v/>
      </c>
      <c r="L243" s="117" t="str">
        <f t="shared" ref="L243" si="322">IF(L$4="Estimate",SUMPRODUCT(K239:K242,$G239:$G242),IF(L$4="Forecast",K243,""))</f>
        <v/>
      </c>
      <c r="M243" s="117">
        <f>SUMPRODUCT(L239:L242,$G239:$G242)</f>
        <v>0</v>
      </c>
      <c r="N243" s="117">
        <f t="shared" ref="N243" si="323">IF(N$4="Estimate",SUMPRODUCT(M239:M242,$G239:$G242),IF(N$4="Forecast",M243,""))</f>
        <v>0</v>
      </c>
      <c r="O243" s="117">
        <f t="shared" ref="O243" si="324">IF(O$4="Estimate",SUMPRODUCT(N239:N242,$G239:$G242),IF(O$4="Forecast",N243,""))</f>
        <v>0</v>
      </c>
      <c r="P243" s="117">
        <f t="shared" ref="P243" si="325">IF(P$4="Estimate",SUMPRODUCT(O239:O242,$G239:$G242),IF(P$4="Forecast",O243,""))</f>
        <v>0</v>
      </c>
      <c r="Q243" s="117">
        <f t="shared" ref="Q243" si="326">IF(Q$4="Estimate",SUMPRODUCT(P239:P242,$G239:$G242),IF(Q$4="Forecast",P243,""))</f>
        <v>0</v>
      </c>
      <c r="R243" s="117">
        <f t="shared" ref="R243" si="327">IF(R$4="Estimate",SUMPRODUCT(Q239:Q242,$G239:$G242),IF(R$4="Forecast",Q243,""))</f>
        <v>0</v>
      </c>
      <c r="S243" s="341"/>
      <c r="T243" s="341"/>
      <c r="U243" s="118"/>
      <c r="V243" s="220">
        <f t="shared" si="299"/>
        <v>0</v>
      </c>
      <c r="W243" s="220">
        <f t="shared" si="300"/>
        <v>0</v>
      </c>
      <c r="X243" s="220">
        <f t="shared" si="301"/>
        <v>0</v>
      </c>
      <c r="Y243" s="122"/>
    </row>
    <row r="244" spans="1:25" ht="12" customHeight="1" outlineLevel="2" x14ac:dyDescent="0.25">
      <c r="A244" s="845"/>
      <c r="B244" s="25"/>
      <c r="D244" s="9" t="s">
        <v>90</v>
      </c>
      <c r="G244" s="214" t="s">
        <v>16</v>
      </c>
      <c r="H244" s="311"/>
      <c r="I244" s="214"/>
      <c r="J244" s="319">
        <f>SUM(J238,J243)</f>
        <v>0</v>
      </c>
      <c r="K244" s="319">
        <f t="shared" ref="K244" si="328">SUM(K238,K243)</f>
        <v>0</v>
      </c>
      <c r="L244" s="319">
        <f t="shared" ref="L244" si="329">SUM(L238,L243)</f>
        <v>0</v>
      </c>
      <c r="M244" s="319">
        <f t="shared" ref="M244" si="330">SUM(M238,M243)</f>
        <v>0</v>
      </c>
      <c r="N244" s="319">
        <f t="shared" ref="N244" si="331">SUM(N238,N243)</f>
        <v>0</v>
      </c>
      <c r="O244" s="319">
        <f t="shared" ref="O244" si="332">SUM(O238,O243)</f>
        <v>0</v>
      </c>
      <c r="P244" s="319">
        <f t="shared" ref="P244:R244" si="333">SUM(P238,P243)</f>
        <v>0</v>
      </c>
      <c r="Q244" s="319">
        <f t="shared" si="333"/>
        <v>0</v>
      </c>
      <c r="R244" s="319">
        <f t="shared" si="333"/>
        <v>0</v>
      </c>
      <c r="S244" s="341"/>
      <c r="T244" s="341"/>
      <c r="U244" s="118"/>
      <c r="V244" s="220">
        <f t="shared" si="299"/>
        <v>0</v>
      </c>
      <c r="W244" s="220">
        <f t="shared" si="300"/>
        <v>0</v>
      </c>
      <c r="X244" s="220">
        <f t="shared" si="301"/>
        <v>0</v>
      </c>
      <c r="Y244" s="122"/>
    </row>
    <row r="245" spans="1:25" ht="12" customHeight="1" outlineLevel="2" x14ac:dyDescent="0.25">
      <c r="B245" s="25"/>
      <c r="D245" s="10"/>
      <c r="G245" s="215"/>
      <c r="H245" s="311"/>
      <c r="I245" s="215"/>
      <c r="J245" s="108"/>
      <c r="K245" s="108"/>
      <c r="L245" s="108"/>
      <c r="M245" s="70"/>
      <c r="N245" s="70"/>
      <c r="O245" s="70"/>
      <c r="P245" s="70"/>
      <c r="Q245" s="70"/>
      <c r="R245" s="70"/>
      <c r="S245" s="341"/>
      <c r="T245" s="341"/>
      <c r="U245" s="118"/>
      <c r="V245" s="220">
        <f t="shared" si="299"/>
        <v>0</v>
      </c>
      <c r="W245" s="220">
        <f t="shared" si="300"/>
        <v>0</v>
      </c>
      <c r="X245" s="220">
        <f t="shared" si="301"/>
        <v>0</v>
      </c>
      <c r="Y245" s="122"/>
    </row>
    <row r="246" spans="1:25" ht="12" customHeight="1" outlineLevel="1" x14ac:dyDescent="0.25">
      <c r="B246" s="25"/>
      <c r="D246" s="74" t="str">
        <f>D236</f>
        <v>Closing balance vat payable</v>
      </c>
      <c r="E246" s="50"/>
      <c r="F246" s="50"/>
      <c r="G246" s="320" t="str">
        <f>"EUR "&amp;Multiplier</f>
        <v>EUR thd</v>
      </c>
      <c r="H246" s="321"/>
      <c r="I246" s="322"/>
      <c r="J246" s="227">
        <f t="shared" ref="J246:P246" si="334">J244/(J$2-J$1+1)*J234</f>
        <v>0</v>
      </c>
      <c r="K246" s="227">
        <f t="shared" si="334"/>
        <v>0</v>
      </c>
      <c r="L246" s="227">
        <f t="shared" si="334"/>
        <v>0</v>
      </c>
      <c r="M246" s="227">
        <f t="shared" si="334"/>
        <v>0</v>
      </c>
      <c r="N246" s="227">
        <f t="shared" si="334"/>
        <v>0</v>
      </c>
      <c r="O246" s="227">
        <f t="shared" si="334"/>
        <v>0</v>
      </c>
      <c r="P246" s="227">
        <f t="shared" si="334"/>
        <v>0</v>
      </c>
      <c r="Q246" s="227">
        <f t="shared" ref="Q246:R246" si="335">Q244/(Q$2-Q$1+1)*Q234</f>
        <v>0</v>
      </c>
      <c r="R246" s="227">
        <f t="shared" si="335"/>
        <v>0</v>
      </c>
      <c r="S246" s="341"/>
      <c r="T246" s="341"/>
      <c r="U246" s="118"/>
      <c r="V246" s="220">
        <f t="shared" si="299"/>
        <v>0</v>
      </c>
      <c r="W246" s="220">
        <f t="shared" si="300"/>
        <v>0</v>
      </c>
      <c r="X246" s="220">
        <f t="shared" si="301"/>
        <v>0</v>
      </c>
      <c r="Y246" s="122"/>
    </row>
    <row r="247" spans="1:25" ht="12" customHeight="1" outlineLevel="1" x14ac:dyDescent="0.25">
      <c r="G247" s="215"/>
      <c r="H247" s="215"/>
      <c r="I247" s="215"/>
      <c r="J247" s="118"/>
      <c r="K247" s="118"/>
      <c r="L247" s="118"/>
      <c r="M247" s="118"/>
      <c r="N247" s="118"/>
      <c r="O247" s="118"/>
      <c r="P247" s="118"/>
      <c r="Q247" s="118"/>
      <c r="R247" s="118"/>
      <c r="S247" s="118"/>
      <c r="T247" s="118"/>
      <c r="U247" s="118"/>
      <c r="V247" s="220">
        <f t="shared" si="299"/>
        <v>0</v>
      </c>
      <c r="W247" s="220">
        <f t="shared" si="300"/>
        <v>0</v>
      </c>
      <c r="X247" s="220">
        <f t="shared" si="301"/>
        <v>0</v>
      </c>
    </row>
    <row r="248" spans="1:25" ht="12" customHeight="1" outlineLevel="1" x14ac:dyDescent="0.25">
      <c r="A248" s="845"/>
      <c r="B248" s="25">
        <f ca="1">MAX($A$1:B247)+0.1</f>
        <v>2.6000000000000005</v>
      </c>
      <c r="C248" s="9" t="str">
        <f>'1.3.Historical BS'!E65</f>
        <v>Other debts payable to the Treasury</v>
      </c>
      <c r="D248" s="10"/>
      <c r="G248" s="215"/>
      <c r="H248" s="311"/>
      <c r="I248" s="215"/>
      <c r="J248" s="323"/>
      <c r="K248" s="118"/>
      <c r="L248" s="118"/>
      <c r="M248" s="118"/>
      <c r="N248" s="118"/>
      <c r="O248" s="118"/>
      <c r="P248" s="118"/>
      <c r="Q248" s="118"/>
      <c r="R248" s="118"/>
      <c r="S248" s="118"/>
      <c r="T248" s="118"/>
      <c r="U248" s="118"/>
      <c r="V248" s="220">
        <f t="shared" si="299"/>
        <v>0</v>
      </c>
      <c r="W248" s="220">
        <f t="shared" si="300"/>
        <v>0</v>
      </c>
      <c r="X248" s="220">
        <f t="shared" si="301"/>
        <v>0</v>
      </c>
      <c r="Y248" s="122"/>
    </row>
    <row r="249" spans="1:25" ht="12" customHeight="1" outlineLevel="2" x14ac:dyDescent="0.25">
      <c r="A249" s="845"/>
      <c r="B249" s="25"/>
      <c r="E249" s="10" t="str">
        <f>'0.2.Parameters'!$F$147</f>
        <v>Salaries, wages and related costs</v>
      </c>
      <c r="G249" s="291" t="str">
        <f t="shared" ref="G249:G251" si="336">"EUR "&amp;Multiplier</f>
        <v>EUR thd</v>
      </c>
      <c r="H249" s="416">
        <f>'0.2.Parameters'!H172</f>
        <v>0</v>
      </c>
      <c r="I249" s="215"/>
      <c r="J249" s="107">
        <f>'3.1. Income Statement'!J$19</f>
        <v>163.79968602476174</v>
      </c>
      <c r="K249" s="107">
        <f>'3.1. Income Statement'!K$19</f>
        <v>204.84446487598782</v>
      </c>
      <c r="L249" s="107">
        <f>'3.1. Income Statement'!L$19</f>
        <v>232.32738798753627</v>
      </c>
      <c r="M249" s="107">
        <f>'3.1. Income Statement'!M$19</f>
        <v>249.53682413476119</v>
      </c>
      <c r="N249" s="107">
        <f>'3.1. Income Statement'!N$19</f>
        <v>280.08357329608538</v>
      </c>
      <c r="O249" s="107">
        <f>'3.1. Income Statement'!O$19</f>
        <v>294.0877519608897</v>
      </c>
      <c r="P249" s="107">
        <f>'3.1. Income Statement'!P$19</f>
        <v>308.7921395589342</v>
      </c>
      <c r="Q249" s="107">
        <f>'3.1. Income Statement'!Q$19</f>
        <v>324.23174653688091</v>
      </c>
      <c r="R249" s="107">
        <f>'3.1. Income Statement'!R$19</f>
        <v>340.44333386372494</v>
      </c>
      <c r="S249" s="341"/>
      <c r="T249" s="341"/>
      <c r="U249" s="118"/>
      <c r="V249" s="220">
        <f t="shared" si="299"/>
        <v>0.19095039391712287</v>
      </c>
      <c r="W249" s="220">
        <f t="shared" si="300"/>
        <v>7.4074074074074181E-2</v>
      </c>
      <c r="X249" s="220">
        <f t="shared" si="301"/>
        <v>7.3603365849039593E-2</v>
      </c>
      <c r="Y249" s="122"/>
    </row>
    <row r="250" spans="1:25" ht="12" customHeight="1" outlineLevel="2" x14ac:dyDescent="0.25">
      <c r="A250" s="845"/>
      <c r="B250" s="25"/>
      <c r="D250" s="12"/>
      <c r="E250" s="10" t="str">
        <f>'0.2.Parameters'!$F$148</f>
        <v>Other operating expenses</v>
      </c>
      <c r="F250" s="12"/>
      <c r="G250" s="291" t="str">
        <f t="shared" si="336"/>
        <v>EUR thd</v>
      </c>
      <c r="H250" s="416">
        <f>'0.2.Parameters'!H173</f>
        <v>1</v>
      </c>
      <c r="I250" s="215"/>
      <c r="J250" s="107">
        <f>'3.1. Income Statement'!J$23</f>
        <v>4839.3648971230068</v>
      </c>
      <c r="K250" s="107">
        <f>'3.1. Income Statement'!K$23</f>
        <v>8813.0766927168843</v>
      </c>
      <c r="L250" s="107">
        <f>'3.1. Income Statement'!L$23</f>
        <v>7247.4658515096162</v>
      </c>
      <c r="M250" s="107">
        <f>'3.1. Income Statement'!M$23</f>
        <v>10923.445812244656</v>
      </c>
      <c r="N250" s="107">
        <f>'3.1. Income Statement'!N$23</f>
        <v>11469.61810285689</v>
      </c>
      <c r="O250" s="107">
        <f>'3.1. Income Statement'!O$23</f>
        <v>12043.099007999732</v>
      </c>
      <c r="P250" s="107">
        <f>'3.1. Income Statement'!P$23</f>
        <v>12645.25395839972</v>
      </c>
      <c r="Q250" s="107">
        <f>'3.1. Income Statement'!Q$23</f>
        <v>13277.516656319709</v>
      </c>
      <c r="R250" s="107">
        <f>'3.1. Income Statement'!R$23</f>
        <v>13941.392489135693</v>
      </c>
      <c r="S250" s="341"/>
      <c r="T250" s="341"/>
      <c r="U250" s="118"/>
      <c r="V250" s="220">
        <f t="shared" si="299"/>
        <v>0.22376746780994239</v>
      </c>
      <c r="W250" s="220">
        <f t="shared" si="300"/>
        <v>0.50720900740351182</v>
      </c>
      <c r="X250" s="220">
        <f t="shared" si="301"/>
        <v>5.0000000000000044E-2</v>
      </c>
      <c r="Y250" s="122"/>
    </row>
    <row r="251" spans="1:25" ht="12" customHeight="1" outlineLevel="2" x14ac:dyDescent="0.25">
      <c r="A251" s="845"/>
      <c r="B251" s="25"/>
      <c r="D251" s="9" t="s">
        <v>93</v>
      </c>
      <c r="G251" s="310" t="str">
        <f t="shared" si="336"/>
        <v>EUR thd</v>
      </c>
      <c r="H251" s="417"/>
      <c r="I251" s="214"/>
      <c r="J251" s="216">
        <f>SUMIF($H249:$H250,1,J249:J250)</f>
        <v>4839.3648971230068</v>
      </c>
      <c r="K251" s="216">
        <f t="shared" ref="K251" si="337">SUMIF($H249:$H250,1,K249:K250)</f>
        <v>8813.0766927168843</v>
      </c>
      <c r="L251" s="216">
        <f t="shared" ref="L251" si="338">SUMIF($H249:$H250,1,L249:L250)</f>
        <v>7247.4658515096162</v>
      </c>
      <c r="M251" s="216">
        <f t="shared" ref="M251" si="339">SUMIF($H249:$H250,1,M249:M250)</f>
        <v>10923.445812244656</v>
      </c>
      <c r="N251" s="216">
        <f t="shared" ref="N251" si="340">SUMIF($H249:$H250,1,N249:N250)</f>
        <v>11469.61810285689</v>
      </c>
      <c r="O251" s="216">
        <f t="shared" ref="O251" si="341">SUMIF($H249:$H250,1,O249:O250)</f>
        <v>12043.099007999732</v>
      </c>
      <c r="P251" s="216">
        <f t="shared" ref="P251:R251" si="342">SUMIF($H249:$H250,1,P249:P250)</f>
        <v>12645.25395839972</v>
      </c>
      <c r="Q251" s="216">
        <f t="shared" si="342"/>
        <v>13277.516656319709</v>
      </c>
      <c r="R251" s="216">
        <f t="shared" si="342"/>
        <v>13941.392489135693</v>
      </c>
      <c r="S251" s="341"/>
      <c r="T251" s="341"/>
      <c r="U251" s="118"/>
      <c r="V251" s="220">
        <f t="shared" si="299"/>
        <v>0.22376746780994239</v>
      </c>
      <c r="W251" s="220">
        <f t="shared" si="300"/>
        <v>0.50720900740351182</v>
      </c>
      <c r="X251" s="220">
        <f t="shared" si="301"/>
        <v>5.0000000000000044E-2</v>
      </c>
      <c r="Y251" s="122"/>
    </row>
    <row r="252" spans="1:25" ht="12" customHeight="1" outlineLevel="2" x14ac:dyDescent="0.25">
      <c r="A252" s="845"/>
      <c r="B252" s="25"/>
      <c r="D252" s="10"/>
      <c r="G252" s="215"/>
      <c r="H252" s="417"/>
      <c r="I252" s="215"/>
      <c r="J252" s="108"/>
      <c r="K252" s="108"/>
      <c r="L252" s="108"/>
      <c r="M252" s="108"/>
      <c r="N252" s="108"/>
      <c r="O252" s="108"/>
      <c r="P252" s="108"/>
      <c r="Q252" s="108"/>
      <c r="R252" s="108"/>
      <c r="S252" s="341"/>
      <c r="T252" s="341"/>
      <c r="U252" s="118"/>
      <c r="V252" s="220">
        <f t="shared" si="299"/>
        <v>0</v>
      </c>
      <c r="W252" s="220">
        <f t="shared" si="300"/>
        <v>0</v>
      </c>
      <c r="X252" s="220">
        <f t="shared" si="301"/>
        <v>0</v>
      </c>
      <c r="Y252" s="122"/>
    </row>
    <row r="253" spans="1:25" s="6" customFormat="1" ht="12" customHeight="1" outlineLevel="2" x14ac:dyDescent="0.25">
      <c r="A253" s="845"/>
      <c r="B253" s="25"/>
      <c r="C253" s="9"/>
      <c r="D253" s="9" t="str">
        <f>"Closing balance "&amp;LOWER(C248)</f>
        <v>Closing balance other debts payable to the treasury</v>
      </c>
      <c r="G253" s="310" t="str">
        <f>"EUR "&amp;Multiplier</f>
        <v>EUR thd</v>
      </c>
      <c r="H253" s="417"/>
      <c r="I253" s="214"/>
      <c r="J253" s="312">
        <f>IF((J$4="Actual"),SUMIF('1.3.Historical BS'!$E$60:$E$67,$C248,'1.3.Historical BS'!O$60:O$67),"n/a")</f>
        <v>0</v>
      </c>
      <c r="K253" s="312">
        <f>IF((K$4="Actual"),SUMIF('1.3.Historical BS'!$E$60:$E$67,$C248,'1.3.Historical BS'!P$60:P$67),"n/a")</f>
        <v>0</v>
      </c>
      <c r="L253" s="312">
        <f>IF((L$4="Actual"),SUMIF('1.3.Historical BS'!$E$60:$E$67,$C248,'1.3.Historical BS'!Q$60:Q$67),"n/a")</f>
        <v>0</v>
      </c>
      <c r="M253" s="312" t="str">
        <f>IF((M$4="Actual"),SUMIF('1.3.Historical BS'!$E$60:$E$67,$C248,'1.3.Historical BS'!R$60:R$67),"n/a")</f>
        <v>n/a</v>
      </c>
      <c r="N253" s="312" t="str">
        <f>IF((N$4="Actual"),SUMIF('1.3.Historical BS'!$E$60:$E$67,$C248,'1.3.Historical BS'!S$60:S$67),"n/a")</f>
        <v>n/a</v>
      </c>
      <c r="O253" s="312" t="str">
        <f>IF((O$4="Actual"),SUMIF('1.3.Historical BS'!$E$60:$E$67,$C248,'1.3.Historical BS'!T$60:T$67),"n/a")</f>
        <v>n/a</v>
      </c>
      <c r="P253" s="312" t="str">
        <f>IF((P$4="Actual"),SUMIF('1.3.Historical BS'!$E$60:$E$67,$C248,'1.3.Historical BS'!U$60:U$67),"n/a")</f>
        <v>n/a</v>
      </c>
      <c r="Q253" s="312" t="str">
        <f>IF((Q$4="Actual"),SUMIF('1.3.Historical BS'!$E$60:$E$67,$C248,'1.3.Historical BS'!V$60:V$67),"n/a")</f>
        <v>n/a</v>
      </c>
      <c r="R253" s="312" t="str">
        <f>IF((R$4="Actual"),SUMIF('1.3.Historical BS'!$E$60:$E$67,$C248,'1.3.Historical BS'!W$60:W$67),"n/a")</f>
        <v>n/a</v>
      </c>
      <c r="S253" s="341"/>
      <c r="T253" s="341"/>
      <c r="U253" s="218"/>
      <c r="V253" s="220">
        <f t="shared" si="299"/>
        <v>0</v>
      </c>
      <c r="W253" s="220">
        <f t="shared" si="300"/>
        <v>0</v>
      </c>
      <c r="X253" s="220">
        <f t="shared" si="301"/>
        <v>0</v>
      </c>
      <c r="Y253" s="125"/>
    </row>
    <row r="254" spans="1:25" ht="12" customHeight="1" outlineLevel="2" x14ac:dyDescent="0.25">
      <c r="A254" s="845"/>
      <c r="B254" s="25"/>
      <c r="D254" s="10"/>
      <c r="G254" s="215"/>
      <c r="H254" s="417"/>
      <c r="I254" s="215"/>
      <c r="J254" s="108"/>
      <c r="K254" s="108"/>
      <c r="L254" s="108"/>
      <c r="M254" s="108"/>
      <c r="N254" s="108"/>
      <c r="O254" s="108"/>
      <c r="P254" s="108"/>
      <c r="Q254" s="108"/>
      <c r="R254" s="108"/>
      <c r="S254" s="341"/>
      <c r="T254" s="341"/>
      <c r="U254" s="118"/>
      <c r="V254" s="220">
        <f t="shared" si="299"/>
        <v>0</v>
      </c>
      <c r="W254" s="220">
        <f t="shared" si="300"/>
        <v>0</v>
      </c>
      <c r="X254" s="220">
        <f t="shared" si="301"/>
        <v>0</v>
      </c>
      <c r="Y254" s="122"/>
    </row>
    <row r="255" spans="1:25" s="6" customFormat="1" ht="12" customHeight="1" outlineLevel="2" x14ac:dyDescent="0.25">
      <c r="A255" s="845"/>
      <c r="B255" s="25"/>
      <c r="C255" s="9"/>
      <c r="D255" s="9" t="s">
        <v>92</v>
      </c>
      <c r="G255" s="214" t="s">
        <v>16</v>
      </c>
      <c r="H255" s="416" t="str">
        <f>'0.2.Parameters'!H174</f>
        <v>Average</v>
      </c>
      <c r="I255" s="313"/>
      <c r="J255" s="216">
        <f t="shared" ref="J255:P255" si="343">IF(ISERROR(J253/J251*(J$2-J$1+1)),"",J253/J251*(J$2-J$1+1))</f>
        <v>0</v>
      </c>
      <c r="K255" s="216">
        <f t="shared" si="343"/>
        <v>0</v>
      </c>
      <c r="L255" s="216">
        <f t="shared" si="343"/>
        <v>0</v>
      </c>
      <c r="M255" s="430" t="str">
        <f t="shared" ref="M255" si="344">IF(ISERROR(M253/M251*(M$2-M$1+1)),"",M253/M251*(M$2-M$1+1))</f>
        <v/>
      </c>
      <c r="N255" s="430" t="str">
        <f t="shared" si="343"/>
        <v/>
      </c>
      <c r="O255" s="430" t="str">
        <f t="shared" si="343"/>
        <v/>
      </c>
      <c r="P255" s="430" t="str">
        <f t="shared" si="343"/>
        <v/>
      </c>
      <c r="Q255" s="430" t="str">
        <f t="shared" ref="Q255:R255" si="345">IF(ISERROR(Q253/Q251*(Q$2-Q$1+1)),"",Q253/Q251*(Q$2-Q$1+1))</f>
        <v/>
      </c>
      <c r="R255" s="430" t="str">
        <f t="shared" si="345"/>
        <v/>
      </c>
      <c r="S255" s="341"/>
      <c r="T255" s="341"/>
      <c r="U255" s="218"/>
      <c r="V255" s="220">
        <f t="shared" si="299"/>
        <v>0</v>
      </c>
      <c r="W255" s="220">
        <f t="shared" si="300"/>
        <v>0</v>
      </c>
      <c r="X255" s="220">
        <f t="shared" si="301"/>
        <v>0</v>
      </c>
      <c r="Y255" s="125"/>
    </row>
    <row r="256" spans="1:25" s="13" customFormat="1" ht="12" customHeight="1" outlineLevel="3" x14ac:dyDescent="0.25">
      <c r="A256" s="850"/>
      <c r="B256" s="56"/>
      <c r="C256" s="43"/>
      <c r="F256" s="11" t="s">
        <v>135</v>
      </c>
      <c r="G256" s="314">
        <f>($F256=H255)*1</f>
        <v>0</v>
      </c>
      <c r="H256" s="417"/>
      <c r="I256" s="315"/>
      <c r="J256" s="223">
        <f>J255</f>
        <v>0</v>
      </c>
      <c r="K256" s="223">
        <f>K255</f>
        <v>0</v>
      </c>
      <c r="L256" s="223">
        <f>L255</f>
        <v>0</v>
      </c>
      <c r="M256" s="341"/>
      <c r="N256" s="341"/>
      <c r="O256" s="341"/>
      <c r="P256" s="341"/>
      <c r="Q256" s="341"/>
      <c r="R256" s="341"/>
      <c r="S256" s="341"/>
      <c r="T256" s="341"/>
      <c r="U256" s="225"/>
      <c r="V256" s="220">
        <f t="shared" si="299"/>
        <v>0</v>
      </c>
      <c r="W256" s="220">
        <f t="shared" si="300"/>
        <v>0</v>
      </c>
      <c r="X256" s="220">
        <f t="shared" si="301"/>
        <v>0</v>
      </c>
      <c r="Y256" s="126"/>
    </row>
    <row r="257" spans="1:25" s="13" customFormat="1" ht="12" customHeight="1" outlineLevel="3" x14ac:dyDescent="0.25">
      <c r="A257" s="850"/>
      <c r="B257" s="56"/>
      <c r="C257" s="43"/>
      <c r="F257" s="11" t="s">
        <v>116</v>
      </c>
      <c r="G257" s="316">
        <f>($F257=H255)*1</f>
        <v>1</v>
      </c>
      <c r="H257" s="311"/>
      <c r="I257" s="315"/>
      <c r="J257" s="223">
        <f>IF(ISERROR(AVERAGE($J255:J255)),"",AVERAGE($J255:J255))</f>
        <v>0</v>
      </c>
      <c r="K257" s="223">
        <f>IF(ISERROR(AVERAGE($J255:K255)),"",AVERAGE($J255:K255))</f>
        <v>0</v>
      </c>
      <c r="L257" s="223">
        <f>IF(ISERROR(AVERAGE($J255:L255)),"",AVERAGE($J255:L255))</f>
        <v>0</v>
      </c>
      <c r="M257" s="341"/>
      <c r="N257" s="341"/>
      <c r="O257" s="341"/>
      <c r="P257" s="341"/>
      <c r="Q257" s="341"/>
      <c r="R257" s="341"/>
      <c r="S257" s="341"/>
      <c r="T257" s="341"/>
      <c r="U257" s="225"/>
      <c r="V257" s="220">
        <f t="shared" si="299"/>
        <v>0</v>
      </c>
      <c r="W257" s="220">
        <f t="shared" si="300"/>
        <v>0</v>
      </c>
      <c r="X257" s="220">
        <f t="shared" si="301"/>
        <v>0</v>
      </c>
      <c r="Y257" s="126"/>
    </row>
    <row r="258" spans="1:25" s="13" customFormat="1" ht="12" customHeight="1" outlineLevel="3" x14ac:dyDescent="0.25">
      <c r="A258" s="850"/>
      <c r="B258" s="56"/>
      <c r="C258" s="43"/>
      <c r="F258" s="11" t="s">
        <v>118</v>
      </c>
      <c r="G258" s="316">
        <f>($F258=H255)*1</f>
        <v>0</v>
      </c>
      <c r="H258" s="311"/>
      <c r="I258" s="315"/>
      <c r="J258" s="223">
        <f>IF(ISERROR(MIN($J255:J255)),"",MIN($J255:J255))</f>
        <v>0</v>
      </c>
      <c r="K258" s="223">
        <f>IF(ISERROR(MIN($J255:K255)),"",MIN($J255:K255))</f>
        <v>0</v>
      </c>
      <c r="L258" s="223">
        <f>IF(ISERROR(MIN($J255:L255)),"",MIN($J255:L255))</f>
        <v>0</v>
      </c>
      <c r="M258" s="341"/>
      <c r="N258" s="341"/>
      <c r="O258" s="341"/>
      <c r="P258" s="341"/>
      <c r="Q258" s="341"/>
      <c r="R258" s="341"/>
      <c r="S258" s="341"/>
      <c r="T258" s="341"/>
      <c r="U258" s="225"/>
      <c r="V258" s="220">
        <f t="shared" si="299"/>
        <v>0</v>
      </c>
      <c r="W258" s="220">
        <f t="shared" si="300"/>
        <v>0</v>
      </c>
      <c r="X258" s="220">
        <f t="shared" si="301"/>
        <v>0</v>
      </c>
      <c r="Y258" s="126"/>
    </row>
    <row r="259" spans="1:25" s="13" customFormat="1" ht="12" customHeight="1" outlineLevel="3" x14ac:dyDescent="0.25">
      <c r="A259" s="850"/>
      <c r="B259" s="56"/>
      <c r="C259" s="43"/>
      <c r="F259" s="11" t="s">
        <v>117</v>
      </c>
      <c r="G259" s="317">
        <f>($F259=H255)*1</f>
        <v>0</v>
      </c>
      <c r="H259" s="311"/>
      <c r="I259" s="315"/>
      <c r="J259" s="223">
        <f>IF(ISERROR(MAX($J255:J255)),"",MAX($J255:J255))</f>
        <v>0</v>
      </c>
      <c r="K259" s="223">
        <f>IF(ISERROR(MAX($J255:K255)),"",MAX($J255:K255))</f>
        <v>0</v>
      </c>
      <c r="L259" s="223">
        <f>IF(ISERROR(MAX($J255:L255)),"",MAX($J255:L255))</f>
        <v>0</v>
      </c>
      <c r="M259" s="341"/>
      <c r="N259" s="341"/>
      <c r="O259" s="341"/>
      <c r="P259" s="341"/>
      <c r="Q259" s="341"/>
      <c r="R259" s="341"/>
      <c r="S259" s="341"/>
      <c r="T259" s="341"/>
      <c r="U259" s="225"/>
      <c r="V259" s="220">
        <f t="shared" si="299"/>
        <v>0</v>
      </c>
      <c r="W259" s="220">
        <f t="shared" si="300"/>
        <v>0</v>
      </c>
      <c r="X259" s="220">
        <f t="shared" si="301"/>
        <v>0</v>
      </c>
      <c r="Y259" s="126"/>
    </row>
    <row r="260" spans="1:25" ht="12" customHeight="1" outlineLevel="2" x14ac:dyDescent="0.25">
      <c r="A260" s="845"/>
      <c r="B260" s="25"/>
      <c r="E260" s="10" t="s">
        <v>91</v>
      </c>
      <c r="G260" s="215" t="s">
        <v>16</v>
      </c>
      <c r="H260" s="418">
        <v>0</v>
      </c>
      <c r="I260" s="318"/>
      <c r="J260" s="117" t="str">
        <f t="shared" ref="J260" si="346">IF(J$4="Estimate",SUMPRODUCT(I256:I259,$G256:$G259),IF(J$4="Forecast",I260,""))</f>
        <v/>
      </c>
      <c r="K260" s="117" t="str">
        <f t="shared" ref="K260" si="347">IF(K$4="Estimate",SUMPRODUCT(J256:J259,$G256:$G259),IF(K$4="Forecast",J260,""))</f>
        <v/>
      </c>
      <c r="L260" s="117" t="str">
        <f t="shared" ref="L260" si="348">IF(L$4="Estimate",SUMPRODUCT(K256:K259,$G256:$G259),IF(L$4="Forecast",K260,""))</f>
        <v/>
      </c>
      <c r="M260" s="117">
        <f>SUMPRODUCT(L256:L259,$G256:$G259)</f>
        <v>0</v>
      </c>
      <c r="N260" s="117">
        <f t="shared" ref="N260" si="349">IF(N$4="Estimate",SUMPRODUCT(M256:M259,$G256:$G259),IF(N$4="Forecast",M260,""))</f>
        <v>0</v>
      </c>
      <c r="O260" s="117">
        <f t="shared" ref="O260" si="350">IF(O$4="Estimate",SUMPRODUCT(N256:N259,$G256:$G259),IF(O$4="Forecast",N260,""))</f>
        <v>0</v>
      </c>
      <c r="P260" s="117">
        <f t="shared" ref="P260" si="351">IF(P$4="Estimate",SUMPRODUCT(O256:O259,$G256:$G259),IF(P$4="Forecast",O260,""))</f>
        <v>0</v>
      </c>
      <c r="Q260" s="117">
        <f t="shared" ref="Q260" si="352">IF(Q$4="Estimate",SUMPRODUCT(P256:P259,$G256:$G259),IF(Q$4="Forecast",P260,""))</f>
        <v>0</v>
      </c>
      <c r="R260" s="117">
        <f t="shared" ref="R260" si="353">IF(R$4="Estimate",SUMPRODUCT(Q256:Q259,$G256:$G259),IF(R$4="Forecast",Q260,""))</f>
        <v>0</v>
      </c>
      <c r="S260" s="341"/>
      <c r="T260" s="341"/>
      <c r="U260" s="118"/>
      <c r="V260" s="220">
        <f t="shared" si="299"/>
        <v>0</v>
      </c>
      <c r="W260" s="220">
        <f t="shared" si="300"/>
        <v>0</v>
      </c>
      <c r="X260" s="220">
        <f t="shared" si="301"/>
        <v>0</v>
      </c>
      <c r="Y260" s="122"/>
    </row>
    <row r="261" spans="1:25" ht="12" customHeight="1" outlineLevel="2" x14ac:dyDescent="0.25">
      <c r="A261" s="845"/>
      <c r="B261" s="25"/>
      <c r="D261" s="9" t="s">
        <v>90</v>
      </c>
      <c r="G261" s="214" t="s">
        <v>16</v>
      </c>
      <c r="H261" s="311"/>
      <c r="I261" s="214"/>
      <c r="J261" s="319">
        <f>SUM(J255,J260)</f>
        <v>0</v>
      </c>
      <c r="K261" s="319">
        <f t="shared" ref="K261" si="354">SUM(K255,K260)</f>
        <v>0</v>
      </c>
      <c r="L261" s="319">
        <f t="shared" ref="L261" si="355">SUM(L255,L260)</f>
        <v>0</v>
      </c>
      <c r="M261" s="319">
        <f t="shared" ref="M261" si="356">SUM(M255,M260)</f>
        <v>0</v>
      </c>
      <c r="N261" s="319">
        <f t="shared" ref="N261" si="357">SUM(N255,N260)</f>
        <v>0</v>
      </c>
      <c r="O261" s="319">
        <f t="shared" ref="O261" si="358">SUM(O255,O260)</f>
        <v>0</v>
      </c>
      <c r="P261" s="319">
        <f t="shared" ref="P261:R261" si="359">SUM(P255,P260)</f>
        <v>0</v>
      </c>
      <c r="Q261" s="319">
        <f t="shared" si="359"/>
        <v>0</v>
      </c>
      <c r="R261" s="319">
        <f t="shared" si="359"/>
        <v>0</v>
      </c>
      <c r="S261" s="341"/>
      <c r="T261" s="341"/>
      <c r="U261" s="118"/>
      <c r="V261" s="220">
        <f t="shared" si="299"/>
        <v>0</v>
      </c>
      <c r="W261" s="220">
        <f t="shared" si="300"/>
        <v>0</v>
      </c>
      <c r="X261" s="220">
        <f t="shared" si="301"/>
        <v>0</v>
      </c>
      <c r="Y261" s="122"/>
    </row>
    <row r="262" spans="1:25" ht="12" customHeight="1" outlineLevel="2" x14ac:dyDescent="0.25">
      <c r="A262" s="845"/>
      <c r="B262" s="25"/>
      <c r="D262" s="10"/>
      <c r="G262" s="215"/>
      <c r="H262" s="311"/>
      <c r="I262" s="215"/>
      <c r="J262" s="108"/>
      <c r="K262" s="108"/>
      <c r="L262" s="108"/>
      <c r="M262" s="70"/>
      <c r="N262" s="70"/>
      <c r="O262" s="70"/>
      <c r="P262" s="70"/>
      <c r="Q262" s="70"/>
      <c r="R262" s="70"/>
      <c r="S262" s="341"/>
      <c r="T262" s="341"/>
      <c r="U262" s="118"/>
      <c r="V262" s="220">
        <f t="shared" si="299"/>
        <v>0</v>
      </c>
      <c r="W262" s="220">
        <f t="shared" si="300"/>
        <v>0</v>
      </c>
      <c r="X262" s="220">
        <f t="shared" si="301"/>
        <v>0</v>
      </c>
      <c r="Y262" s="122"/>
    </row>
    <row r="263" spans="1:25" ht="12" customHeight="1" outlineLevel="1" x14ac:dyDescent="0.25">
      <c r="B263" s="25"/>
      <c r="D263" s="74" t="str">
        <f>D253</f>
        <v>Closing balance other debts payable to the treasury</v>
      </c>
      <c r="E263" s="50"/>
      <c r="F263" s="50"/>
      <c r="G263" s="320" t="str">
        <f>"EUR "&amp;Multiplier</f>
        <v>EUR thd</v>
      </c>
      <c r="H263" s="321"/>
      <c r="I263" s="322"/>
      <c r="J263" s="227">
        <f t="shared" ref="J263:P263" si="360">J261/(J$2-J$1+1)*J251</f>
        <v>0</v>
      </c>
      <c r="K263" s="227">
        <f t="shared" si="360"/>
        <v>0</v>
      </c>
      <c r="L263" s="227">
        <f t="shared" si="360"/>
        <v>0</v>
      </c>
      <c r="M263" s="227">
        <f t="shared" si="360"/>
        <v>0</v>
      </c>
      <c r="N263" s="227">
        <f t="shared" si="360"/>
        <v>0</v>
      </c>
      <c r="O263" s="227">
        <f t="shared" si="360"/>
        <v>0</v>
      </c>
      <c r="P263" s="227">
        <f t="shared" si="360"/>
        <v>0</v>
      </c>
      <c r="Q263" s="227">
        <f t="shared" ref="Q263:R263" si="361">Q261/(Q$2-Q$1+1)*Q251</f>
        <v>0</v>
      </c>
      <c r="R263" s="227">
        <f t="shared" si="361"/>
        <v>0</v>
      </c>
      <c r="S263" s="341"/>
      <c r="T263" s="341"/>
      <c r="U263" s="118"/>
      <c r="V263" s="220">
        <f t="shared" si="299"/>
        <v>0</v>
      </c>
      <c r="W263" s="220">
        <f t="shared" si="300"/>
        <v>0</v>
      </c>
      <c r="X263" s="220">
        <f t="shared" si="301"/>
        <v>0</v>
      </c>
      <c r="Y263" s="122"/>
    </row>
    <row r="264" spans="1:25" ht="12" customHeight="1" outlineLevel="1" x14ac:dyDescent="0.25">
      <c r="G264" s="215"/>
      <c r="H264" s="215"/>
      <c r="I264" s="215"/>
      <c r="J264" s="118"/>
      <c r="K264" s="118"/>
      <c r="L264" s="118"/>
      <c r="M264" s="118"/>
      <c r="N264" s="118"/>
      <c r="O264" s="118"/>
      <c r="P264" s="118"/>
      <c r="Q264" s="118"/>
      <c r="R264" s="118"/>
      <c r="S264" s="118"/>
      <c r="T264" s="118"/>
      <c r="U264" s="118"/>
      <c r="V264" s="220">
        <f t="shared" si="299"/>
        <v>0</v>
      </c>
      <c r="W264" s="220">
        <f t="shared" si="300"/>
        <v>0</v>
      </c>
      <c r="X264" s="220">
        <f t="shared" si="301"/>
        <v>0</v>
      </c>
    </row>
    <row r="265" spans="1:25" ht="12" customHeight="1" outlineLevel="1" x14ac:dyDescent="0.25">
      <c r="B265" s="25">
        <f ca="1">MAX($A$1:B264)+0.1</f>
        <v>2.7000000000000006</v>
      </c>
      <c r="C265" s="9" t="str">
        <f>'1.3.Historical BS'!E66</f>
        <v>Shareholders/ associates - current accounts</v>
      </c>
      <c r="D265" s="10"/>
      <c r="G265" s="215"/>
      <c r="H265" s="311"/>
      <c r="I265" s="215"/>
      <c r="J265" s="323"/>
      <c r="K265" s="118"/>
      <c r="L265" s="118"/>
      <c r="M265" s="118"/>
      <c r="N265" s="118"/>
      <c r="O265" s="118"/>
      <c r="P265" s="118"/>
      <c r="Q265" s="118"/>
      <c r="R265" s="118"/>
      <c r="S265" s="118"/>
      <c r="T265" s="118"/>
      <c r="U265" s="118"/>
      <c r="V265" s="220">
        <f t="shared" si="299"/>
        <v>0</v>
      </c>
      <c r="W265" s="220">
        <f t="shared" si="300"/>
        <v>0</v>
      </c>
      <c r="X265" s="220">
        <f t="shared" si="301"/>
        <v>0</v>
      </c>
      <c r="Y265" s="122"/>
    </row>
    <row r="266" spans="1:25" ht="12" customHeight="1" outlineLevel="2" x14ac:dyDescent="0.25">
      <c r="A266" s="845"/>
      <c r="B266" s="25"/>
      <c r="E266" s="10" t="str">
        <f>'0.2.Parameters'!$F$147</f>
        <v>Salaries, wages and related costs</v>
      </c>
      <c r="G266" s="291" t="str">
        <f t="shared" ref="G266:G268" si="362">"EUR "&amp;Multiplier</f>
        <v>EUR thd</v>
      </c>
      <c r="H266" s="416">
        <f>'0.2.Parameters'!H177</f>
        <v>0</v>
      </c>
      <c r="I266" s="215"/>
      <c r="J266" s="107">
        <f>'3.1. Income Statement'!J$19</f>
        <v>163.79968602476174</v>
      </c>
      <c r="K266" s="107">
        <f>'3.1. Income Statement'!K$19</f>
        <v>204.84446487598782</v>
      </c>
      <c r="L266" s="107">
        <f>'3.1. Income Statement'!L$19</f>
        <v>232.32738798753627</v>
      </c>
      <c r="M266" s="107">
        <f>'3.1. Income Statement'!M$19</f>
        <v>249.53682413476119</v>
      </c>
      <c r="N266" s="107">
        <f>'3.1. Income Statement'!N$19</f>
        <v>280.08357329608538</v>
      </c>
      <c r="O266" s="107">
        <f>'3.1. Income Statement'!O$19</f>
        <v>294.0877519608897</v>
      </c>
      <c r="P266" s="107">
        <f>'3.1. Income Statement'!P$19</f>
        <v>308.7921395589342</v>
      </c>
      <c r="Q266" s="107">
        <f>'3.1. Income Statement'!Q$19</f>
        <v>324.23174653688091</v>
      </c>
      <c r="R266" s="107">
        <f>'3.1. Income Statement'!R$19</f>
        <v>340.44333386372494</v>
      </c>
      <c r="S266" s="341"/>
      <c r="T266" s="341"/>
      <c r="U266" s="118"/>
      <c r="V266" s="220">
        <f t="shared" si="299"/>
        <v>0.19095039391712287</v>
      </c>
      <c r="W266" s="220">
        <f t="shared" si="300"/>
        <v>7.4074074074074181E-2</v>
      </c>
      <c r="X266" s="220">
        <f t="shared" si="301"/>
        <v>7.3603365849039593E-2</v>
      </c>
      <c r="Y266" s="122"/>
    </row>
    <row r="267" spans="1:25" ht="12" customHeight="1" outlineLevel="2" x14ac:dyDescent="0.25">
      <c r="A267" s="845"/>
      <c r="B267" s="25"/>
      <c r="D267" s="12"/>
      <c r="E267" s="10" t="str">
        <f>'0.2.Parameters'!$F$148</f>
        <v>Other operating expenses</v>
      </c>
      <c r="F267" s="12"/>
      <c r="G267" s="291" t="str">
        <f t="shared" si="362"/>
        <v>EUR thd</v>
      </c>
      <c r="H267" s="416">
        <f>'0.2.Parameters'!H178</f>
        <v>1</v>
      </c>
      <c r="I267" s="215"/>
      <c r="J267" s="107">
        <f>'3.1. Income Statement'!J$23</f>
        <v>4839.3648971230068</v>
      </c>
      <c r="K267" s="107">
        <f>'3.1. Income Statement'!K$23</f>
        <v>8813.0766927168843</v>
      </c>
      <c r="L267" s="107">
        <f>'3.1. Income Statement'!L$23</f>
        <v>7247.4658515096162</v>
      </c>
      <c r="M267" s="107">
        <f>'3.1. Income Statement'!M$23</f>
        <v>10923.445812244656</v>
      </c>
      <c r="N267" s="107">
        <f>'3.1. Income Statement'!N$23</f>
        <v>11469.61810285689</v>
      </c>
      <c r="O267" s="107">
        <f>'3.1. Income Statement'!O$23</f>
        <v>12043.099007999732</v>
      </c>
      <c r="P267" s="107">
        <f>'3.1. Income Statement'!P$23</f>
        <v>12645.25395839972</v>
      </c>
      <c r="Q267" s="107">
        <f>'3.1. Income Statement'!Q$23</f>
        <v>13277.516656319709</v>
      </c>
      <c r="R267" s="107">
        <f>'3.1. Income Statement'!R$23</f>
        <v>13941.392489135693</v>
      </c>
      <c r="S267" s="341"/>
      <c r="T267" s="341"/>
      <c r="U267" s="118"/>
      <c r="V267" s="220">
        <f t="shared" si="299"/>
        <v>0.22376746780994239</v>
      </c>
      <c r="W267" s="220">
        <f t="shared" si="300"/>
        <v>0.50720900740351182</v>
      </c>
      <c r="X267" s="220">
        <f t="shared" si="301"/>
        <v>5.0000000000000044E-2</v>
      </c>
      <c r="Y267" s="122"/>
    </row>
    <row r="268" spans="1:25" ht="12" customHeight="1" outlineLevel="2" x14ac:dyDescent="0.25">
      <c r="A268" s="845"/>
      <c r="B268" s="25"/>
      <c r="D268" s="9" t="s">
        <v>93</v>
      </c>
      <c r="G268" s="310" t="str">
        <f t="shared" si="362"/>
        <v>EUR thd</v>
      </c>
      <c r="H268" s="417"/>
      <c r="I268" s="214"/>
      <c r="J268" s="216">
        <f>SUMIF($H266:$H267,1,J266:J267)</f>
        <v>4839.3648971230068</v>
      </c>
      <c r="K268" s="216">
        <f t="shared" ref="K268" si="363">SUMIF($H266:$H267,1,K266:K267)</f>
        <v>8813.0766927168843</v>
      </c>
      <c r="L268" s="216">
        <f t="shared" ref="L268" si="364">SUMIF($H266:$H267,1,L266:L267)</f>
        <v>7247.4658515096162</v>
      </c>
      <c r="M268" s="216">
        <f t="shared" ref="M268" si="365">SUMIF($H266:$H267,1,M266:M267)</f>
        <v>10923.445812244656</v>
      </c>
      <c r="N268" s="216">
        <f t="shared" ref="N268" si="366">SUMIF($H266:$H267,1,N266:N267)</f>
        <v>11469.61810285689</v>
      </c>
      <c r="O268" s="216">
        <f t="shared" ref="O268" si="367">SUMIF($H266:$H267,1,O266:O267)</f>
        <v>12043.099007999732</v>
      </c>
      <c r="P268" s="216">
        <f t="shared" ref="P268:R268" si="368">SUMIF($H266:$H267,1,P266:P267)</f>
        <v>12645.25395839972</v>
      </c>
      <c r="Q268" s="216">
        <f t="shared" si="368"/>
        <v>13277.516656319709</v>
      </c>
      <c r="R268" s="216">
        <f t="shared" si="368"/>
        <v>13941.392489135693</v>
      </c>
      <c r="S268" s="341"/>
      <c r="T268" s="341"/>
      <c r="U268" s="118"/>
      <c r="V268" s="220">
        <f t="shared" si="299"/>
        <v>0.22376746780994239</v>
      </c>
      <c r="W268" s="220">
        <f t="shared" si="300"/>
        <v>0.50720900740351182</v>
      </c>
      <c r="X268" s="220">
        <f t="shared" si="301"/>
        <v>5.0000000000000044E-2</v>
      </c>
      <c r="Y268" s="122"/>
    </row>
    <row r="269" spans="1:25" ht="12" customHeight="1" outlineLevel="2" x14ac:dyDescent="0.25">
      <c r="A269" s="845"/>
      <c r="B269" s="25"/>
      <c r="D269" s="10"/>
      <c r="G269" s="215"/>
      <c r="H269" s="417"/>
      <c r="I269" s="215"/>
      <c r="J269" s="108"/>
      <c r="K269" s="108"/>
      <c r="L269" s="108"/>
      <c r="M269" s="108"/>
      <c r="N269" s="108"/>
      <c r="O269" s="108"/>
      <c r="P269" s="108"/>
      <c r="Q269" s="108"/>
      <c r="R269" s="108"/>
      <c r="S269" s="341"/>
      <c r="T269" s="341"/>
      <c r="U269" s="118"/>
      <c r="V269" s="220">
        <f t="shared" si="299"/>
        <v>0</v>
      </c>
      <c r="W269" s="220">
        <f t="shared" si="300"/>
        <v>0</v>
      </c>
      <c r="X269" s="220">
        <f t="shared" si="301"/>
        <v>0</v>
      </c>
      <c r="Y269" s="122"/>
    </row>
    <row r="270" spans="1:25" s="6" customFormat="1" ht="12" customHeight="1" outlineLevel="2" x14ac:dyDescent="0.25">
      <c r="A270" s="845"/>
      <c r="B270" s="25"/>
      <c r="C270" s="9"/>
      <c r="D270" s="9" t="str">
        <f>"Closing balance "&amp;LOWER(C265)</f>
        <v>Closing balance shareholders/ associates - current accounts</v>
      </c>
      <c r="G270" s="310" t="str">
        <f>"EUR "&amp;Multiplier</f>
        <v>EUR thd</v>
      </c>
      <c r="H270" s="417"/>
      <c r="I270" s="214"/>
      <c r="J270" s="312">
        <f>IF((J$4="Actual"),SUMIF('1.3.Historical BS'!$E$60:$E$67,$C265,'1.3.Historical BS'!O$60:O$67),"n/a")</f>
        <v>30.829534694237079</v>
      </c>
      <c r="K270" s="312">
        <f>IF((K$4="Actual"),SUMIF('1.3.Historical BS'!$E$60:$E$67,$C265,'1.3.Historical BS'!P$60:P$67),"n/a")</f>
        <v>56.474021932742446</v>
      </c>
      <c r="L270" s="312">
        <f>IF((L$4="Actual"),SUMIF('1.3.Historical BS'!$E$60:$E$67,$C265,'1.3.Historical BS'!Q$60:Q$67),"n/a")</f>
        <v>33.379397071120742</v>
      </c>
      <c r="M270" s="312" t="str">
        <f>IF((M$4="Actual"),SUMIF('1.3.Historical BS'!$E$60:$E$67,$C265,'1.3.Historical BS'!R$60:R$67),"n/a")</f>
        <v>n/a</v>
      </c>
      <c r="N270" s="312" t="str">
        <f>IF((N$4="Actual"),SUMIF('1.3.Historical BS'!$E$60:$E$67,$C265,'1.3.Historical BS'!S$60:S$67),"n/a")</f>
        <v>n/a</v>
      </c>
      <c r="O270" s="312" t="str">
        <f>IF((O$4="Actual"),SUMIF('1.3.Historical BS'!$E$60:$E$67,$C265,'1.3.Historical BS'!T$60:T$67),"n/a")</f>
        <v>n/a</v>
      </c>
      <c r="P270" s="312" t="str">
        <f>IF((P$4="Actual"),SUMIF('1.3.Historical BS'!$E$60:$E$67,$C265,'1.3.Historical BS'!U$60:U$67),"n/a")</f>
        <v>n/a</v>
      </c>
      <c r="Q270" s="312" t="str">
        <f>IF((Q$4="Actual"),SUMIF('1.3.Historical BS'!$E$60:$E$67,$C265,'1.3.Historical BS'!V$60:V$67),"n/a")</f>
        <v>n/a</v>
      </c>
      <c r="R270" s="312" t="str">
        <f>IF((R$4="Actual"),SUMIF('1.3.Historical BS'!$E$60:$E$67,$C265,'1.3.Historical BS'!W$60:W$67),"n/a")</f>
        <v>n/a</v>
      </c>
      <c r="S270" s="341"/>
      <c r="T270" s="341"/>
      <c r="U270" s="218"/>
      <c r="V270" s="220">
        <f t="shared" si="299"/>
        <v>4.0532762028548497E-2</v>
      </c>
      <c r="W270" s="220">
        <f t="shared" si="300"/>
        <v>0</v>
      </c>
      <c r="X270" s="220">
        <f t="shared" si="301"/>
        <v>0</v>
      </c>
      <c r="Y270" s="125"/>
    </row>
    <row r="271" spans="1:25" ht="12" customHeight="1" outlineLevel="2" x14ac:dyDescent="0.25">
      <c r="A271" s="845"/>
      <c r="B271" s="25"/>
      <c r="D271" s="10"/>
      <c r="G271" s="215"/>
      <c r="H271" s="417"/>
      <c r="I271" s="215"/>
      <c r="J271" s="108"/>
      <c r="K271" s="108"/>
      <c r="L271" s="108"/>
      <c r="M271" s="108"/>
      <c r="N271" s="108"/>
      <c r="O271" s="108"/>
      <c r="P271" s="108"/>
      <c r="Q271" s="108"/>
      <c r="R271" s="108"/>
      <c r="S271" s="341"/>
      <c r="T271" s="341"/>
      <c r="U271" s="118"/>
      <c r="V271" s="220">
        <f t="shared" si="299"/>
        <v>0</v>
      </c>
      <c r="W271" s="220">
        <f t="shared" si="300"/>
        <v>0</v>
      </c>
      <c r="X271" s="220">
        <f t="shared" si="301"/>
        <v>0</v>
      </c>
      <c r="Y271" s="122"/>
    </row>
    <row r="272" spans="1:25" s="6" customFormat="1" ht="12" customHeight="1" outlineLevel="2" x14ac:dyDescent="0.25">
      <c r="A272" s="845"/>
      <c r="B272" s="25"/>
      <c r="C272" s="9"/>
      <c r="D272" s="9" t="s">
        <v>92</v>
      </c>
      <c r="G272" s="214" t="s">
        <v>16</v>
      </c>
      <c r="H272" s="416" t="str">
        <f>'0.2.Parameters'!H179</f>
        <v>Average</v>
      </c>
      <c r="I272" s="313"/>
      <c r="J272" s="216">
        <f t="shared" ref="J272:P272" si="369">IF(ISERROR(J270/J268*(J$2-J$1+1)),"",J270/J268*(J$2-J$1+1))</f>
        <v>2.3316302733854299</v>
      </c>
      <c r="K272" s="216">
        <f t="shared" si="369"/>
        <v>2.3389128137833595</v>
      </c>
      <c r="L272" s="216">
        <f t="shared" si="369"/>
        <v>1.6810675870133702</v>
      </c>
      <c r="M272" s="430" t="str">
        <f t="shared" ref="M272" si="370">IF(ISERROR(M270/M268*(M$2-M$1+1)),"",M270/M268*(M$2-M$1+1))</f>
        <v/>
      </c>
      <c r="N272" s="430" t="str">
        <f t="shared" si="369"/>
        <v/>
      </c>
      <c r="O272" s="430" t="str">
        <f t="shared" si="369"/>
        <v/>
      </c>
      <c r="P272" s="430" t="str">
        <f t="shared" si="369"/>
        <v/>
      </c>
      <c r="Q272" s="430" t="str">
        <f t="shared" ref="Q272:R272" si="371">IF(ISERROR(Q270/Q268*(Q$2-Q$1+1)),"",Q270/Q268*(Q$2-Q$1+1))</f>
        <v/>
      </c>
      <c r="R272" s="430" t="str">
        <f t="shared" si="371"/>
        <v/>
      </c>
      <c r="S272" s="341"/>
      <c r="T272" s="341"/>
      <c r="U272" s="218"/>
      <c r="V272" s="220">
        <f t="shared" si="299"/>
        <v>-0.15089236785313476</v>
      </c>
      <c r="W272" s="220">
        <f t="shared" si="300"/>
        <v>0</v>
      </c>
      <c r="X272" s="220">
        <f t="shared" si="301"/>
        <v>0</v>
      </c>
      <c r="Y272" s="125"/>
    </row>
    <row r="273" spans="1:25" s="13" customFormat="1" ht="12" customHeight="1" outlineLevel="3" x14ac:dyDescent="0.25">
      <c r="A273" s="850"/>
      <c r="B273" s="56"/>
      <c r="C273" s="43"/>
      <c r="F273" s="11" t="s">
        <v>135</v>
      </c>
      <c r="G273" s="314">
        <f>($F273=H272)*1</f>
        <v>0</v>
      </c>
      <c r="H273" s="311"/>
      <c r="I273" s="315"/>
      <c r="J273" s="223">
        <f>J272</f>
        <v>2.3316302733854299</v>
      </c>
      <c r="K273" s="223">
        <f>K272</f>
        <v>2.3389128137833595</v>
      </c>
      <c r="L273" s="223">
        <f>L272</f>
        <v>1.6810675870133702</v>
      </c>
      <c r="M273" s="341"/>
      <c r="N273" s="341"/>
      <c r="O273" s="341"/>
      <c r="P273" s="341"/>
      <c r="Q273" s="341"/>
      <c r="R273" s="341"/>
      <c r="S273" s="341"/>
      <c r="T273" s="341"/>
      <c r="U273" s="225"/>
      <c r="V273" s="220">
        <f t="shared" si="299"/>
        <v>-0.15089236785313476</v>
      </c>
      <c r="W273" s="220">
        <f t="shared" si="300"/>
        <v>-1</v>
      </c>
      <c r="X273" s="220">
        <f t="shared" si="301"/>
        <v>0</v>
      </c>
      <c r="Y273" s="126"/>
    </row>
    <row r="274" spans="1:25" s="13" customFormat="1" ht="12" customHeight="1" outlineLevel="3" x14ac:dyDescent="0.25">
      <c r="A274" s="850"/>
      <c r="B274" s="56"/>
      <c r="C274" s="43"/>
      <c r="F274" s="11" t="s">
        <v>116</v>
      </c>
      <c r="G274" s="316">
        <f>($F274=H272)*1</f>
        <v>1</v>
      </c>
      <c r="H274" s="311"/>
      <c r="I274" s="315"/>
      <c r="J274" s="223">
        <f>IF(ISERROR(AVERAGE($J272:J272)),"",AVERAGE($J272:J272))</f>
        <v>2.3316302733854299</v>
      </c>
      <c r="K274" s="223">
        <f>IF(ISERROR(AVERAGE($J272:K272)),"",AVERAGE($J272:K272))</f>
        <v>2.3352715435843949</v>
      </c>
      <c r="L274" s="223">
        <f>IF(ISERROR(AVERAGE($J272:L272)),"",AVERAGE($J272:L272))</f>
        <v>2.1172035580607198</v>
      </c>
      <c r="M274" s="341"/>
      <c r="N274" s="341"/>
      <c r="O274" s="341"/>
      <c r="P274" s="341"/>
      <c r="Q274" s="341"/>
      <c r="R274" s="341"/>
      <c r="S274" s="341"/>
      <c r="T274" s="341"/>
      <c r="U274" s="225"/>
      <c r="V274" s="220">
        <f t="shared" si="299"/>
        <v>-4.7090920845534678E-2</v>
      </c>
      <c r="W274" s="220">
        <f t="shared" si="300"/>
        <v>-1</v>
      </c>
      <c r="X274" s="220">
        <f t="shared" si="301"/>
        <v>0</v>
      </c>
    </row>
    <row r="275" spans="1:25" s="13" customFormat="1" ht="12" customHeight="1" outlineLevel="3" x14ac:dyDescent="0.25">
      <c r="A275" s="850"/>
      <c r="B275" s="56"/>
      <c r="C275" s="43"/>
      <c r="F275" s="11" t="s">
        <v>118</v>
      </c>
      <c r="G275" s="316">
        <f>($F275=H272)*1</f>
        <v>0</v>
      </c>
      <c r="H275" s="311"/>
      <c r="I275" s="315"/>
      <c r="J275" s="223">
        <f>IF(ISERROR(MIN($J272:J272)),"",MIN($J272:J272))</f>
        <v>2.3316302733854299</v>
      </c>
      <c r="K275" s="223">
        <f>IF(ISERROR(MIN($J272:K272)),"",MIN($J272:K272))</f>
        <v>2.3316302733854299</v>
      </c>
      <c r="L275" s="223">
        <f>IF(ISERROR(MIN($J272:L272)),"",MIN($J272:L272))</f>
        <v>1.6810675870133702</v>
      </c>
      <c r="M275" s="341"/>
      <c r="N275" s="341"/>
      <c r="O275" s="341"/>
      <c r="P275" s="341"/>
      <c r="Q275" s="341"/>
      <c r="R275" s="341"/>
      <c r="S275" s="341"/>
      <c r="T275" s="341"/>
      <c r="U275" s="225"/>
      <c r="V275" s="220">
        <f t="shared" si="299"/>
        <v>-0.15089236785313476</v>
      </c>
      <c r="W275" s="220">
        <f t="shared" si="300"/>
        <v>-1</v>
      </c>
      <c r="X275" s="220">
        <f t="shared" si="301"/>
        <v>0</v>
      </c>
      <c r="Y275" s="126"/>
    </row>
    <row r="276" spans="1:25" s="13" customFormat="1" ht="12" customHeight="1" outlineLevel="3" x14ac:dyDescent="0.25">
      <c r="A276" s="850"/>
      <c r="B276" s="56"/>
      <c r="C276" s="43"/>
      <c r="F276" s="11" t="s">
        <v>117</v>
      </c>
      <c r="G276" s="317">
        <f>($F276=H272)*1</f>
        <v>0</v>
      </c>
      <c r="H276" s="311"/>
      <c r="I276" s="315"/>
      <c r="J276" s="223">
        <f>IF(ISERROR(MAX($J272:J272)),"",MAX($J272:J272))</f>
        <v>2.3316302733854299</v>
      </c>
      <c r="K276" s="223">
        <f>IF(ISERROR(MAX($J272:K272)),"",MAX($J272:K272))</f>
        <v>2.3389128137833595</v>
      </c>
      <c r="L276" s="223">
        <f>IF(ISERROR(MAX($J272:L272)),"",MAX($J272:L272))</f>
        <v>2.3389128137833595</v>
      </c>
      <c r="M276" s="341"/>
      <c r="N276" s="341"/>
      <c r="O276" s="341"/>
      <c r="P276" s="341"/>
      <c r="Q276" s="341"/>
      <c r="R276" s="341"/>
      <c r="S276" s="341"/>
      <c r="T276" s="341"/>
      <c r="U276" s="225"/>
      <c r="V276" s="220">
        <f t="shared" si="299"/>
        <v>1.5604666893445085E-3</v>
      </c>
      <c r="W276" s="220">
        <f t="shared" si="300"/>
        <v>-1</v>
      </c>
      <c r="X276" s="220">
        <f t="shared" si="301"/>
        <v>0</v>
      </c>
      <c r="Y276" s="126"/>
    </row>
    <row r="277" spans="1:25" ht="12" customHeight="1" outlineLevel="2" x14ac:dyDescent="0.25">
      <c r="A277" s="845"/>
      <c r="B277" s="25"/>
      <c r="E277" s="10" t="s">
        <v>91</v>
      </c>
      <c r="G277" s="215" t="s">
        <v>16</v>
      </c>
      <c r="H277" s="418">
        <v>0</v>
      </c>
      <c r="I277" s="318"/>
      <c r="J277" s="117" t="str">
        <f t="shared" ref="J277" si="372">IF(J$4="Estimate",SUMPRODUCT(I273:I276,$G273:$G276),IF(J$4="Forecast",I277,""))</f>
        <v/>
      </c>
      <c r="K277" s="117" t="str">
        <f t="shared" ref="K277" si="373">IF(K$4="Estimate",SUMPRODUCT(J273:J276,$G273:$G276),IF(K$4="Forecast",J277,""))</f>
        <v/>
      </c>
      <c r="L277" s="117" t="str">
        <f t="shared" ref="L277" si="374">IF(L$4="Estimate",SUMPRODUCT(K273:K276,$G273:$G276),IF(L$4="Forecast",K277,""))</f>
        <v/>
      </c>
      <c r="M277" s="117">
        <f>SUMPRODUCT(L273:L276,$G273:$G276)</f>
        <v>2.1172035580607198</v>
      </c>
      <c r="N277" s="117">
        <f t="shared" ref="N277" si="375">IF(N$4="Estimate",SUMPRODUCT(M273:M276,$G273:$G276),IF(N$4="Forecast",M277,""))</f>
        <v>2.1172035580607198</v>
      </c>
      <c r="O277" s="117">
        <f t="shared" ref="O277" si="376">IF(O$4="Estimate",SUMPRODUCT(N273:N276,$G273:$G276),IF(O$4="Forecast",N277,""))</f>
        <v>2.1172035580607198</v>
      </c>
      <c r="P277" s="117">
        <f t="shared" ref="P277" si="377">IF(P$4="Estimate",SUMPRODUCT(O273:O276,$G273:$G276),IF(P$4="Forecast",O277,""))</f>
        <v>2.1172035580607198</v>
      </c>
      <c r="Q277" s="117">
        <f t="shared" ref="Q277" si="378">IF(Q$4="Estimate",SUMPRODUCT(P273:P276,$G273:$G276),IF(Q$4="Forecast",P277,""))</f>
        <v>2.1172035580607198</v>
      </c>
      <c r="R277" s="117">
        <f t="shared" ref="R277" si="379">IF(R$4="Estimate",SUMPRODUCT(Q273:Q276,$G273:$G276),IF(R$4="Forecast",Q277,""))</f>
        <v>2.1172035580607198</v>
      </c>
      <c r="S277" s="341"/>
      <c r="T277" s="341"/>
      <c r="U277" s="118"/>
      <c r="V277" s="220">
        <f t="shared" si="299"/>
        <v>0</v>
      </c>
      <c r="W277" s="220">
        <f t="shared" si="300"/>
        <v>0</v>
      </c>
      <c r="X277" s="220">
        <f t="shared" si="301"/>
        <v>0</v>
      </c>
      <c r="Y277" s="122"/>
    </row>
    <row r="278" spans="1:25" ht="12" customHeight="1" outlineLevel="2" x14ac:dyDescent="0.25">
      <c r="A278" s="845"/>
      <c r="B278" s="25"/>
      <c r="D278" s="9" t="s">
        <v>90</v>
      </c>
      <c r="G278" s="214" t="s">
        <v>16</v>
      </c>
      <c r="H278" s="311"/>
      <c r="I278" s="214"/>
      <c r="J278" s="319">
        <f>SUM(J272,J277)</f>
        <v>2.3316302733854299</v>
      </c>
      <c r="K278" s="319">
        <f t="shared" ref="K278" si="380">SUM(K272,K277)</f>
        <v>2.3389128137833595</v>
      </c>
      <c r="L278" s="319">
        <f t="shared" ref="L278" si="381">SUM(L272,L277)</f>
        <v>1.6810675870133702</v>
      </c>
      <c r="M278" s="319">
        <f t="shared" ref="M278" si="382">SUM(M272,M277)</f>
        <v>2.1172035580607198</v>
      </c>
      <c r="N278" s="319">
        <f t="shared" ref="N278" si="383">SUM(N272,N277)</f>
        <v>2.1172035580607198</v>
      </c>
      <c r="O278" s="319">
        <f t="shared" ref="O278" si="384">SUM(O272,O277)</f>
        <v>2.1172035580607198</v>
      </c>
      <c r="P278" s="319">
        <f t="shared" ref="P278:R278" si="385">SUM(P272,P277)</f>
        <v>2.1172035580607198</v>
      </c>
      <c r="Q278" s="319">
        <f t="shared" si="385"/>
        <v>2.1172035580607198</v>
      </c>
      <c r="R278" s="319">
        <f t="shared" si="385"/>
        <v>2.1172035580607198</v>
      </c>
      <c r="S278" s="341"/>
      <c r="T278" s="341"/>
      <c r="U278" s="118"/>
      <c r="V278" s="220">
        <f t="shared" si="299"/>
        <v>-0.15089236785313476</v>
      </c>
      <c r="W278" s="220">
        <f t="shared" si="300"/>
        <v>0.25943987881070285</v>
      </c>
      <c r="X278" s="220">
        <f t="shared" si="301"/>
        <v>0</v>
      </c>
      <c r="Y278" s="122"/>
    </row>
    <row r="279" spans="1:25" ht="12" customHeight="1" outlineLevel="2" x14ac:dyDescent="0.25">
      <c r="A279" s="845"/>
      <c r="B279" s="25"/>
      <c r="D279" s="10"/>
      <c r="G279" s="215"/>
      <c r="H279" s="311"/>
      <c r="I279" s="215"/>
      <c r="J279" s="108"/>
      <c r="K279" s="108"/>
      <c r="L279" s="108"/>
      <c r="M279" s="108"/>
      <c r="N279" s="108"/>
      <c r="O279" s="108"/>
      <c r="P279" s="108"/>
      <c r="Q279" s="108"/>
      <c r="R279" s="108"/>
      <c r="S279" s="341"/>
      <c r="T279" s="341"/>
      <c r="U279" s="118"/>
      <c r="V279" s="220">
        <f t="shared" si="299"/>
        <v>0</v>
      </c>
      <c r="W279" s="220">
        <f t="shared" si="300"/>
        <v>0</v>
      </c>
      <c r="X279" s="220">
        <f t="shared" si="301"/>
        <v>0</v>
      </c>
      <c r="Y279" s="122"/>
    </row>
    <row r="280" spans="1:25" ht="12" customHeight="1" outlineLevel="1" x14ac:dyDescent="0.25">
      <c r="A280" s="845"/>
      <c r="B280" s="25"/>
      <c r="D280" s="74" t="str">
        <f>D270</f>
        <v>Closing balance shareholders/ associates - current accounts</v>
      </c>
      <c r="E280" s="50"/>
      <c r="F280" s="50"/>
      <c r="G280" s="320" t="str">
        <f>"EUR "&amp;Multiplier</f>
        <v>EUR thd</v>
      </c>
      <c r="H280" s="321"/>
      <c r="I280" s="322"/>
      <c r="J280" s="227">
        <f t="shared" ref="J280:M280" si="386">J278/(J$2-J$1+1)*J268</f>
        <v>30.829534694237072</v>
      </c>
      <c r="K280" s="227">
        <f t="shared" si="386"/>
        <v>56.474021932742438</v>
      </c>
      <c r="L280" s="227">
        <f t="shared" si="386"/>
        <v>33.379397071120742</v>
      </c>
      <c r="M280" s="227">
        <f t="shared" si="386"/>
        <v>63.362077643747547</v>
      </c>
      <c r="N280" s="227">
        <f>M280</f>
        <v>63.362077643747547</v>
      </c>
      <c r="O280" s="227">
        <f t="shared" ref="O280:P280" si="387">N280</f>
        <v>63.362077643747547</v>
      </c>
      <c r="P280" s="227">
        <f t="shared" si="387"/>
        <v>63.362077643747547</v>
      </c>
      <c r="Q280" s="227">
        <f t="shared" ref="Q280" si="388">P280</f>
        <v>63.362077643747547</v>
      </c>
      <c r="R280" s="227">
        <f t="shared" ref="R280" si="389">Q280</f>
        <v>63.362077643747547</v>
      </c>
      <c r="S280" s="341"/>
      <c r="T280" s="341"/>
      <c r="U280" s="118"/>
      <c r="V280" s="220">
        <f t="shared" si="299"/>
        <v>4.0532762028548719E-2</v>
      </c>
      <c r="W280" s="220">
        <f t="shared" si="300"/>
        <v>0.89823912962667873</v>
      </c>
      <c r="X280" s="220">
        <f t="shared" si="301"/>
        <v>0</v>
      </c>
      <c r="Y280" s="122"/>
    </row>
    <row r="281" spans="1:25" ht="12" customHeight="1" outlineLevel="1" x14ac:dyDescent="0.25">
      <c r="G281" s="215"/>
      <c r="H281" s="215"/>
      <c r="I281" s="215"/>
      <c r="J281" s="118"/>
      <c r="K281" s="118"/>
      <c r="L281" s="118"/>
      <c r="M281" s="118"/>
      <c r="N281" s="118"/>
      <c r="O281" s="118"/>
      <c r="P281" s="118"/>
      <c r="Q281" s="118"/>
      <c r="R281" s="118"/>
      <c r="S281" s="118"/>
      <c r="T281" s="118"/>
      <c r="U281" s="118"/>
      <c r="V281" s="220">
        <f t="shared" si="299"/>
        <v>0</v>
      </c>
      <c r="W281" s="220">
        <f t="shared" si="300"/>
        <v>0</v>
      </c>
      <c r="X281" s="220">
        <f t="shared" si="301"/>
        <v>0</v>
      </c>
    </row>
    <row r="282" spans="1:25" ht="12" customHeight="1" outlineLevel="1" x14ac:dyDescent="0.25">
      <c r="B282" s="25">
        <f ca="1">MAX($A$1:B281)+0.1</f>
        <v>2.8000000000000007</v>
      </c>
      <c r="C282" s="9" t="str">
        <f>'1.3.Historical BS'!E67</f>
        <v>Other payables and accrued expenses</v>
      </c>
      <c r="D282" s="10"/>
      <c r="G282" s="215"/>
      <c r="H282" s="311"/>
      <c r="I282" s="215"/>
      <c r="J282" s="323"/>
      <c r="K282" s="118"/>
      <c r="L282" s="118"/>
      <c r="M282" s="118"/>
      <c r="N282" s="118"/>
      <c r="O282" s="118"/>
      <c r="P282" s="118"/>
      <c r="Q282" s="118"/>
      <c r="R282" s="118"/>
      <c r="S282" s="118"/>
      <c r="T282" s="118"/>
      <c r="U282" s="118"/>
      <c r="V282" s="220">
        <f t="shared" si="299"/>
        <v>0</v>
      </c>
      <c r="W282" s="220">
        <f t="shared" si="300"/>
        <v>0</v>
      </c>
      <c r="X282" s="220">
        <f t="shared" si="301"/>
        <v>0</v>
      </c>
      <c r="Y282" s="122"/>
    </row>
    <row r="283" spans="1:25" ht="12" customHeight="1" outlineLevel="2" x14ac:dyDescent="0.25">
      <c r="A283" s="845"/>
      <c r="B283" s="25"/>
      <c r="E283" s="10" t="str">
        <f>'0.2.Parameters'!$F$147</f>
        <v>Salaries, wages and related costs</v>
      </c>
      <c r="G283" s="291" t="str">
        <f t="shared" ref="G283:G285" si="390">"EUR "&amp;Multiplier</f>
        <v>EUR thd</v>
      </c>
      <c r="H283" s="416">
        <f>'0.2.Parameters'!$H$182</f>
        <v>0</v>
      </c>
      <c r="I283" s="215"/>
      <c r="J283" s="107">
        <f>'3.1. Income Statement'!J$19</f>
        <v>163.79968602476174</v>
      </c>
      <c r="K283" s="107">
        <f>'3.1. Income Statement'!K$19</f>
        <v>204.84446487598782</v>
      </c>
      <c r="L283" s="107">
        <f>'3.1. Income Statement'!L$19</f>
        <v>232.32738798753627</v>
      </c>
      <c r="M283" s="107">
        <f>'3.1. Income Statement'!M$19</f>
        <v>249.53682413476119</v>
      </c>
      <c r="N283" s="107">
        <f>'3.1. Income Statement'!N$19</f>
        <v>280.08357329608538</v>
      </c>
      <c r="O283" s="107">
        <f>'3.1. Income Statement'!O$19</f>
        <v>294.0877519608897</v>
      </c>
      <c r="P283" s="107">
        <f>'3.1. Income Statement'!P$19</f>
        <v>308.7921395589342</v>
      </c>
      <c r="Q283" s="107">
        <f>'3.1. Income Statement'!Q$19</f>
        <v>324.23174653688091</v>
      </c>
      <c r="R283" s="107">
        <f>'3.1. Income Statement'!R$19</f>
        <v>340.44333386372494</v>
      </c>
      <c r="S283" s="341"/>
      <c r="T283" s="341"/>
      <c r="U283" s="118"/>
      <c r="V283" s="220">
        <f t="shared" si="299"/>
        <v>0.19095039391712287</v>
      </c>
      <c r="W283" s="220">
        <f t="shared" si="300"/>
        <v>7.4074074074074181E-2</v>
      </c>
      <c r="X283" s="220">
        <f t="shared" si="301"/>
        <v>7.3603365849039593E-2</v>
      </c>
      <c r="Y283" s="122"/>
    </row>
    <row r="284" spans="1:25" ht="12" customHeight="1" outlineLevel="2" x14ac:dyDescent="0.25">
      <c r="A284" s="845"/>
      <c r="B284" s="25"/>
      <c r="D284" s="12"/>
      <c r="E284" s="10" t="str">
        <f>'0.2.Parameters'!$F$148</f>
        <v>Other operating expenses</v>
      </c>
      <c r="F284" s="12"/>
      <c r="G284" s="291" t="str">
        <f t="shared" si="390"/>
        <v>EUR thd</v>
      </c>
      <c r="H284" s="416">
        <f>'0.2.Parameters'!$H$183</f>
        <v>1</v>
      </c>
      <c r="I284" s="215"/>
      <c r="J284" s="107">
        <f>'3.1. Income Statement'!J$23</f>
        <v>4839.3648971230068</v>
      </c>
      <c r="K284" s="107">
        <f>'3.1. Income Statement'!K$23</f>
        <v>8813.0766927168843</v>
      </c>
      <c r="L284" s="107">
        <f>'3.1. Income Statement'!L$23</f>
        <v>7247.4658515096162</v>
      </c>
      <c r="M284" s="107">
        <f>'3.1. Income Statement'!M$23</f>
        <v>10923.445812244656</v>
      </c>
      <c r="N284" s="107">
        <f>'3.1. Income Statement'!N$23</f>
        <v>11469.61810285689</v>
      </c>
      <c r="O284" s="107">
        <f>'3.1. Income Statement'!O$23</f>
        <v>12043.099007999732</v>
      </c>
      <c r="P284" s="107">
        <f>'3.1. Income Statement'!P$23</f>
        <v>12645.25395839972</v>
      </c>
      <c r="Q284" s="107">
        <f>'3.1. Income Statement'!Q$23</f>
        <v>13277.516656319709</v>
      </c>
      <c r="R284" s="107">
        <f>'3.1. Income Statement'!R$23</f>
        <v>13941.392489135693</v>
      </c>
      <c r="S284" s="341"/>
      <c r="T284" s="341"/>
      <c r="U284" s="118"/>
      <c r="V284" s="220">
        <f t="shared" si="299"/>
        <v>0.22376746780994239</v>
      </c>
      <c r="W284" s="220">
        <f t="shared" si="300"/>
        <v>0.50720900740351182</v>
      </c>
      <c r="X284" s="220">
        <f t="shared" si="301"/>
        <v>5.0000000000000044E-2</v>
      </c>
      <c r="Y284" s="122"/>
    </row>
    <row r="285" spans="1:25" ht="12" customHeight="1" outlineLevel="2" x14ac:dyDescent="0.25">
      <c r="A285" s="845"/>
      <c r="B285" s="25"/>
      <c r="D285" s="9" t="s">
        <v>93</v>
      </c>
      <c r="G285" s="310" t="str">
        <f t="shared" si="390"/>
        <v>EUR thd</v>
      </c>
      <c r="H285" s="417"/>
      <c r="I285" s="214"/>
      <c r="J285" s="216">
        <f>SUMIF($H283:$H284,1,J283:J284)</f>
        <v>4839.3648971230068</v>
      </c>
      <c r="K285" s="216">
        <f t="shared" ref="K285" si="391">SUMIF($H283:$H284,1,K283:K284)</f>
        <v>8813.0766927168843</v>
      </c>
      <c r="L285" s="216">
        <f t="shared" ref="L285" si="392">SUMIF($H283:$H284,1,L283:L284)</f>
        <v>7247.4658515096162</v>
      </c>
      <c r="M285" s="216">
        <f t="shared" ref="M285" si="393">SUMIF($H283:$H284,1,M283:M284)</f>
        <v>10923.445812244656</v>
      </c>
      <c r="N285" s="216">
        <f t="shared" ref="N285" si="394">SUMIF($H283:$H284,1,N283:N284)</f>
        <v>11469.61810285689</v>
      </c>
      <c r="O285" s="216">
        <f t="shared" ref="O285" si="395">SUMIF($H283:$H284,1,O283:O284)</f>
        <v>12043.099007999732</v>
      </c>
      <c r="P285" s="216">
        <f t="shared" ref="P285:R285" si="396">SUMIF($H283:$H284,1,P283:P284)</f>
        <v>12645.25395839972</v>
      </c>
      <c r="Q285" s="216">
        <f t="shared" si="396"/>
        <v>13277.516656319709</v>
      </c>
      <c r="R285" s="216">
        <f t="shared" si="396"/>
        <v>13941.392489135693</v>
      </c>
      <c r="S285" s="341"/>
      <c r="T285" s="341"/>
      <c r="U285" s="118"/>
      <c r="V285" s="220">
        <f t="shared" si="299"/>
        <v>0.22376746780994239</v>
      </c>
      <c r="W285" s="220">
        <f t="shared" si="300"/>
        <v>0.50720900740351182</v>
      </c>
      <c r="X285" s="220">
        <f t="shared" si="301"/>
        <v>5.0000000000000044E-2</v>
      </c>
      <c r="Y285" s="122"/>
    </row>
    <row r="286" spans="1:25" ht="12" customHeight="1" outlineLevel="2" x14ac:dyDescent="0.25">
      <c r="A286" s="845"/>
      <c r="B286" s="25"/>
      <c r="D286" s="10"/>
      <c r="G286" s="215"/>
      <c r="H286" s="417"/>
      <c r="I286" s="215"/>
      <c r="J286" s="108"/>
      <c r="K286" s="108"/>
      <c r="L286" s="108"/>
      <c r="M286" s="108"/>
      <c r="N286" s="108"/>
      <c r="O286" s="108"/>
      <c r="P286" s="108"/>
      <c r="Q286" s="108"/>
      <c r="R286" s="108"/>
      <c r="S286" s="341"/>
      <c r="T286" s="341"/>
      <c r="U286" s="118"/>
      <c r="V286" s="220">
        <f t="shared" si="299"/>
        <v>0</v>
      </c>
      <c r="W286" s="220">
        <f t="shared" si="300"/>
        <v>0</v>
      </c>
      <c r="X286" s="220">
        <f t="shared" si="301"/>
        <v>0</v>
      </c>
      <c r="Y286" s="122"/>
    </row>
    <row r="287" spans="1:25" s="6" customFormat="1" ht="12" customHeight="1" outlineLevel="2" x14ac:dyDescent="0.25">
      <c r="A287" s="845"/>
      <c r="B287" s="25"/>
      <c r="C287" s="9"/>
      <c r="D287" s="9" t="str">
        <f>"Closing balance "&amp;LOWER(C282)</f>
        <v>Closing balance other payables and accrued expenses</v>
      </c>
      <c r="G287" s="310" t="str">
        <f>"EUR "&amp;Multiplier</f>
        <v>EUR thd</v>
      </c>
      <c r="H287" s="417"/>
      <c r="I287" s="214"/>
      <c r="J287" s="312">
        <f>IF((J$4="Actual"),SUMIF('1.3.Historical BS'!$E$60:$E$67,$C282,'1.3.Historical BS'!O$60:O$67),"n/a")</f>
        <v>26.747937724339916</v>
      </c>
      <c r="K287" s="312">
        <f>IF((K$4="Actual"),SUMIF('1.3.Historical BS'!$E$60:$E$67,$C282,'1.3.Historical BS'!P$60:P$67),"n/a")</f>
        <v>44.544511449234925</v>
      </c>
      <c r="L287" s="312">
        <f>IF((L$4="Actual"),SUMIF('1.3.Historical BS'!$E$60:$E$67,$C282,'1.3.Historical BS'!Q$60:Q$67),"n/a")</f>
        <v>31.618649627993733</v>
      </c>
      <c r="M287" s="312" t="str">
        <f>IF((M$4="Actual"),SUMIF('1.3.Historical BS'!$E$60:$E$67,$C282,'1.3.Historical BS'!R$60:R$67),"n/a")</f>
        <v>n/a</v>
      </c>
      <c r="N287" s="312" t="str">
        <f>IF((N$4="Actual"),SUMIF('1.3.Historical BS'!$E$60:$E$67,$C282,'1.3.Historical BS'!S$60:S$67),"n/a")</f>
        <v>n/a</v>
      </c>
      <c r="O287" s="312" t="str">
        <f>IF((O$4="Actual"),SUMIF('1.3.Historical BS'!$E$60:$E$67,$C282,'1.3.Historical BS'!T$60:T$67),"n/a")</f>
        <v>n/a</v>
      </c>
      <c r="P287" s="312" t="str">
        <f>IF((P$4="Actual"),SUMIF('1.3.Historical BS'!$E$60:$E$67,$C282,'1.3.Historical BS'!U$60:U$67),"n/a")</f>
        <v>n/a</v>
      </c>
      <c r="Q287" s="312" t="str">
        <f>IF((Q$4="Actual"),SUMIF('1.3.Historical BS'!$E$60:$E$67,$C282,'1.3.Historical BS'!V$60:V$67),"n/a")</f>
        <v>n/a</v>
      </c>
      <c r="R287" s="312" t="str">
        <f>IF((R$4="Actual"),SUMIF('1.3.Historical BS'!$E$60:$E$67,$C282,'1.3.Historical BS'!W$60:W$67),"n/a")</f>
        <v>n/a</v>
      </c>
      <c r="S287" s="341"/>
      <c r="T287" s="341"/>
      <c r="U287" s="218"/>
      <c r="V287" s="220">
        <f t="shared" si="299"/>
        <v>8.7242717440807693E-2</v>
      </c>
      <c r="W287" s="220">
        <f t="shared" si="300"/>
        <v>0</v>
      </c>
      <c r="X287" s="220">
        <f t="shared" si="301"/>
        <v>0</v>
      </c>
      <c r="Y287" s="125"/>
    </row>
    <row r="288" spans="1:25" ht="12" customHeight="1" outlineLevel="2" x14ac:dyDescent="0.25">
      <c r="A288" s="845"/>
      <c r="B288" s="25"/>
      <c r="D288" s="10"/>
      <c r="G288" s="215"/>
      <c r="H288" s="417"/>
      <c r="I288" s="215"/>
      <c r="J288" s="108"/>
      <c r="K288" s="108"/>
      <c r="L288" s="108"/>
      <c r="M288" s="108"/>
      <c r="N288" s="108"/>
      <c r="O288" s="108"/>
      <c r="P288" s="108"/>
      <c r="Q288" s="108"/>
      <c r="R288" s="108"/>
      <c r="S288" s="341"/>
      <c r="T288" s="341"/>
      <c r="U288" s="118"/>
      <c r="V288" s="220">
        <f t="shared" si="299"/>
        <v>0</v>
      </c>
      <c r="W288" s="220">
        <f t="shared" si="300"/>
        <v>0</v>
      </c>
      <c r="X288" s="220">
        <f t="shared" si="301"/>
        <v>0</v>
      </c>
      <c r="Y288" s="122"/>
    </row>
    <row r="289" spans="1:25" s="6" customFormat="1" ht="12" customHeight="1" outlineLevel="2" x14ac:dyDescent="0.25">
      <c r="A289" s="845"/>
      <c r="B289" s="25"/>
      <c r="C289" s="9"/>
      <c r="D289" s="9" t="s">
        <v>92</v>
      </c>
      <c r="G289" s="214" t="s">
        <v>16</v>
      </c>
      <c r="H289" s="416" t="str">
        <f>'0.2.Parameters'!$H$184</f>
        <v>Average</v>
      </c>
      <c r="I289" s="313"/>
      <c r="J289" s="216">
        <f t="shared" ref="J289:P289" si="397">IF(ISERROR(J287/J285*(J$2-J$1+1)),"",J287/J285*(J$2-J$1+1))</f>
        <v>2.0229400789612688</v>
      </c>
      <c r="K289" s="216">
        <f t="shared" si="397"/>
        <v>1.8448434350295575</v>
      </c>
      <c r="L289" s="216">
        <f t="shared" si="397"/>
        <v>1.5923920651262966</v>
      </c>
      <c r="M289" s="430" t="str">
        <f t="shared" ref="M289" si="398">IF(ISERROR(M287/M285*(M$2-M$1+1)),"",M287/M285*(M$2-M$1+1))</f>
        <v/>
      </c>
      <c r="N289" s="430" t="str">
        <f t="shared" si="397"/>
        <v/>
      </c>
      <c r="O289" s="430" t="str">
        <f t="shared" si="397"/>
        <v/>
      </c>
      <c r="P289" s="430" t="str">
        <f t="shared" si="397"/>
        <v/>
      </c>
      <c r="Q289" s="430" t="str">
        <f t="shared" ref="Q289:R289" si="399">IF(ISERROR(Q287/Q285*(Q$2-Q$1+1)),"",Q287/Q285*(Q$2-Q$1+1))</f>
        <v/>
      </c>
      <c r="R289" s="430" t="str">
        <f t="shared" si="399"/>
        <v/>
      </c>
      <c r="S289" s="341"/>
      <c r="T289" s="341"/>
      <c r="U289" s="218"/>
      <c r="V289" s="220">
        <f t="shared" si="299"/>
        <v>-0.11277556741672456</v>
      </c>
      <c r="W289" s="220">
        <f t="shared" si="300"/>
        <v>0</v>
      </c>
      <c r="X289" s="220">
        <f t="shared" si="301"/>
        <v>0</v>
      </c>
      <c r="Y289" s="125"/>
    </row>
    <row r="290" spans="1:25" s="13" customFormat="1" ht="12" customHeight="1" outlineLevel="3" x14ac:dyDescent="0.25">
      <c r="A290" s="850"/>
      <c r="B290" s="56"/>
      <c r="C290" s="43"/>
      <c r="F290" s="11" t="s">
        <v>135</v>
      </c>
      <c r="G290" s="314">
        <f>($F290=H289)*1</f>
        <v>0</v>
      </c>
      <c r="H290" s="417"/>
      <c r="I290" s="315"/>
      <c r="J290" s="223">
        <f>J289</f>
        <v>2.0229400789612688</v>
      </c>
      <c r="K290" s="223">
        <f>K289</f>
        <v>1.8448434350295575</v>
      </c>
      <c r="L290" s="223">
        <f>L289</f>
        <v>1.5923920651262966</v>
      </c>
      <c r="M290" s="341"/>
      <c r="N290" s="341"/>
      <c r="O290" s="341"/>
      <c r="P290" s="341"/>
      <c r="Q290" s="341"/>
      <c r="R290" s="341"/>
      <c r="S290" s="341"/>
      <c r="T290" s="341"/>
      <c r="U290" s="225"/>
      <c r="V290" s="220">
        <f t="shared" ref="V290:V297" si="400">IF(ISERROR((($L290/$J290)^(1/($L$3-$J$3))-1)),0,(($L290/$J290)^(1/($L$3-$J$3))-1))</f>
        <v>-0.11277556741672456</v>
      </c>
      <c r="W290" s="220">
        <f t="shared" ref="W290:W297" si="401">IF(ISERROR($M290/$L290-1),0,$M290/$L290-1)</f>
        <v>-1</v>
      </c>
      <c r="X290" s="220">
        <f t="shared" ref="X290:X297" si="402">IF(ISERROR((($P290/$M290)^(1/($P$3-$M$3))-1)),0,(($P290/$M290)^(1/($P$3-$M$3))-1))</f>
        <v>0</v>
      </c>
      <c r="Y290" s="126"/>
    </row>
    <row r="291" spans="1:25" s="13" customFormat="1" ht="12" customHeight="1" outlineLevel="3" x14ac:dyDescent="0.25">
      <c r="A291" s="850"/>
      <c r="B291" s="56"/>
      <c r="C291" s="43"/>
      <c r="F291" s="11" t="s">
        <v>116</v>
      </c>
      <c r="G291" s="316">
        <f>($F291=H289)*1</f>
        <v>1</v>
      </c>
      <c r="H291" s="417"/>
      <c r="I291" s="315"/>
      <c r="J291" s="223">
        <f>IF(ISERROR(AVERAGE($J289:J289)),"",AVERAGE($J289:J289))</f>
        <v>2.0229400789612688</v>
      </c>
      <c r="K291" s="223">
        <f>IF(ISERROR(AVERAGE($J289:K289)),"",AVERAGE($J289:K289))</f>
        <v>1.933891756995413</v>
      </c>
      <c r="L291" s="223">
        <f>IF(ISERROR(AVERAGE($J289:L289)),"",AVERAGE($J289:L289))</f>
        <v>1.8200585263723743</v>
      </c>
      <c r="M291" s="341"/>
      <c r="N291" s="341"/>
      <c r="O291" s="341"/>
      <c r="P291" s="341"/>
      <c r="Q291" s="341"/>
      <c r="R291" s="341"/>
      <c r="S291" s="341"/>
      <c r="T291" s="341"/>
      <c r="U291" s="225"/>
      <c r="V291" s="220">
        <f t="shared" si="400"/>
        <v>-5.1469790136820071E-2</v>
      </c>
      <c r="W291" s="220">
        <f t="shared" si="401"/>
        <v>-1</v>
      </c>
      <c r="X291" s="220">
        <f t="shared" si="402"/>
        <v>0</v>
      </c>
      <c r="Y291" s="126"/>
    </row>
    <row r="292" spans="1:25" s="13" customFormat="1" ht="12" customHeight="1" outlineLevel="3" x14ac:dyDescent="0.25">
      <c r="A292" s="850"/>
      <c r="B292" s="56"/>
      <c r="C292" s="43"/>
      <c r="F292" s="11" t="s">
        <v>118</v>
      </c>
      <c r="G292" s="316">
        <f>($F292=H289)*1</f>
        <v>0</v>
      </c>
      <c r="H292" s="417"/>
      <c r="I292" s="315"/>
      <c r="J292" s="223">
        <f>IF(ISERROR(MIN($J289:J289)),"",MIN($J289:J289))</f>
        <v>2.0229400789612688</v>
      </c>
      <c r="K292" s="223">
        <f>IF(ISERROR(MIN($J289:K289)),"",MIN($J289:K289))</f>
        <v>1.8448434350295575</v>
      </c>
      <c r="L292" s="223">
        <f>IF(ISERROR(MIN($J289:L289)),"",MIN($J289:L289))</f>
        <v>1.5923920651262966</v>
      </c>
      <c r="M292" s="341"/>
      <c r="N292" s="341"/>
      <c r="O292" s="341"/>
      <c r="P292" s="341"/>
      <c r="Q292" s="341"/>
      <c r="R292" s="341"/>
      <c r="S292" s="341"/>
      <c r="T292" s="341"/>
      <c r="U292" s="225"/>
      <c r="V292" s="220">
        <f t="shared" si="400"/>
        <v>-0.11277556741672456</v>
      </c>
      <c r="W292" s="220">
        <f t="shared" si="401"/>
        <v>-1</v>
      </c>
      <c r="X292" s="220">
        <f t="shared" si="402"/>
        <v>0</v>
      </c>
      <c r="Y292" s="126"/>
    </row>
    <row r="293" spans="1:25" s="13" customFormat="1" ht="12" customHeight="1" outlineLevel="3" x14ac:dyDescent="0.25">
      <c r="A293" s="850"/>
      <c r="B293" s="56"/>
      <c r="C293" s="43"/>
      <c r="F293" s="11" t="s">
        <v>117</v>
      </c>
      <c r="G293" s="317">
        <f>($F293=H289)*1</f>
        <v>0</v>
      </c>
      <c r="H293" s="417"/>
      <c r="I293" s="315"/>
      <c r="J293" s="223">
        <f>IF(ISERROR(MAX($J289:J289)),"",MAX($J289:J289))</f>
        <v>2.0229400789612688</v>
      </c>
      <c r="K293" s="223">
        <f>IF(ISERROR(MAX($J289:K289)),"",MAX($J289:K289))</f>
        <v>2.0229400789612688</v>
      </c>
      <c r="L293" s="223">
        <f>IF(ISERROR(MAX($J289:L289)),"",MAX($J289:L289))</f>
        <v>2.0229400789612688</v>
      </c>
      <c r="M293" s="341"/>
      <c r="N293" s="341"/>
      <c r="O293" s="341"/>
      <c r="P293" s="341"/>
      <c r="Q293" s="341"/>
      <c r="R293" s="341"/>
      <c r="S293" s="341"/>
      <c r="T293" s="341"/>
      <c r="U293" s="225"/>
      <c r="V293" s="220">
        <f t="shared" si="400"/>
        <v>0</v>
      </c>
      <c r="W293" s="220">
        <f t="shared" si="401"/>
        <v>-1</v>
      </c>
      <c r="X293" s="220">
        <f t="shared" si="402"/>
        <v>0</v>
      </c>
      <c r="Y293" s="126"/>
    </row>
    <row r="294" spans="1:25" ht="12" customHeight="1" outlineLevel="2" x14ac:dyDescent="0.25">
      <c r="A294" s="845"/>
      <c r="B294" s="25"/>
      <c r="E294" s="10" t="s">
        <v>91</v>
      </c>
      <c r="G294" s="215" t="s">
        <v>16</v>
      </c>
      <c r="H294" s="418">
        <v>0</v>
      </c>
      <c r="I294" s="318"/>
      <c r="J294" s="117" t="str">
        <f t="shared" ref="J294" si="403">IF(J$4="Estimate",SUMPRODUCT(I290:I293,$G290:$G293),IF(J$4="Forecast",I294,""))</f>
        <v/>
      </c>
      <c r="K294" s="117" t="str">
        <f t="shared" ref="K294" si="404">IF(K$4="Estimate",SUMPRODUCT(J290:J293,$G290:$G293),IF(K$4="Forecast",J294,""))</f>
        <v/>
      </c>
      <c r="L294" s="117" t="str">
        <f t="shared" ref="L294" si="405">IF(L$4="Estimate",SUMPRODUCT(K290:K293,$G290:$G293),IF(L$4="Forecast",K294,""))</f>
        <v/>
      </c>
      <c r="M294" s="117">
        <f>SUMPRODUCT(L290:L293,$G290:$G293)</f>
        <v>1.8200585263723743</v>
      </c>
      <c r="N294" s="117">
        <f t="shared" ref="N294" si="406">IF(N$4="Estimate",SUMPRODUCT(M290:M293,$G290:$G293),IF(N$4="Forecast",M294,""))</f>
        <v>1.8200585263723743</v>
      </c>
      <c r="O294" s="117">
        <f t="shared" ref="O294" si="407">IF(O$4="Estimate",SUMPRODUCT(N290:N293,$G290:$G293),IF(O$4="Forecast",N294,""))</f>
        <v>1.8200585263723743</v>
      </c>
      <c r="P294" s="117">
        <f t="shared" ref="P294" si="408">IF(P$4="Estimate",SUMPRODUCT(O290:O293,$G290:$G293),IF(P$4="Forecast",O294,""))</f>
        <v>1.8200585263723743</v>
      </c>
      <c r="Q294" s="117">
        <f t="shared" ref="Q294" si="409">IF(Q$4="Estimate",SUMPRODUCT(P290:P293,$G290:$G293),IF(Q$4="Forecast",P294,""))</f>
        <v>1.8200585263723743</v>
      </c>
      <c r="R294" s="117">
        <f t="shared" ref="R294" si="410">IF(R$4="Estimate",SUMPRODUCT(Q290:Q293,$G290:$G293),IF(R$4="Forecast",Q294,""))</f>
        <v>1.8200585263723743</v>
      </c>
      <c r="S294" s="341"/>
      <c r="T294" s="341"/>
      <c r="U294" s="118"/>
      <c r="V294" s="220">
        <f t="shared" si="400"/>
        <v>0</v>
      </c>
      <c r="W294" s="220">
        <f t="shared" si="401"/>
        <v>0</v>
      </c>
      <c r="X294" s="220">
        <f t="shared" si="402"/>
        <v>0</v>
      </c>
      <c r="Y294" s="122"/>
    </row>
    <row r="295" spans="1:25" ht="12" customHeight="1" outlineLevel="2" x14ac:dyDescent="0.25">
      <c r="A295" s="845"/>
      <c r="B295" s="25"/>
      <c r="D295" s="9" t="s">
        <v>90</v>
      </c>
      <c r="G295" s="214" t="s">
        <v>16</v>
      </c>
      <c r="H295" s="215"/>
      <c r="I295" s="214"/>
      <c r="J295" s="319">
        <f>SUM(J289,J294)</f>
        <v>2.0229400789612688</v>
      </c>
      <c r="K295" s="319">
        <f t="shared" ref="K295" si="411">SUM(K289,K294)</f>
        <v>1.8448434350295575</v>
      </c>
      <c r="L295" s="319">
        <f t="shared" ref="L295" si="412">SUM(L289,L294)</f>
        <v>1.5923920651262966</v>
      </c>
      <c r="M295" s="319">
        <f t="shared" ref="M295" si="413">SUM(M289,M294)</f>
        <v>1.8200585263723743</v>
      </c>
      <c r="N295" s="319">
        <f t="shared" ref="N295" si="414">SUM(N289,N294)</f>
        <v>1.8200585263723743</v>
      </c>
      <c r="O295" s="319">
        <f t="shared" ref="O295" si="415">SUM(O289,O294)</f>
        <v>1.8200585263723743</v>
      </c>
      <c r="P295" s="319">
        <f t="shared" ref="P295:R295" si="416">SUM(P289,P294)</f>
        <v>1.8200585263723743</v>
      </c>
      <c r="Q295" s="319">
        <f t="shared" si="416"/>
        <v>1.8200585263723743</v>
      </c>
      <c r="R295" s="319">
        <f t="shared" si="416"/>
        <v>1.8200585263723743</v>
      </c>
      <c r="S295" s="341"/>
      <c r="T295" s="341"/>
      <c r="U295" s="118"/>
      <c r="V295" s="220">
        <f t="shared" si="400"/>
        <v>-0.11277556741672456</v>
      </c>
      <c r="W295" s="220">
        <f t="shared" si="401"/>
        <v>0.14297136128219834</v>
      </c>
      <c r="X295" s="220">
        <f t="shared" si="402"/>
        <v>0</v>
      </c>
      <c r="Y295" s="122"/>
    </row>
    <row r="296" spans="1:25" ht="12" customHeight="1" outlineLevel="2" x14ac:dyDescent="0.25">
      <c r="A296" s="845"/>
      <c r="B296" s="25"/>
      <c r="D296" s="10"/>
      <c r="G296" s="215"/>
      <c r="H296" s="311"/>
      <c r="I296" s="215"/>
      <c r="J296" s="108"/>
      <c r="K296" s="108"/>
      <c r="L296" s="108"/>
      <c r="M296" s="108"/>
      <c r="N296" s="108"/>
      <c r="O296" s="108"/>
      <c r="P296" s="108"/>
      <c r="Q296" s="108"/>
      <c r="R296" s="108"/>
      <c r="S296" s="341"/>
      <c r="T296" s="341"/>
      <c r="U296" s="118"/>
      <c r="V296" s="220">
        <f t="shared" si="400"/>
        <v>0</v>
      </c>
      <c r="W296" s="220">
        <f t="shared" si="401"/>
        <v>0</v>
      </c>
      <c r="X296" s="220">
        <f t="shared" si="402"/>
        <v>0</v>
      </c>
      <c r="Y296" s="122"/>
    </row>
    <row r="297" spans="1:25" ht="12" customHeight="1" outlineLevel="1" x14ac:dyDescent="0.25">
      <c r="B297" s="25"/>
      <c r="D297" s="74" t="str">
        <f>D287</f>
        <v>Closing balance other payables and accrued expenses</v>
      </c>
      <c r="E297" s="50"/>
      <c r="F297" s="50"/>
      <c r="G297" s="320" t="str">
        <f>"EUR "&amp;Multiplier</f>
        <v>EUR thd</v>
      </c>
      <c r="H297" s="321"/>
      <c r="I297" s="322"/>
      <c r="J297" s="227">
        <f t="shared" ref="J297:P297" si="417">J295/(J$2-J$1+1)*J285</f>
        <v>26.747937724339913</v>
      </c>
      <c r="K297" s="227">
        <f t="shared" si="417"/>
        <v>44.544511449234925</v>
      </c>
      <c r="L297" s="227">
        <f t="shared" si="417"/>
        <v>31.618649627993733</v>
      </c>
      <c r="M297" s="227">
        <f t="shared" si="417"/>
        <v>54.469344350527372</v>
      </c>
      <c r="N297" s="227">
        <f t="shared" si="417"/>
        <v>57.036547055572726</v>
      </c>
      <c r="O297" s="227">
        <f t="shared" si="417"/>
        <v>60.052452146456417</v>
      </c>
      <c r="P297" s="227">
        <f t="shared" si="417"/>
        <v>63.055074753779252</v>
      </c>
      <c r="Q297" s="227">
        <f t="shared" ref="Q297:R297" si="418">Q295/(Q$2-Q$1+1)*Q285</f>
        <v>66.20782849146822</v>
      </c>
      <c r="R297" s="227">
        <f t="shared" si="418"/>
        <v>69.328279424467752</v>
      </c>
      <c r="S297" s="341"/>
      <c r="T297" s="341"/>
      <c r="U297" s="118"/>
      <c r="V297" s="220">
        <f t="shared" si="400"/>
        <v>8.7242717440807693E-2</v>
      </c>
      <c r="W297" s="220">
        <f t="shared" si="401"/>
        <v>0.72269673092878262</v>
      </c>
      <c r="X297" s="220">
        <f t="shared" si="402"/>
        <v>5.0000000000000044E-2</v>
      </c>
      <c r="Y297" s="122"/>
    </row>
    <row r="298" spans="1:25" ht="12" customHeight="1" x14ac:dyDescent="0.25">
      <c r="G298" s="215"/>
      <c r="H298" s="215"/>
      <c r="I298" s="215"/>
      <c r="J298" s="118"/>
      <c r="K298" s="118"/>
      <c r="L298" s="118"/>
      <c r="M298" s="118"/>
      <c r="N298" s="118"/>
      <c r="O298" s="118"/>
      <c r="P298" s="118"/>
      <c r="Q298" s="118"/>
      <c r="R298" s="118"/>
      <c r="S298" s="118"/>
      <c r="T298" s="118"/>
      <c r="U298" s="118"/>
      <c r="V298" s="225"/>
      <c r="W298" s="225"/>
      <c r="X298" s="225"/>
    </row>
    <row r="299" spans="1:25" ht="12" customHeight="1" x14ac:dyDescent="0.25">
      <c r="A299" s="14">
        <f ca="1">MAX($A$1:A298)+1</f>
        <v>3</v>
      </c>
      <c r="B299" s="15" t="s">
        <v>82</v>
      </c>
      <c r="C299" s="15"/>
      <c r="D299" s="15"/>
      <c r="E299" s="15"/>
      <c r="F299" s="16"/>
      <c r="G299" s="268"/>
      <c r="H299" s="268"/>
      <c r="I299" s="268"/>
      <c r="J299" s="300"/>
      <c r="K299" s="300"/>
      <c r="L299" s="300"/>
      <c r="M299" s="300"/>
      <c r="N299" s="300"/>
      <c r="O299" s="300"/>
      <c r="P299" s="300"/>
      <c r="Q299" s="300"/>
      <c r="R299" s="300"/>
      <c r="S299" s="300"/>
      <c r="T299" s="300"/>
      <c r="U299" s="300"/>
      <c r="V299" s="324"/>
      <c r="W299" s="324"/>
      <c r="X299" s="324"/>
      <c r="Y299" s="21"/>
    </row>
    <row r="300" spans="1:25" ht="12" customHeight="1" x14ac:dyDescent="0.25">
      <c r="G300" s="215"/>
      <c r="H300" s="215"/>
      <c r="I300" s="215"/>
      <c r="J300" s="118"/>
      <c r="K300" s="118"/>
      <c r="L300" s="118"/>
      <c r="M300" s="118"/>
      <c r="N300" s="118"/>
      <c r="O300" s="118"/>
      <c r="P300" s="118"/>
      <c r="Q300" s="118"/>
      <c r="R300" s="118"/>
      <c r="S300" s="118"/>
      <c r="T300" s="118"/>
      <c r="U300" s="118"/>
      <c r="V300" s="225"/>
      <c r="W300" s="225"/>
      <c r="X300" s="225"/>
    </row>
    <row r="301" spans="1:25" ht="12" customHeight="1" x14ac:dyDescent="0.25">
      <c r="C301" s="9" t="str">
        <f>B6</f>
        <v>Current Assets</v>
      </c>
      <c r="G301" s="214" t="s">
        <v>255</v>
      </c>
      <c r="H301" s="215"/>
      <c r="I301" s="215"/>
      <c r="J301" s="326">
        <f t="shared" ref="J301:R301" si="419">SUM(J302:J309)</f>
        <v>2949.2992358679612</v>
      </c>
      <c r="K301" s="326">
        <f t="shared" si="419"/>
        <v>4449.19812648883</v>
      </c>
      <c r="L301" s="326">
        <f t="shared" si="419"/>
        <v>3353.5488089367268</v>
      </c>
      <c r="M301" s="326">
        <f t="shared" si="419"/>
        <v>5999.848147448768</v>
      </c>
      <c r="N301" s="326">
        <f t="shared" ca="1" si="419"/>
        <v>6282.6278757096743</v>
      </c>
      <c r="O301" s="326">
        <f t="shared" ca="1" si="419"/>
        <v>6614.8325825622678</v>
      </c>
      <c r="P301" s="326">
        <f t="shared" ca="1" si="419"/>
        <v>6945.5742116903803</v>
      </c>
      <c r="Q301" s="326">
        <f t="shared" ca="1" si="419"/>
        <v>7292.8529222748994</v>
      </c>
      <c r="R301" s="326">
        <f t="shared" ca="1" si="419"/>
        <v>7636.5734493493319</v>
      </c>
      <c r="S301" s="341"/>
      <c r="T301" s="341"/>
      <c r="U301" s="118"/>
      <c r="V301" s="220">
        <f t="shared" ref="V301:V320" si="420">IF(ISERROR((($L301/$J301)^(1/($L$3-$J$3))-1)),0,(($L301/$J301)^(1/($L$3-$J$3))-1))</f>
        <v>6.6333115539676912E-2</v>
      </c>
      <c r="W301" s="220">
        <f t="shared" ref="W301:W320" si="421">IF(ISERROR($M301/$L301-1),0,$M301/$L301-1)</f>
        <v>0.78910416674420625</v>
      </c>
      <c r="X301" s="220">
        <f t="shared" ref="X301:X320" ca="1" si="422">IF(ISERROR((($P301/$M301)^(1/($P$3-$M$3))-1)),0,(($P301/$M301)^(1/($P$3-$M$3))-1))</f>
        <v>5.0000000000000044E-2</v>
      </c>
    </row>
    <row r="302" spans="1:25" ht="12" customHeight="1" x14ac:dyDescent="0.25">
      <c r="D302" s="10" t="str">
        <f>D25</f>
        <v>Closing balance raw materials and consumables</v>
      </c>
      <c r="E302" s="10"/>
      <c r="G302" s="215" t="str">
        <f t="shared" ref="G302:G320" si="423">"EUR "&amp;Multiplier</f>
        <v>EUR thd</v>
      </c>
      <c r="H302" s="215"/>
      <c r="I302" s="215"/>
      <c r="J302" s="206">
        <f t="shared" ref="J302:R302" si="424">J25</f>
        <v>830.17515800136528</v>
      </c>
      <c r="K302" s="206">
        <f t="shared" si="424"/>
        <v>880.10040560551101</v>
      </c>
      <c r="L302" s="206">
        <f t="shared" si="424"/>
        <v>818.26755076223765</v>
      </c>
      <c r="M302" s="206">
        <f t="shared" si="424"/>
        <v>1497.6596951428053</v>
      </c>
      <c r="N302" s="206">
        <f t="shared" si="424"/>
        <v>1568.2461152007656</v>
      </c>
      <c r="O302" s="206">
        <f t="shared" si="424"/>
        <v>1651.169813894943</v>
      </c>
      <c r="P302" s="206">
        <f t="shared" si="424"/>
        <v>1733.7283045896902</v>
      </c>
      <c r="Q302" s="206">
        <f t="shared" si="424"/>
        <v>1820.4147198191749</v>
      </c>
      <c r="R302" s="206">
        <f t="shared" si="424"/>
        <v>1906.2129545647506</v>
      </c>
      <c r="S302" s="341"/>
      <c r="T302" s="341"/>
      <c r="U302" s="118"/>
      <c r="V302" s="220">
        <f t="shared" si="420"/>
        <v>-7.1976469538933552E-3</v>
      </c>
      <c r="W302" s="220">
        <f t="shared" si="421"/>
        <v>0.83028117606239671</v>
      </c>
      <c r="X302" s="220">
        <f t="shared" si="422"/>
        <v>5.0000000000000044E-2</v>
      </c>
    </row>
    <row r="303" spans="1:25" ht="12" customHeight="1" x14ac:dyDescent="0.25">
      <c r="D303" s="10" t="str">
        <f>D45</f>
        <v>Closing balance production in progress</v>
      </c>
      <c r="E303" s="10"/>
      <c r="G303" s="215" t="str">
        <f t="shared" si="423"/>
        <v>EUR thd</v>
      </c>
      <c r="H303" s="215"/>
      <c r="I303" s="215"/>
      <c r="J303" s="206">
        <f t="shared" ref="J303:R303" si="425">J45</f>
        <v>380.07874303582838</v>
      </c>
      <c r="K303" s="206">
        <f t="shared" si="425"/>
        <v>273.73634568749054</v>
      </c>
      <c r="L303" s="206">
        <f t="shared" si="425"/>
        <v>790.14065481678426</v>
      </c>
      <c r="M303" s="206">
        <f t="shared" si="425"/>
        <v>852.68340417454704</v>
      </c>
      <c r="N303" s="206">
        <f t="shared" si="425"/>
        <v>892.87135150244603</v>
      </c>
      <c r="O303" s="206">
        <f t="shared" si="425"/>
        <v>940.08345310243817</v>
      </c>
      <c r="P303" s="206">
        <f t="shared" si="425"/>
        <v>987.0876257575602</v>
      </c>
      <c r="Q303" s="206">
        <f t="shared" si="425"/>
        <v>1036.4420070454382</v>
      </c>
      <c r="R303" s="206">
        <f t="shared" si="425"/>
        <v>1085.2907081971698</v>
      </c>
      <c r="S303" s="341"/>
      <c r="T303" s="341"/>
      <c r="U303" s="118"/>
      <c r="V303" s="220">
        <f t="shared" si="420"/>
        <v>0.44183450120124368</v>
      </c>
      <c r="W303" s="220">
        <f t="shared" si="421"/>
        <v>7.915394427118172E-2</v>
      </c>
      <c r="X303" s="220">
        <f t="shared" si="422"/>
        <v>5.0000000000000044E-2</v>
      </c>
    </row>
    <row r="304" spans="1:25" ht="12" customHeight="1" x14ac:dyDescent="0.25">
      <c r="D304" s="10" t="str">
        <f>D64</f>
        <v>Closing balance good purchased for resale</v>
      </c>
      <c r="E304" s="10"/>
      <c r="G304" s="215" t="str">
        <f t="shared" si="423"/>
        <v>EUR thd</v>
      </c>
      <c r="H304" s="215"/>
      <c r="I304" s="215"/>
      <c r="J304" s="206">
        <f t="shared" ref="J304:R304" si="426">J64</f>
        <v>126.38594393428902</v>
      </c>
      <c r="K304" s="206">
        <f t="shared" si="426"/>
        <v>170.18887911238923</v>
      </c>
      <c r="L304" s="206">
        <f t="shared" si="426"/>
        <v>193.35052852762712</v>
      </c>
      <c r="M304" s="206">
        <f t="shared" si="426"/>
        <v>277.80385420002875</v>
      </c>
      <c r="N304" s="206">
        <f t="shared" si="426"/>
        <v>290.89706863978427</v>
      </c>
      <c r="O304" s="206">
        <f t="shared" si="426"/>
        <v>306.27874925553169</v>
      </c>
      <c r="P304" s="206">
        <f t="shared" si="426"/>
        <v>321.59268671830836</v>
      </c>
      <c r="Q304" s="206">
        <f t="shared" si="426"/>
        <v>337.67232105422374</v>
      </c>
      <c r="R304" s="206">
        <f t="shared" si="426"/>
        <v>353.58720503833678</v>
      </c>
      <c r="S304" s="341"/>
      <c r="T304" s="341"/>
      <c r="U304" s="118"/>
      <c r="V304" s="220">
        <f t="shared" si="420"/>
        <v>0.23686782883623603</v>
      </c>
      <c r="W304" s="220">
        <f t="shared" si="421"/>
        <v>0.43678869830621858</v>
      </c>
      <c r="X304" s="220">
        <f t="shared" si="422"/>
        <v>5.0000000000000044E-2</v>
      </c>
    </row>
    <row r="305" spans="3:25" ht="12" customHeight="1" x14ac:dyDescent="0.25">
      <c r="D305" s="10" t="str">
        <f>D83</f>
        <v>Closing balance trade receivables</v>
      </c>
      <c r="E305" s="10"/>
      <c r="G305" s="215" t="str">
        <f t="shared" si="423"/>
        <v>EUR thd</v>
      </c>
      <c r="H305" s="215"/>
      <c r="I305" s="215"/>
      <c r="J305" s="206">
        <f t="shared" ref="J305:R305" si="427">J83</f>
        <v>1315.0645526414303</v>
      </c>
      <c r="K305" s="206">
        <f t="shared" si="427"/>
        <v>2094.181704830783</v>
      </c>
      <c r="L305" s="206">
        <f t="shared" si="427"/>
        <v>1181.2725251399042</v>
      </c>
      <c r="M305" s="206">
        <f t="shared" si="427"/>
        <v>2519.2859041075876</v>
      </c>
      <c r="N305" s="206">
        <f t="shared" ca="1" si="427"/>
        <v>2638.022739752003</v>
      </c>
      <c r="O305" s="206">
        <f t="shared" ca="1" si="427"/>
        <v>2777.5127092786151</v>
      </c>
      <c r="P305" s="206">
        <f t="shared" ca="1" si="427"/>
        <v>2916.388344742546</v>
      </c>
      <c r="Q305" s="206">
        <f t="shared" ca="1" si="427"/>
        <v>3062.2077619796737</v>
      </c>
      <c r="R305" s="206">
        <f t="shared" ca="1" si="427"/>
        <v>3206.5331278106828</v>
      </c>
      <c r="S305" s="341"/>
      <c r="T305" s="341"/>
      <c r="U305" s="118"/>
      <c r="V305" s="220">
        <f t="shared" si="420"/>
        <v>-5.2233147039815186E-2</v>
      </c>
      <c r="W305" s="220">
        <f t="shared" si="421"/>
        <v>1.1326881396900479</v>
      </c>
      <c r="X305" s="220">
        <f t="shared" ca="1" si="422"/>
        <v>5.0000000000000044E-2</v>
      </c>
    </row>
    <row r="306" spans="3:25" ht="12" customHeight="1" x14ac:dyDescent="0.25">
      <c r="D306" s="10" t="str">
        <f>D102</f>
        <v>Closing balance other receivables</v>
      </c>
      <c r="E306" s="10"/>
      <c r="G306" s="215" t="str">
        <f t="shared" si="423"/>
        <v>EUR thd</v>
      </c>
      <c r="H306" s="215"/>
      <c r="I306" s="215"/>
      <c r="J306" s="206">
        <f t="shared" ref="J306:R306" si="428">J102</f>
        <v>73.341375437669285</v>
      </c>
      <c r="K306" s="206">
        <f t="shared" si="428"/>
        <v>317.8685644998605</v>
      </c>
      <c r="L306" s="206">
        <f t="shared" si="428"/>
        <v>-15.974013164947788</v>
      </c>
      <c r="M306" s="206">
        <f t="shared" si="428"/>
        <v>180.14829337204424</v>
      </c>
      <c r="N306" s="206">
        <f t="shared" ca="1" si="428"/>
        <v>188.63888916621846</v>
      </c>
      <c r="O306" s="206">
        <f t="shared" ca="1" si="428"/>
        <v>198.61349344267876</v>
      </c>
      <c r="P306" s="206">
        <f t="shared" ca="1" si="428"/>
        <v>208.54416811481269</v>
      </c>
      <c r="Q306" s="206">
        <f t="shared" ca="1" si="428"/>
        <v>218.97137652055335</v>
      </c>
      <c r="R306" s="206">
        <f t="shared" ca="1" si="428"/>
        <v>229.29174877459582</v>
      </c>
      <c r="S306" s="341"/>
      <c r="T306" s="341"/>
      <c r="U306" s="118"/>
      <c r="V306" s="220">
        <f t="shared" si="420"/>
        <v>0</v>
      </c>
      <c r="W306" s="220">
        <f t="shared" si="421"/>
        <v>-12.277585132291524</v>
      </c>
      <c r="X306" s="220">
        <f t="shared" ca="1" si="422"/>
        <v>5.0000000000000044E-2</v>
      </c>
    </row>
    <row r="307" spans="3:25" ht="12" customHeight="1" x14ac:dyDescent="0.25">
      <c r="D307" s="10" t="str">
        <f>D121</f>
        <v>Closing balance short term investments</v>
      </c>
      <c r="E307" s="10"/>
      <c r="G307" s="215" t="str">
        <f t="shared" si="423"/>
        <v>EUR thd</v>
      </c>
      <c r="H307" s="215"/>
      <c r="I307" s="215"/>
      <c r="J307" s="206">
        <f t="shared" ref="J307:R307" si="429">J121</f>
        <v>0</v>
      </c>
      <c r="K307" s="206">
        <f t="shared" si="429"/>
        <v>0</v>
      </c>
      <c r="L307" s="206">
        <f t="shared" si="429"/>
        <v>0</v>
      </c>
      <c r="M307" s="206">
        <f t="shared" si="429"/>
        <v>0</v>
      </c>
      <c r="N307" s="206">
        <f t="shared" ca="1" si="429"/>
        <v>0</v>
      </c>
      <c r="O307" s="206">
        <f t="shared" ca="1" si="429"/>
        <v>0</v>
      </c>
      <c r="P307" s="206">
        <f t="shared" ca="1" si="429"/>
        <v>0</v>
      </c>
      <c r="Q307" s="206">
        <f t="shared" ca="1" si="429"/>
        <v>0</v>
      </c>
      <c r="R307" s="206">
        <f t="shared" ca="1" si="429"/>
        <v>0</v>
      </c>
      <c r="S307" s="341"/>
      <c r="T307" s="341"/>
      <c r="U307" s="118"/>
      <c r="V307" s="220">
        <f t="shared" si="420"/>
        <v>0</v>
      </c>
      <c r="W307" s="220">
        <f t="shared" si="421"/>
        <v>0</v>
      </c>
      <c r="X307" s="220">
        <f t="shared" ca="1" si="422"/>
        <v>0</v>
      </c>
    </row>
    <row r="308" spans="3:25" ht="12" customHeight="1" x14ac:dyDescent="0.25">
      <c r="D308" s="10" t="str">
        <f>D140</f>
        <v>Closing balance prepayments</v>
      </c>
      <c r="E308" s="10"/>
      <c r="G308" s="215" t="str">
        <f t="shared" si="423"/>
        <v>EUR thd</v>
      </c>
      <c r="H308" s="215"/>
      <c r="I308" s="215"/>
      <c r="J308" s="206">
        <f t="shared" ref="J308:R308" si="430">J140</f>
        <v>224.2534628173791</v>
      </c>
      <c r="K308" s="206">
        <f t="shared" si="430"/>
        <v>713.12222675279543</v>
      </c>
      <c r="L308" s="206">
        <f t="shared" si="430"/>
        <v>386.49156285512123</v>
      </c>
      <c r="M308" s="206">
        <f t="shared" si="430"/>
        <v>672.26699645175506</v>
      </c>
      <c r="N308" s="206">
        <f t="shared" ca="1" si="430"/>
        <v>703.95171144845665</v>
      </c>
      <c r="O308" s="206">
        <f t="shared" ca="1" si="430"/>
        <v>741.17436358805992</v>
      </c>
      <c r="P308" s="206">
        <f t="shared" ca="1" si="430"/>
        <v>778.23308176746298</v>
      </c>
      <c r="Q308" s="206">
        <f t="shared" ca="1" si="430"/>
        <v>817.14473585583619</v>
      </c>
      <c r="R308" s="206">
        <f t="shared" ca="1" si="430"/>
        <v>855.6577049637956</v>
      </c>
      <c r="S308" s="341"/>
      <c r="T308" s="341"/>
      <c r="U308" s="118"/>
      <c r="V308" s="220">
        <f t="shared" si="420"/>
        <v>0.31280562798462141</v>
      </c>
      <c r="W308" s="220">
        <f t="shared" si="421"/>
        <v>0.73940924217214676</v>
      </c>
      <c r="X308" s="220">
        <f t="shared" ca="1" si="422"/>
        <v>5.0000000000000044E-2</v>
      </c>
    </row>
    <row r="309" spans="3:25" ht="12" customHeight="1" x14ac:dyDescent="0.25">
      <c r="D309" s="10" t="str">
        <f>D159</f>
        <v>Closing balance subsidies</v>
      </c>
      <c r="E309" s="10"/>
      <c r="G309" s="215" t="str">
        <f t="shared" si="423"/>
        <v>EUR thd</v>
      </c>
      <c r="H309" s="215"/>
      <c r="I309" s="215"/>
      <c r="J309" s="206">
        <f t="shared" ref="J309:R309" si="431">J159</f>
        <v>0</v>
      </c>
      <c r="K309" s="206">
        <f t="shared" si="431"/>
        <v>0</v>
      </c>
      <c r="L309" s="206">
        <f t="shared" si="431"/>
        <v>0</v>
      </c>
      <c r="M309" s="206">
        <f t="shared" si="431"/>
        <v>0</v>
      </c>
      <c r="N309" s="206">
        <f t="shared" ca="1" si="431"/>
        <v>0</v>
      </c>
      <c r="O309" s="206">
        <f t="shared" ca="1" si="431"/>
        <v>0</v>
      </c>
      <c r="P309" s="206">
        <f t="shared" ca="1" si="431"/>
        <v>0</v>
      </c>
      <c r="Q309" s="206">
        <f t="shared" ca="1" si="431"/>
        <v>0</v>
      </c>
      <c r="R309" s="206">
        <f t="shared" ca="1" si="431"/>
        <v>0</v>
      </c>
      <c r="S309" s="341"/>
      <c r="T309" s="341"/>
      <c r="U309" s="118"/>
      <c r="V309" s="220">
        <f t="shared" si="420"/>
        <v>0</v>
      </c>
      <c r="W309" s="220">
        <f t="shared" si="421"/>
        <v>0</v>
      </c>
      <c r="X309" s="220">
        <f t="shared" ca="1" si="422"/>
        <v>0</v>
      </c>
    </row>
    <row r="310" spans="3:25" ht="12" customHeight="1" x14ac:dyDescent="0.25">
      <c r="C310" s="9" t="str">
        <f>B161</f>
        <v>Current liabilities</v>
      </c>
      <c r="G310" s="214" t="str">
        <f t="shared" si="423"/>
        <v>EUR thd</v>
      </c>
      <c r="H310" s="215"/>
      <c r="I310" s="215"/>
      <c r="J310" s="326">
        <f t="shared" ref="J310:P310" si="432">SUM(J311:J318)</f>
        <v>2371.6953381339326</v>
      </c>
      <c r="K310" s="326">
        <f t="shared" si="432"/>
        <v>3941.5484129879605</v>
      </c>
      <c r="L310" s="326">
        <f t="shared" si="432"/>
        <v>3103.8466369347543</v>
      </c>
      <c r="M310" s="326">
        <f t="shared" si="432"/>
        <v>5299.6608742817916</v>
      </c>
      <c r="N310" s="326">
        <f t="shared" si="432"/>
        <v>5546.4536454348145</v>
      </c>
      <c r="O310" s="326">
        <f t="shared" si="432"/>
        <v>5836.381500937191</v>
      </c>
      <c r="P310" s="326">
        <f t="shared" si="432"/>
        <v>6066.9773973480842</v>
      </c>
      <c r="Q310" s="326">
        <f t="shared" ref="Q310:R310" si="433">SUM(Q311:Q318)</f>
        <v>6366.9081633333026</v>
      </c>
      <c r="R310" s="326">
        <f t="shared" si="433"/>
        <v>6663.76586819162</v>
      </c>
      <c r="S310" s="341"/>
      <c r="T310" s="341"/>
      <c r="U310" s="118"/>
      <c r="V310" s="220">
        <f t="shared" si="420"/>
        <v>0.14398591459615195</v>
      </c>
      <c r="W310" s="220">
        <f t="shared" si="421"/>
        <v>0.7074493343896473</v>
      </c>
      <c r="X310" s="220">
        <f t="shared" si="422"/>
        <v>4.6103766251672118E-2</v>
      </c>
    </row>
    <row r="311" spans="3:25" ht="12" customHeight="1" x14ac:dyDescent="0.25">
      <c r="D311" s="10" t="str">
        <f>D178</f>
        <v>Closing balance advances from clients</v>
      </c>
      <c r="E311" s="10"/>
      <c r="G311" s="215" t="str">
        <f t="shared" si="423"/>
        <v>EUR thd</v>
      </c>
      <c r="H311" s="215"/>
      <c r="I311" s="215"/>
      <c r="J311" s="206">
        <f t="shared" ref="J311:R311" si="434">J178</f>
        <v>971.91871572966897</v>
      </c>
      <c r="K311" s="206">
        <f t="shared" si="434"/>
        <v>2154.4197888276071</v>
      </c>
      <c r="L311" s="206">
        <f t="shared" si="434"/>
        <v>1936.53413452261</v>
      </c>
      <c r="M311" s="206">
        <f t="shared" si="434"/>
        <v>2918.7616906968419</v>
      </c>
      <c r="N311" s="206">
        <f t="shared" si="434"/>
        <v>3056.3262785780457</v>
      </c>
      <c r="O311" s="206">
        <f t="shared" si="434"/>
        <v>3217.9347639932676</v>
      </c>
      <c r="P311" s="206">
        <f t="shared" si="434"/>
        <v>3378.8315021929316</v>
      </c>
      <c r="Q311" s="206">
        <f t="shared" si="434"/>
        <v>3547.7730773025787</v>
      </c>
      <c r="R311" s="206">
        <f t="shared" si="434"/>
        <v>3714.9836936508555</v>
      </c>
      <c r="S311" s="341"/>
      <c r="T311" s="341"/>
      <c r="U311" s="118"/>
      <c r="V311" s="220">
        <f t="shared" si="420"/>
        <v>0.41155435305692345</v>
      </c>
      <c r="W311" s="220">
        <f t="shared" si="421"/>
        <v>0.50720900740351182</v>
      </c>
      <c r="X311" s="220">
        <f t="shared" si="422"/>
        <v>5.0000000000000044E-2</v>
      </c>
    </row>
    <row r="312" spans="3:25" ht="12" customHeight="1" x14ac:dyDescent="0.25">
      <c r="D312" s="10" t="str">
        <f>D195</f>
        <v>Closing balance trade payables</v>
      </c>
      <c r="E312" s="10"/>
      <c r="G312" s="215" t="str">
        <f t="shared" si="423"/>
        <v>EUR thd</v>
      </c>
      <c r="H312" s="215"/>
      <c r="I312" s="215"/>
      <c r="J312" s="206">
        <f t="shared" ref="J312:R312" si="435">J195</f>
        <v>1342.1991499856865</v>
      </c>
      <c r="K312" s="206">
        <f t="shared" si="435"/>
        <v>1686.1100907783762</v>
      </c>
      <c r="L312" s="206">
        <f t="shared" si="435"/>
        <v>1102.3144557130299</v>
      </c>
      <c r="M312" s="206">
        <f t="shared" si="435"/>
        <v>2263.0677615906752</v>
      </c>
      <c r="N312" s="206">
        <f t="shared" si="435"/>
        <v>2369.7287421574488</v>
      </c>
      <c r="O312" s="206">
        <f t="shared" si="435"/>
        <v>2495.0322071537189</v>
      </c>
      <c r="P312" s="206">
        <f t="shared" si="435"/>
        <v>2619.7838175114052</v>
      </c>
      <c r="Q312" s="206">
        <f t="shared" si="435"/>
        <v>2750.773008386976</v>
      </c>
      <c r="R312" s="206">
        <f t="shared" si="435"/>
        <v>2880.4200968970172</v>
      </c>
      <c r="S312" s="341"/>
      <c r="T312" s="341"/>
      <c r="U312" s="118"/>
      <c r="V312" s="220">
        <f t="shared" si="420"/>
        <v>-9.3757820803171743E-2</v>
      </c>
      <c r="W312" s="220">
        <f t="shared" si="421"/>
        <v>1.0530146818466735</v>
      </c>
      <c r="X312" s="220">
        <f t="shared" si="422"/>
        <v>5.0000000000000044E-2</v>
      </c>
    </row>
    <row r="313" spans="3:25" ht="12" customHeight="1" x14ac:dyDescent="0.25">
      <c r="D313" s="10" t="str">
        <f>D212</f>
        <v>Closing balance suppliers of non-current assets</v>
      </c>
      <c r="E313" s="10"/>
      <c r="G313" s="215" t="str">
        <f t="shared" si="423"/>
        <v>EUR thd</v>
      </c>
      <c r="H313" s="215"/>
      <c r="I313" s="215"/>
      <c r="J313" s="206">
        <f t="shared" ref="J313:R313" si="436">J212</f>
        <v>0</v>
      </c>
      <c r="K313" s="206">
        <f t="shared" si="436"/>
        <v>0</v>
      </c>
      <c r="L313" s="206">
        <f t="shared" si="436"/>
        <v>0</v>
      </c>
      <c r="M313" s="206">
        <f t="shared" si="436"/>
        <v>0</v>
      </c>
      <c r="N313" s="206">
        <f t="shared" si="436"/>
        <v>0</v>
      </c>
      <c r="O313" s="206">
        <f t="shared" si="436"/>
        <v>0</v>
      </c>
      <c r="P313" s="206">
        <f t="shared" si="436"/>
        <v>0</v>
      </c>
      <c r="Q313" s="206">
        <f t="shared" si="436"/>
        <v>0</v>
      </c>
      <c r="R313" s="206">
        <f t="shared" si="436"/>
        <v>0</v>
      </c>
      <c r="S313" s="341"/>
      <c r="T313" s="341"/>
      <c r="U313" s="118"/>
      <c r="V313" s="220">
        <f t="shared" si="420"/>
        <v>0</v>
      </c>
      <c r="W313" s="220">
        <f t="shared" si="421"/>
        <v>0</v>
      </c>
      <c r="X313" s="220">
        <f t="shared" si="422"/>
        <v>0</v>
      </c>
    </row>
    <row r="314" spans="3:25" ht="12" customHeight="1" x14ac:dyDescent="0.25">
      <c r="D314" s="10" t="str">
        <f>D229</f>
        <v>Closing balance salaries and related payables</v>
      </c>
      <c r="E314" s="10"/>
      <c r="G314" s="215" t="str">
        <f t="shared" si="423"/>
        <v>EUR thd</v>
      </c>
      <c r="H314" s="215"/>
      <c r="I314" s="215"/>
      <c r="J314" s="206">
        <f t="shared" ref="J314:R314" si="437">J229</f>
        <v>0</v>
      </c>
      <c r="K314" s="206">
        <f t="shared" si="437"/>
        <v>0</v>
      </c>
      <c r="L314" s="206">
        <f t="shared" si="437"/>
        <v>0</v>
      </c>
      <c r="M314" s="206">
        <f t="shared" si="437"/>
        <v>0</v>
      </c>
      <c r="N314" s="206">
        <f t="shared" si="437"/>
        <v>0</v>
      </c>
      <c r="O314" s="206">
        <f t="shared" si="437"/>
        <v>0</v>
      </c>
      <c r="P314" s="206">
        <f t="shared" si="437"/>
        <v>0</v>
      </c>
      <c r="Q314" s="206">
        <f t="shared" si="437"/>
        <v>0</v>
      </c>
      <c r="R314" s="206">
        <f t="shared" si="437"/>
        <v>0</v>
      </c>
      <c r="S314" s="341"/>
      <c r="T314" s="341"/>
      <c r="U314" s="118"/>
      <c r="V314" s="220">
        <f t="shared" si="420"/>
        <v>0</v>
      </c>
      <c r="W314" s="220">
        <f t="shared" si="421"/>
        <v>0</v>
      </c>
      <c r="X314" s="220">
        <f t="shared" si="422"/>
        <v>0</v>
      </c>
    </row>
    <row r="315" spans="3:25" ht="12" customHeight="1" x14ac:dyDescent="0.25">
      <c r="D315" s="10" t="str">
        <f>D246</f>
        <v>Closing balance vat payable</v>
      </c>
      <c r="E315" s="10"/>
      <c r="G315" s="215" t="str">
        <f t="shared" si="423"/>
        <v>EUR thd</v>
      </c>
      <c r="H315" s="215"/>
      <c r="I315" s="215"/>
      <c r="J315" s="206">
        <f t="shared" ref="J315:R315" si="438">J246</f>
        <v>0</v>
      </c>
      <c r="K315" s="206">
        <f t="shared" si="438"/>
        <v>0</v>
      </c>
      <c r="L315" s="206">
        <f t="shared" si="438"/>
        <v>0</v>
      </c>
      <c r="M315" s="206">
        <f t="shared" si="438"/>
        <v>0</v>
      </c>
      <c r="N315" s="206">
        <f t="shared" si="438"/>
        <v>0</v>
      </c>
      <c r="O315" s="206">
        <f t="shared" si="438"/>
        <v>0</v>
      </c>
      <c r="P315" s="206">
        <f t="shared" si="438"/>
        <v>0</v>
      </c>
      <c r="Q315" s="206">
        <f t="shared" si="438"/>
        <v>0</v>
      </c>
      <c r="R315" s="206">
        <f t="shared" si="438"/>
        <v>0</v>
      </c>
      <c r="S315" s="341"/>
      <c r="T315" s="341"/>
      <c r="U315" s="118"/>
      <c r="V315" s="220">
        <f t="shared" si="420"/>
        <v>0</v>
      </c>
      <c r="W315" s="220">
        <f t="shared" si="421"/>
        <v>0</v>
      </c>
      <c r="X315" s="220">
        <f t="shared" si="422"/>
        <v>0</v>
      </c>
    </row>
    <row r="316" spans="3:25" ht="12" customHeight="1" x14ac:dyDescent="0.25">
      <c r="D316" s="10" t="str">
        <f>D263</f>
        <v>Closing balance other debts payable to the treasury</v>
      </c>
      <c r="E316" s="10"/>
      <c r="G316" s="215" t="str">
        <f t="shared" si="423"/>
        <v>EUR thd</v>
      </c>
      <c r="H316" s="215"/>
      <c r="I316" s="215"/>
      <c r="J316" s="206">
        <f t="shared" ref="J316:R316" si="439">J263</f>
        <v>0</v>
      </c>
      <c r="K316" s="206">
        <f t="shared" si="439"/>
        <v>0</v>
      </c>
      <c r="L316" s="206">
        <f t="shared" si="439"/>
        <v>0</v>
      </c>
      <c r="M316" s="206">
        <f t="shared" si="439"/>
        <v>0</v>
      </c>
      <c r="N316" s="206">
        <f t="shared" si="439"/>
        <v>0</v>
      </c>
      <c r="O316" s="206">
        <f t="shared" si="439"/>
        <v>0</v>
      </c>
      <c r="P316" s="206">
        <f t="shared" si="439"/>
        <v>0</v>
      </c>
      <c r="Q316" s="206">
        <f t="shared" si="439"/>
        <v>0</v>
      </c>
      <c r="R316" s="206">
        <f t="shared" si="439"/>
        <v>0</v>
      </c>
      <c r="S316" s="341"/>
      <c r="T316" s="341"/>
      <c r="U316" s="118"/>
      <c r="V316" s="220">
        <f t="shared" si="420"/>
        <v>0</v>
      </c>
      <c r="W316" s="220">
        <f t="shared" si="421"/>
        <v>0</v>
      </c>
      <c r="X316" s="220">
        <f t="shared" si="422"/>
        <v>0</v>
      </c>
    </row>
    <row r="317" spans="3:25" ht="12" customHeight="1" x14ac:dyDescent="0.25">
      <c r="D317" s="10" t="str">
        <f>D280</f>
        <v>Closing balance shareholders/ associates - current accounts</v>
      </c>
      <c r="E317" s="10"/>
      <c r="G317" s="215" t="str">
        <f t="shared" si="423"/>
        <v>EUR thd</v>
      </c>
      <c r="H317" s="215"/>
      <c r="I317" s="215"/>
      <c r="J317" s="206">
        <f t="shared" ref="J317:R317" si="440">J280</f>
        <v>30.829534694237072</v>
      </c>
      <c r="K317" s="206">
        <f t="shared" si="440"/>
        <v>56.474021932742438</v>
      </c>
      <c r="L317" s="206">
        <f t="shared" si="440"/>
        <v>33.379397071120742</v>
      </c>
      <c r="M317" s="206">
        <f t="shared" si="440"/>
        <v>63.362077643747547</v>
      </c>
      <c r="N317" s="206">
        <f t="shared" si="440"/>
        <v>63.362077643747547</v>
      </c>
      <c r="O317" s="206">
        <f t="shared" si="440"/>
        <v>63.362077643747547</v>
      </c>
      <c r="P317" s="206">
        <f t="shared" si="440"/>
        <v>63.362077643747547</v>
      </c>
      <c r="Q317" s="206">
        <f t="shared" si="440"/>
        <v>63.362077643747547</v>
      </c>
      <c r="R317" s="206">
        <f t="shared" si="440"/>
        <v>63.362077643747547</v>
      </c>
      <c r="S317" s="341"/>
      <c r="T317" s="341"/>
      <c r="U317" s="118"/>
      <c r="V317" s="220">
        <f t="shared" si="420"/>
        <v>4.0532762028548719E-2</v>
      </c>
      <c r="W317" s="220">
        <f t="shared" si="421"/>
        <v>0.89823912962667873</v>
      </c>
      <c r="X317" s="220">
        <f t="shared" si="422"/>
        <v>0</v>
      </c>
    </row>
    <row r="318" spans="3:25" ht="12" customHeight="1" x14ac:dyDescent="0.25">
      <c r="D318" s="10" t="str">
        <f>D297</f>
        <v>Closing balance other payables and accrued expenses</v>
      </c>
      <c r="E318" s="10"/>
      <c r="G318" s="215" t="str">
        <f t="shared" si="423"/>
        <v>EUR thd</v>
      </c>
      <c r="H318" s="215"/>
      <c r="I318" s="215"/>
      <c r="J318" s="206">
        <f t="shared" ref="J318:O318" si="441">J297</f>
        <v>26.747937724339913</v>
      </c>
      <c r="K318" s="206">
        <f t="shared" si="441"/>
        <v>44.544511449234925</v>
      </c>
      <c r="L318" s="206">
        <f t="shared" si="441"/>
        <v>31.618649627993733</v>
      </c>
      <c r="M318" s="206">
        <f t="shared" si="441"/>
        <v>54.469344350527372</v>
      </c>
      <c r="N318" s="206">
        <f t="shared" si="441"/>
        <v>57.036547055572726</v>
      </c>
      <c r="O318" s="206">
        <f t="shared" si="441"/>
        <v>60.052452146456417</v>
      </c>
      <c r="P318" s="206">
        <v>5</v>
      </c>
      <c r="Q318" s="206">
        <v>5</v>
      </c>
      <c r="R318" s="206">
        <v>5</v>
      </c>
      <c r="S318" s="341"/>
      <c r="T318" s="341"/>
      <c r="U318" s="118"/>
      <c r="V318" s="220">
        <f t="shared" si="420"/>
        <v>8.7242717440807693E-2</v>
      </c>
      <c r="W318" s="220">
        <f t="shared" si="421"/>
        <v>0.72269673092878262</v>
      </c>
      <c r="X318" s="220">
        <f t="shared" si="422"/>
        <v>-0.54890021627146979</v>
      </c>
    </row>
    <row r="319" spans="3:25" ht="12" customHeight="1" x14ac:dyDescent="0.25">
      <c r="C319" s="9" t="s">
        <v>242</v>
      </c>
      <c r="G319" s="214" t="str">
        <f t="shared" si="423"/>
        <v>EUR thd</v>
      </c>
      <c r="H319" s="215"/>
      <c r="I319" s="215"/>
      <c r="J319" s="326">
        <f t="shared" ref="J319:R319" si="442">J301-J310</f>
        <v>577.60389773402858</v>
      </c>
      <c r="K319" s="326">
        <f t="shared" si="442"/>
        <v>507.64971350086944</v>
      </c>
      <c r="L319" s="326">
        <f t="shared" si="442"/>
        <v>249.70217200197249</v>
      </c>
      <c r="M319" s="326">
        <f t="shared" si="442"/>
        <v>700.18727316697641</v>
      </c>
      <c r="N319" s="326">
        <f t="shared" ca="1" si="442"/>
        <v>736.17423027485984</v>
      </c>
      <c r="O319" s="326">
        <f t="shared" ca="1" si="442"/>
        <v>778.45108162507677</v>
      </c>
      <c r="P319" s="326">
        <f t="shared" ca="1" si="442"/>
        <v>878.59681434229606</v>
      </c>
      <c r="Q319" s="326">
        <f t="shared" ca="1" si="442"/>
        <v>925.94475894159677</v>
      </c>
      <c r="R319" s="326">
        <f t="shared" ca="1" si="442"/>
        <v>972.80758115771187</v>
      </c>
      <c r="S319" s="341"/>
      <c r="T319" s="341"/>
      <c r="U319" s="118"/>
      <c r="V319" s="220">
        <f t="shared" si="420"/>
        <v>-0.34249947733856845</v>
      </c>
      <c r="W319" s="220">
        <f t="shared" si="421"/>
        <v>1.8040896382809413</v>
      </c>
      <c r="X319" s="220">
        <f t="shared" ca="1" si="422"/>
        <v>7.8595168450777741E-2</v>
      </c>
    </row>
    <row r="320" spans="3:25" ht="12" customHeight="1" x14ac:dyDescent="0.25">
      <c r="C320" s="9" t="s">
        <v>260</v>
      </c>
      <c r="G320" s="214" t="str">
        <f t="shared" si="423"/>
        <v>EUR thd</v>
      </c>
      <c r="H320" s="215"/>
      <c r="I320" s="215"/>
      <c r="J320" s="327"/>
      <c r="K320" s="326">
        <f t="shared" ref="K320:P320" si="443">K319-J319</f>
        <v>-69.95418423315914</v>
      </c>
      <c r="L320" s="326">
        <f t="shared" si="443"/>
        <v>-257.94754149889695</v>
      </c>
      <c r="M320" s="326">
        <f t="shared" si="443"/>
        <v>450.48510116500393</v>
      </c>
      <c r="N320" s="326">
        <f t="shared" ca="1" si="443"/>
        <v>35.986957107883427</v>
      </c>
      <c r="O320" s="326">
        <f t="shared" ca="1" si="443"/>
        <v>42.27685135021693</v>
      </c>
      <c r="P320" s="326">
        <f t="shared" ca="1" si="443"/>
        <v>100.14573271721929</v>
      </c>
      <c r="Q320" s="326">
        <f t="shared" ref="Q320" ca="1" si="444">Q319-P319</f>
        <v>47.347944599300718</v>
      </c>
      <c r="R320" s="326">
        <f t="shared" ref="R320" ca="1" si="445">R319-Q319</f>
        <v>46.862822216115092</v>
      </c>
      <c r="S320" s="341"/>
      <c r="T320" s="341"/>
      <c r="U320" s="215"/>
      <c r="V320" s="220">
        <f t="shared" si="420"/>
        <v>0</v>
      </c>
      <c r="W320" s="220">
        <f t="shared" si="421"/>
        <v>-2.7464213791195613</v>
      </c>
      <c r="X320" s="220">
        <f t="shared" ca="1" si="422"/>
        <v>-0.39421664135370138</v>
      </c>
      <c r="Y320" s="105"/>
    </row>
    <row r="321" spans="1:25" ht="12" customHeight="1" x14ac:dyDescent="0.25">
      <c r="H321" s="215"/>
      <c r="I321" s="215"/>
      <c r="J321" s="118"/>
      <c r="K321" s="118"/>
      <c r="L321" s="118"/>
      <c r="M321" s="118"/>
      <c r="N321" s="118"/>
      <c r="O321" s="118"/>
      <c r="P321" s="118"/>
      <c r="Q321" s="118"/>
      <c r="R321" s="118"/>
      <c r="S321" s="118"/>
      <c r="T321" s="347"/>
    </row>
    <row r="322" spans="1:25" ht="12" customHeight="1" x14ac:dyDescent="0.25">
      <c r="H322" s="215"/>
      <c r="I322" s="215"/>
      <c r="J322" s="118"/>
      <c r="K322" s="118"/>
      <c r="L322" s="118"/>
      <c r="M322" s="118"/>
      <c r="N322" s="118"/>
      <c r="O322" s="118"/>
      <c r="P322" s="118"/>
      <c r="Q322" s="118"/>
      <c r="R322" s="118"/>
      <c r="S322" s="118"/>
      <c r="T322" s="118"/>
    </row>
    <row r="323" spans="1:25" s="98" customFormat="1" ht="12" customHeight="1" x14ac:dyDescent="0.25">
      <c r="A323" s="96" t="s">
        <v>0</v>
      </c>
      <c r="B323" s="64"/>
      <c r="C323" s="64"/>
      <c r="D323" s="64"/>
      <c r="E323" s="64"/>
      <c r="F323" s="81"/>
      <c r="G323" s="81"/>
      <c r="H323" s="393"/>
      <c r="I323" s="392"/>
      <c r="J323" s="119"/>
      <c r="K323" s="119"/>
      <c r="L323" s="119"/>
      <c r="M323" s="119"/>
      <c r="N323" s="119"/>
      <c r="O323" s="119"/>
      <c r="P323" s="119"/>
      <c r="Q323" s="119"/>
      <c r="R323" s="119"/>
      <c r="S323" s="119"/>
      <c r="T323" s="119"/>
      <c r="V323" s="100"/>
      <c r="W323" s="100"/>
      <c r="X323" s="100"/>
      <c r="Y323" s="81"/>
    </row>
    <row r="324" spans="1:25" ht="12" customHeight="1" x14ac:dyDescent="0.25">
      <c r="H324" s="215"/>
      <c r="I324" s="215"/>
      <c r="J324" s="118"/>
      <c r="K324" s="118"/>
      <c r="L324" s="118"/>
      <c r="M324" s="118"/>
      <c r="N324" s="118"/>
      <c r="O324" s="118"/>
      <c r="P324" s="118"/>
      <c r="Q324" s="118"/>
      <c r="R324" s="118"/>
      <c r="S324" s="118"/>
      <c r="T324" s="118"/>
    </row>
  </sheetData>
  <conditionalFormatting sqref="A3">
    <cfRule type="containsText" dxfId="9" priority="1" operator="containsText" text="OK">
      <formula>NOT(ISERROR(SEARCH("OK",A3)))</formula>
    </cfRule>
    <cfRule type="containsText" dxfId="8" priority="2" operator="containsText" text="Error">
      <formula>NOT(ISERROR(SEARCH("Error",A3)))</formula>
    </cfRule>
  </conditionalFormatting>
  <pageMargins left="0.7" right="0.7" top="0.75" bottom="0.75" header="0.3" footer="0.3"/>
  <pageSetup paperSize="9" orientation="portrait" r:id="rId1"/>
  <headerFooter>
    <oddFooter>&amp;C&amp;7&amp;B&amp;"Arial"Document Classification: KPMG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4193" r:id="rId4" name="Button 1">
              <controlPr defaultSize="0" autoFill="0" autoPict="0" macro="[0]!scenario1">
                <anchor moveWithCells="1" sizeWithCells="1">
                  <from>
                    <xdr:col>6</xdr:col>
                    <xdr:colOff>525780</xdr:colOff>
                    <xdr:row>1</xdr:row>
                    <xdr:rowOff>0</xdr:rowOff>
                  </from>
                  <to>
                    <xdr:col>7</xdr:col>
                    <xdr:colOff>99060</xdr:colOff>
                    <xdr:row>2</xdr:row>
                    <xdr:rowOff>91440</xdr:rowOff>
                  </to>
                </anchor>
              </controlPr>
            </control>
          </mc:Choice>
        </mc:AlternateContent>
        <mc:AlternateContent xmlns:mc="http://schemas.openxmlformats.org/markup-compatibility/2006">
          <mc:Choice Requires="x14">
            <control shapeId="1544194" r:id="rId5" name="Button 2">
              <controlPr defaultSize="0" autoFill="0" autoPict="0" macro="[0]!scenario2">
                <anchor moveWithCells="1" sizeWithCells="1">
                  <from>
                    <xdr:col>7</xdr:col>
                    <xdr:colOff>106680</xdr:colOff>
                    <xdr:row>1</xdr:row>
                    <xdr:rowOff>0</xdr:rowOff>
                  </from>
                  <to>
                    <xdr:col>7</xdr:col>
                    <xdr:colOff>426720</xdr:colOff>
                    <xdr:row>2</xdr:row>
                    <xdr:rowOff>91440</xdr:rowOff>
                  </to>
                </anchor>
              </controlPr>
            </control>
          </mc:Choice>
        </mc:AlternateContent>
        <mc:AlternateContent xmlns:mc="http://schemas.openxmlformats.org/markup-compatibility/2006">
          <mc:Choice Requires="x14">
            <control shapeId="1544195" r:id="rId6" name="Button 3">
              <controlPr defaultSize="0" autoFill="0" autoPict="0" macro="[0]!scenario3">
                <anchor moveWithCells="1" sizeWithCells="1">
                  <from>
                    <xdr:col>7</xdr:col>
                    <xdr:colOff>434340</xdr:colOff>
                    <xdr:row>1</xdr:row>
                    <xdr:rowOff>0</xdr:rowOff>
                  </from>
                  <to>
                    <xdr:col>8</xdr:col>
                    <xdr:colOff>7620</xdr:colOff>
                    <xdr:row>2</xdr:row>
                    <xdr:rowOff>91440</xdr:rowOff>
                  </to>
                </anchor>
              </controlPr>
            </control>
          </mc:Choice>
        </mc:AlternateContent>
        <mc:AlternateContent xmlns:mc="http://schemas.openxmlformats.org/markup-compatibility/2006">
          <mc:Choice Requires="x14">
            <control shapeId="1544196" r:id="rId7" name="Button 4">
              <controlPr defaultSize="0" print="0" autoFill="0" autoPict="0" macro="[0]!Module3.ModelMap">
                <anchor moveWithCells="1" sizeWithCells="1">
                  <from>
                    <xdr:col>5</xdr:col>
                    <xdr:colOff>3352800</xdr:colOff>
                    <xdr:row>1</xdr:row>
                    <xdr:rowOff>0</xdr:rowOff>
                  </from>
                  <to>
                    <xdr:col>6</xdr:col>
                    <xdr:colOff>510540</xdr:colOff>
                    <xdr:row>2</xdr:row>
                    <xdr:rowOff>91440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8">
    <tabColor rgb="FF0070C0"/>
    <outlinePr summaryBelow="0" summaryRight="0"/>
  </sheetPr>
  <dimension ref="A1:Y59"/>
  <sheetViews>
    <sheetView showGridLines="0" zoomScale="85" zoomScaleNormal="85" workbookViewId="0">
      <pane xSplit="9" ySplit="4" topLeftCell="J29" activePane="bottomRight" state="frozen"/>
      <selection activeCell="F5" sqref="F5"/>
      <selection pane="topRight" activeCell="F5" sqref="F5"/>
      <selection pane="bottomLeft" activeCell="F5" sqref="F5"/>
      <selection pane="bottomRight" activeCell="J9" sqref="J9"/>
    </sheetView>
  </sheetViews>
  <sheetFormatPr defaultColWidth="0" defaultRowHeight="12" customHeight="1" outlineLevelRow="2" outlineLevelCol="1" x14ac:dyDescent="0.25"/>
  <cols>
    <col min="1" max="1" width="3.6640625" style="9" customWidth="1"/>
    <col min="2" max="4" width="5.6640625" style="9" customWidth="1"/>
    <col min="5" max="5" width="2.6640625" style="9" customWidth="1"/>
    <col min="6" max="6" width="40.6640625" style="10" customWidth="1"/>
    <col min="7" max="7" width="10.6640625" style="10" customWidth="1"/>
    <col min="8" max="8" width="10.6640625" style="11" customWidth="1"/>
    <col min="9" max="9" width="2.6640625" style="10" customWidth="1"/>
    <col min="10" max="17" width="10.6640625" style="12" customWidth="1"/>
    <col min="18" max="18" width="10.6640625" style="12" customWidth="1" collapsed="1"/>
    <col min="19" max="20" width="10.6640625" style="12" hidden="1" customWidth="1" outlineLevel="1"/>
    <col min="21" max="21" width="2.6640625" style="12" customWidth="1"/>
    <col min="22" max="23" width="10.33203125" style="13" bestFit="1" customWidth="1"/>
    <col min="24" max="24" width="9.6640625" style="13" bestFit="1" customWidth="1"/>
    <col min="25" max="25" width="25.6640625" style="10" customWidth="1"/>
    <col min="26" max="16384" width="9.109375" style="12" hidden="1"/>
  </cols>
  <sheetData>
    <row r="1" spans="1:25" s="6" customFormat="1" ht="12" customHeight="1" x14ac:dyDescent="0.25">
      <c r="A1" s="1" t="str">
        <f ca="1">MID(CELL("filename"),SEARCH("[",CELL("filename"))+1, SEARCH("]",CELL("filename"))-SEARCH("[",CELL("filename"))-1)</f>
        <v>Project Horeco_190409_1810.xlsm</v>
      </c>
      <c r="B1" s="1"/>
      <c r="C1" s="1"/>
      <c r="D1" s="1"/>
      <c r="E1" s="1"/>
      <c r="F1" s="83"/>
      <c r="G1" s="1"/>
      <c r="H1" s="2"/>
      <c r="I1" s="1"/>
      <c r="J1" s="3">
        <f>'1.0.Model timing'!J9</f>
        <v>42370</v>
      </c>
      <c r="K1" s="3">
        <f>'1.0.Model timing'!K9</f>
        <v>42736</v>
      </c>
      <c r="L1" s="3">
        <f>'1.0.Model timing'!L9</f>
        <v>43101</v>
      </c>
      <c r="M1" s="3">
        <f>'1.0.Model timing'!M9</f>
        <v>43466</v>
      </c>
      <c r="N1" s="3">
        <f>'1.0.Model timing'!N9</f>
        <v>43831</v>
      </c>
      <c r="O1" s="3">
        <f>'1.0.Model timing'!O9</f>
        <v>44197</v>
      </c>
      <c r="P1" s="3">
        <f>'1.0.Model timing'!P9</f>
        <v>44562</v>
      </c>
      <c r="Q1" s="3">
        <f>'1.0.Model timing'!Q9</f>
        <v>44927</v>
      </c>
      <c r="R1" s="3">
        <f>'1.0.Model timing'!R9</f>
        <v>45292</v>
      </c>
      <c r="S1" s="3">
        <f>'1.0.Model timing'!S9</f>
        <v>45658</v>
      </c>
      <c r="T1" s="3">
        <f>'1.0.Model timing'!T9</f>
        <v>46023</v>
      </c>
      <c r="U1" s="4"/>
      <c r="V1" s="5"/>
      <c r="W1" s="5"/>
      <c r="X1" s="5"/>
      <c r="Y1" s="1" t="s">
        <v>11</v>
      </c>
    </row>
    <row r="2" spans="1:25" s="6" customFormat="1" ht="12" customHeight="1" x14ac:dyDescent="0.25">
      <c r="A2" s="1" t="str">
        <f ca="1">RIGHT(CELL("filename",A2),LEN(CELL("filename",A2))-FIND("]",CELL("filename",A2)))</f>
        <v>3.1. Income Statement</v>
      </c>
      <c r="B2" s="1"/>
      <c r="C2" s="1"/>
      <c r="D2" s="1"/>
      <c r="E2" s="1"/>
      <c r="F2" s="83"/>
      <c r="G2" s="1"/>
      <c r="H2" s="2"/>
      <c r="I2" s="1"/>
      <c r="J2" s="3">
        <f>'1.0.Model timing'!J10</f>
        <v>42735</v>
      </c>
      <c r="K2" s="3">
        <f>'1.0.Model timing'!K10</f>
        <v>43100</v>
      </c>
      <c r="L2" s="3">
        <f>'1.0.Model timing'!L10</f>
        <v>43465</v>
      </c>
      <c r="M2" s="3">
        <f>'1.0.Model timing'!M10</f>
        <v>43830</v>
      </c>
      <c r="N2" s="3">
        <f>'1.0.Model timing'!N10</f>
        <v>44196</v>
      </c>
      <c r="O2" s="3">
        <f>'1.0.Model timing'!O10</f>
        <v>44561</v>
      </c>
      <c r="P2" s="3">
        <f>'1.0.Model timing'!P10</f>
        <v>44926</v>
      </c>
      <c r="Q2" s="3">
        <f>'1.0.Model timing'!Q10</f>
        <v>45291</v>
      </c>
      <c r="R2" s="3">
        <f>'1.0.Model timing'!R10</f>
        <v>45657</v>
      </c>
      <c r="S2" s="3">
        <f>'1.0.Model timing'!S10</f>
        <v>46022</v>
      </c>
      <c r="T2" s="3">
        <f>'1.0.Model timing'!T10</f>
        <v>46387</v>
      </c>
      <c r="U2" s="4"/>
      <c r="V2" s="5"/>
      <c r="W2" s="5"/>
      <c r="X2" s="5"/>
      <c r="Y2" s="1"/>
    </row>
    <row r="3" spans="1:25" s="6" customFormat="1" ht="12" customHeight="1" x14ac:dyDescent="0.25">
      <c r="A3" s="1"/>
      <c r="B3" s="1"/>
      <c r="C3" s="1"/>
      <c r="D3" s="1"/>
      <c r="E3" s="1"/>
      <c r="F3" s="83"/>
      <c r="G3" s="1"/>
      <c r="H3" s="2"/>
      <c r="I3" s="1"/>
      <c r="J3" s="7">
        <f>'1.0.Model timing'!J11</f>
        <v>2016</v>
      </c>
      <c r="K3" s="7">
        <f>'1.0.Model timing'!K11</f>
        <v>2017</v>
      </c>
      <c r="L3" s="7">
        <f>'1.0.Model timing'!L11</f>
        <v>2018</v>
      </c>
      <c r="M3" s="7">
        <f>'1.0.Model timing'!M11</f>
        <v>2019</v>
      </c>
      <c r="N3" s="7">
        <f>'1.0.Model timing'!N11</f>
        <v>2020</v>
      </c>
      <c r="O3" s="7">
        <f>'1.0.Model timing'!O11</f>
        <v>2021</v>
      </c>
      <c r="P3" s="7">
        <f>'1.0.Model timing'!P11</f>
        <v>2022</v>
      </c>
      <c r="Q3" s="7">
        <f>'1.0.Model timing'!Q11</f>
        <v>2023</v>
      </c>
      <c r="R3" s="7">
        <f>'1.0.Model timing'!R11</f>
        <v>2024</v>
      </c>
      <c r="S3" s="7">
        <f>'1.0.Model timing'!S11</f>
        <v>2025</v>
      </c>
      <c r="T3" s="7">
        <f>'1.0.Model timing'!T11</f>
        <v>2026</v>
      </c>
      <c r="U3" s="4"/>
      <c r="V3" s="5" t="s">
        <v>9</v>
      </c>
      <c r="W3" s="5" t="s">
        <v>10</v>
      </c>
      <c r="X3" s="5" t="s">
        <v>9</v>
      </c>
      <c r="Y3" s="1"/>
    </row>
    <row r="4" spans="1:25" s="6" customFormat="1" ht="12" customHeight="1" x14ac:dyDescent="0.25">
      <c r="A4" s="1"/>
      <c r="B4" s="1"/>
      <c r="C4" s="1"/>
      <c r="D4" s="1"/>
      <c r="E4" s="1"/>
      <c r="F4" s="83"/>
      <c r="G4" s="1" t="s">
        <v>8</v>
      </c>
      <c r="H4" s="2" t="s">
        <v>7</v>
      </c>
      <c r="I4" s="1"/>
      <c r="J4" s="8" t="str">
        <f>'1.0.Model timing'!J15</f>
        <v>Actual</v>
      </c>
      <c r="K4" s="8" t="str">
        <f>'1.0.Model timing'!K15</f>
        <v>Actual</v>
      </c>
      <c r="L4" s="8" t="str">
        <f>'1.0.Model timing'!L15</f>
        <v>Actual</v>
      </c>
      <c r="M4" s="8" t="str">
        <f>'1.0.Model timing'!M15</f>
        <v>Forecast</v>
      </c>
      <c r="N4" s="8" t="str">
        <f>'1.0.Model timing'!N15</f>
        <v>Forecast</v>
      </c>
      <c r="O4" s="8" t="str">
        <f>'1.0.Model timing'!O15</f>
        <v>Forecast</v>
      </c>
      <c r="P4" s="8" t="str">
        <f>'1.0.Model timing'!P15</f>
        <v>Forecast</v>
      </c>
      <c r="Q4" s="8" t="str">
        <f>'1.0.Model timing'!Q15</f>
        <v>Forecast</v>
      </c>
      <c r="R4" s="8" t="str">
        <f>'1.0.Model timing'!R15</f>
        <v>Forecast</v>
      </c>
      <c r="S4" s="8" t="str">
        <f>'1.0.Model timing'!S15</f>
        <v>Forecast</v>
      </c>
      <c r="T4" s="8" t="str">
        <f>'1.0.Model timing'!T15</f>
        <v>Forecast</v>
      </c>
      <c r="U4" s="4"/>
      <c r="V4" s="5" t="s">
        <v>723</v>
      </c>
      <c r="W4" s="5" t="s">
        <v>724</v>
      </c>
      <c r="X4" s="5" t="s">
        <v>725</v>
      </c>
      <c r="Y4" s="1"/>
    </row>
    <row r="6" spans="1:25" ht="12" customHeight="1" x14ac:dyDescent="0.25">
      <c r="A6" s="14">
        <f ca="1">MAX($A$1:A5)+1</f>
        <v>1</v>
      </c>
      <c r="B6" s="15" t="s">
        <v>163</v>
      </c>
      <c r="C6" s="15"/>
      <c r="D6" s="15"/>
      <c r="E6" s="15"/>
      <c r="F6" s="16"/>
      <c r="G6" s="17"/>
      <c r="H6" s="18"/>
      <c r="I6" s="17"/>
      <c r="J6" s="19"/>
      <c r="K6" s="19"/>
      <c r="L6" s="19"/>
      <c r="M6" s="19"/>
      <c r="N6" s="19"/>
      <c r="O6" s="19"/>
      <c r="P6" s="19"/>
      <c r="Q6" s="19"/>
      <c r="R6" s="19"/>
      <c r="S6" s="19"/>
      <c r="T6" s="19"/>
      <c r="U6" s="19"/>
      <c r="V6" s="20"/>
      <c r="W6" s="20"/>
      <c r="X6" s="20"/>
      <c r="Y6" s="21"/>
    </row>
    <row r="7" spans="1:25" ht="12" customHeight="1" x14ac:dyDescent="0.25">
      <c r="H7" s="22"/>
      <c r="P7" s="646"/>
      <c r="W7" s="31"/>
      <c r="X7" s="31"/>
    </row>
    <row r="8" spans="1:25" ht="12" customHeight="1" x14ac:dyDescent="0.25">
      <c r="A8" s="845"/>
      <c r="B8" s="25">
        <f ca="1">MAX($A$1:B7)+0.1</f>
        <v>1.1000000000000001</v>
      </c>
      <c r="C8" s="9" t="str">
        <f>'1.2.Historical IS'!C8</f>
        <v>Operating revenues</v>
      </c>
      <c r="H8" s="292"/>
      <c r="I8" s="215"/>
      <c r="J8" s="334"/>
      <c r="K8" s="334"/>
      <c r="L8" s="335"/>
      <c r="M8" s="640"/>
      <c r="N8" s="335"/>
      <c r="O8" s="335"/>
      <c r="P8" s="335"/>
      <c r="Q8" s="335"/>
      <c r="R8" s="335"/>
      <c r="S8" s="335"/>
      <c r="T8" s="118"/>
      <c r="U8" s="118"/>
      <c r="V8" s="225"/>
      <c r="W8" s="219"/>
      <c r="X8" s="219"/>
    </row>
    <row r="9" spans="1:25" ht="12" customHeight="1" x14ac:dyDescent="0.25">
      <c r="A9" s="845"/>
      <c r="B9" s="25"/>
      <c r="C9" s="6"/>
      <c r="D9" s="9" t="str">
        <f>'1.2.Historical IS'!D9</f>
        <v>Turnover</v>
      </c>
      <c r="G9" s="9" t="str">
        <f t="shared" ref="G9:G17" si="0">"EUR "&amp;Multiplier</f>
        <v>EUR thd</v>
      </c>
      <c r="H9" s="292"/>
      <c r="I9" s="215"/>
      <c r="J9" s="216">
        <f>SUM(J10:J12)</f>
        <v>4986.7756435378997</v>
      </c>
      <c r="K9" s="216">
        <f t="shared" ref="K9:P9" si="1">SUM(K10:K12)</f>
        <v>9693.3125500755232</v>
      </c>
      <c r="L9" s="216">
        <f t="shared" si="1"/>
        <v>7594.3175631245304</v>
      </c>
      <c r="M9" s="216">
        <f t="shared" si="1"/>
        <v>11882.795996257355</v>
      </c>
      <c r="N9" s="216">
        <f t="shared" si="1"/>
        <v>12476.935796070224</v>
      </c>
      <c r="O9" s="216">
        <f t="shared" si="1"/>
        <v>13100.782585873734</v>
      </c>
      <c r="P9" s="216">
        <f t="shared" si="1"/>
        <v>13755.821715167422</v>
      </c>
      <c r="Q9" s="216">
        <f t="shared" ref="Q9:R9" si="2">SUM(Q10:Q12)</f>
        <v>14443.612800925794</v>
      </c>
      <c r="R9" s="216">
        <f t="shared" si="2"/>
        <v>15165.793440972082</v>
      </c>
      <c r="S9" s="338"/>
      <c r="T9" s="338"/>
      <c r="U9" s="118"/>
      <c r="V9" s="220">
        <f t="shared" ref="V9:V55" si="3">IF(ISERROR((($L9/$J9)^(1/($L$3-$J$3))-1)),0,(($L9/$J9)^(1/($L$3-$J$3))-1))</f>
        <v>0.23405484654279185</v>
      </c>
      <c r="W9" s="220">
        <f t="shared" ref="W9:W55" si="4">IF(ISERROR($M9/$L9-1),0,$M9/$L9-1)</f>
        <v>0.56469569483849913</v>
      </c>
      <c r="X9" s="220">
        <f>IF(ISERROR((($P9/$M9)^(1/($P$3-$M$3))-1)),0,(($P9/$M9)^(1/($P$3-$M$3))-1))</f>
        <v>5.0000000000000044E-2</v>
      </c>
    </row>
    <row r="10" spans="1:25" s="6" customFormat="1" ht="12" customHeight="1" outlineLevel="1" x14ac:dyDescent="0.25">
      <c r="A10" s="845"/>
      <c r="B10" s="25"/>
      <c r="E10" s="434" t="str">
        <f>'1.2.Historical IS'!E10</f>
        <v>Sale of finished goods, of which:</v>
      </c>
      <c r="F10" s="434"/>
      <c r="G10" s="434" t="str">
        <f t="shared" si="0"/>
        <v>EUR thd</v>
      </c>
      <c r="H10" s="292"/>
      <c r="I10" s="215"/>
      <c r="J10" s="107">
        <f>'1.5 Assumptions book'!J10</f>
        <v>3581.311171728868</v>
      </c>
      <c r="K10" s="107">
        <f>'1.5 Assumptions book'!K10</f>
        <v>8365.4754405551539</v>
      </c>
      <c r="L10" s="107">
        <f>'1.5 Assumptions book'!L10</f>
        <v>6263.9606425271304</v>
      </c>
      <c r="M10" s="107">
        <f>'1.5 Assumptions book'!M10</f>
        <v>9801.1922500000001</v>
      </c>
      <c r="N10" s="107">
        <f>'1.5 Assumptions book'!N10</f>
        <v>10291.251862500001</v>
      </c>
      <c r="O10" s="107">
        <f>'1.5 Assumptions book'!O10</f>
        <v>10805.814455625001</v>
      </c>
      <c r="P10" s="107">
        <f>'1.5 Assumptions book'!P10</f>
        <v>11346.105178406251</v>
      </c>
      <c r="Q10" s="107">
        <f>'1.5 Assumptions book'!Q10</f>
        <v>11913.410437326564</v>
      </c>
      <c r="R10" s="107">
        <f>'1.5 Assumptions book'!R10</f>
        <v>12509.080959192892</v>
      </c>
      <c r="S10" s="338"/>
      <c r="T10" s="338"/>
      <c r="U10" s="218"/>
      <c r="V10" s="220">
        <f t="shared" si="3"/>
        <v>0.32252375469423566</v>
      </c>
      <c r="W10" s="220">
        <f t="shared" si="4"/>
        <v>0.56469569483849913</v>
      </c>
      <c r="X10" s="220">
        <f t="shared" ref="X10:X55" si="5">IF(ISERROR((($P10/$M10)^(1/($P$3-$M$3))-1)),0,(($P10/$M10)^(1/($P$3-$M$3))-1))</f>
        <v>5.0000000000000044E-2</v>
      </c>
      <c r="Y10" s="9"/>
    </row>
    <row r="11" spans="1:25" s="6" customFormat="1" ht="12" customHeight="1" outlineLevel="1" x14ac:dyDescent="0.25">
      <c r="A11" s="845"/>
      <c r="B11" s="25"/>
      <c r="E11" s="434" t="str">
        <f>'1.2.Historical IS'!E13</f>
        <v>Services rendered</v>
      </c>
      <c r="F11" s="434"/>
      <c r="G11" s="434" t="str">
        <f t="shared" si="0"/>
        <v>EUR thd</v>
      </c>
      <c r="H11" s="292"/>
      <c r="I11" s="215"/>
      <c r="J11" s="107">
        <f>'1.5 Assumptions book'!J14</f>
        <v>379.61050146967131</v>
      </c>
      <c r="K11" s="107">
        <f>'1.5 Assumptions book'!K14</f>
        <v>691.0021080974584</v>
      </c>
      <c r="L11" s="107">
        <f>'1.5 Assumptions book'!L14</f>
        <v>416.49837756527342</v>
      </c>
      <c r="M11" s="107">
        <f>'1.5 Assumptions book'!M14</f>
        <v>651.69321828360307</v>
      </c>
      <c r="N11" s="107">
        <f>'1.5 Assumptions book'!N14</f>
        <v>684.27787919778325</v>
      </c>
      <c r="O11" s="107">
        <f>'1.5 Assumptions book'!O14</f>
        <v>718.49177315767247</v>
      </c>
      <c r="P11" s="107">
        <f>'1.5 Assumptions book'!P14</f>
        <v>754.41636181555612</v>
      </c>
      <c r="Q11" s="107">
        <f>'1.5 Assumptions book'!Q14</f>
        <v>792.13717990633393</v>
      </c>
      <c r="R11" s="107">
        <f>'1.5 Assumptions book'!R14</f>
        <v>831.7440389016507</v>
      </c>
      <c r="S11" s="338"/>
      <c r="T11" s="338"/>
      <c r="U11" s="218"/>
      <c r="V11" s="220">
        <f t="shared" si="3"/>
        <v>4.7460242708311728E-2</v>
      </c>
      <c r="W11" s="220">
        <f t="shared" si="4"/>
        <v>0.56469569483849913</v>
      </c>
      <c r="X11" s="220">
        <f t="shared" si="5"/>
        <v>5.0000000000000044E-2</v>
      </c>
      <c r="Y11" s="9"/>
    </row>
    <row r="12" spans="1:25" s="6" customFormat="1" ht="12" customHeight="1" outlineLevel="1" x14ac:dyDescent="0.25">
      <c r="A12" s="845"/>
      <c r="B12" s="25"/>
      <c r="D12" s="9"/>
      <c r="E12" s="434" t="str">
        <f>'1.2.Historical IS'!E14</f>
        <v>Sale of goods purchased for resale</v>
      </c>
      <c r="F12" s="434"/>
      <c r="G12" s="434" t="str">
        <f t="shared" si="0"/>
        <v>EUR thd</v>
      </c>
      <c r="H12" s="292"/>
      <c r="I12" s="215"/>
      <c r="J12" s="107">
        <f>'1.5 Assumptions book'!J17</f>
        <v>1025.8539703393606</v>
      </c>
      <c r="K12" s="107">
        <f>'1.5 Assumptions book'!K17</f>
        <v>636.83500142291098</v>
      </c>
      <c r="L12" s="107">
        <f>'1.5 Assumptions book'!L17</f>
        <v>913.85854303212636</v>
      </c>
      <c r="M12" s="107">
        <f>'1.5 Assumptions book'!M17</f>
        <v>1429.9105279737514</v>
      </c>
      <c r="N12" s="107">
        <f>'1.5 Assumptions book'!N17</f>
        <v>1501.406054372439</v>
      </c>
      <c r="O12" s="107">
        <f>'1.5 Assumptions book'!O17</f>
        <v>1576.4763570910611</v>
      </c>
      <c r="P12" s="107">
        <f>'1.5 Assumptions book'!P17</f>
        <v>1655.3001749456143</v>
      </c>
      <c r="Q12" s="107">
        <f>'1.5 Assumptions book'!Q17</f>
        <v>1738.0651836928951</v>
      </c>
      <c r="R12" s="107">
        <f>'1.5 Assumptions book'!R17</f>
        <v>1824.9684428775399</v>
      </c>
      <c r="S12" s="338"/>
      <c r="T12" s="338"/>
      <c r="U12" s="218"/>
      <c r="V12" s="220">
        <f t="shared" si="3"/>
        <v>-5.6163613243395027E-2</v>
      </c>
      <c r="W12" s="220">
        <f t="shared" si="4"/>
        <v>0.56469569483849913</v>
      </c>
      <c r="X12" s="220">
        <f t="shared" si="5"/>
        <v>5.0000000000000044E-2</v>
      </c>
      <c r="Y12" s="9"/>
    </row>
    <row r="13" spans="1:25" s="6" customFormat="1" ht="12" customHeight="1" outlineLevel="1" x14ac:dyDescent="0.25">
      <c r="A13" s="845"/>
      <c r="B13" s="25"/>
      <c r="D13" s="9"/>
      <c r="E13" s="434" t="str">
        <f>'1.2.Historical IS'!E17</f>
        <v>Trade discounts offered</v>
      </c>
      <c r="F13" s="434"/>
      <c r="G13" s="434" t="str">
        <f t="shared" si="0"/>
        <v>EUR thd</v>
      </c>
      <c r="H13" s="292"/>
      <c r="I13" s="215"/>
      <c r="J13" s="107">
        <f>'1.5 Assumptions book'!J20</f>
        <v>-7.713734746593035</v>
      </c>
      <c r="K13" s="107">
        <f>'1.5 Assumptions book'!K20</f>
        <v>-10.211812350867977</v>
      </c>
      <c r="L13" s="107">
        <f>'1.5 Assumptions book'!L20</f>
        <v>-37.221523584398838</v>
      </c>
      <c r="M13" s="107">
        <f>'1.5 Assumptions book'!M20</f>
        <v>-58.24035770783852</v>
      </c>
      <c r="N13" s="107">
        <f>'1.5 Assumptions book'!N20</f>
        <v>-61.152375593230445</v>
      </c>
      <c r="O13" s="107">
        <f>'1.5 Assumptions book'!O20</f>
        <v>-64.20999437289197</v>
      </c>
      <c r="P13" s="107">
        <f>'1.5 Assumptions book'!P20</f>
        <v>-67.420494091536568</v>
      </c>
      <c r="Q13" s="107">
        <f>'1.5 Assumptions book'!Q20</f>
        <v>-70.791518796113394</v>
      </c>
      <c r="R13" s="107">
        <f>'1.5 Assumptions book'!R20</f>
        <v>-74.331094735919066</v>
      </c>
      <c r="S13" s="338"/>
      <c r="T13" s="338"/>
      <c r="U13" s="218"/>
      <c r="V13" s="220"/>
      <c r="W13" s="220"/>
      <c r="X13" s="220"/>
      <c r="Y13" s="9"/>
    </row>
    <row r="14" spans="1:25" s="6" customFormat="1" ht="12" customHeight="1" outlineLevel="1" x14ac:dyDescent="0.25">
      <c r="A14" s="845"/>
      <c r="B14" s="25"/>
      <c r="D14" s="9" t="str">
        <f>'1.2.Historical IS'!D18</f>
        <v>Revenues associated to the production cost</v>
      </c>
      <c r="E14" s="434"/>
      <c r="F14" s="434"/>
      <c r="G14" s="9" t="str">
        <f t="shared" si="0"/>
        <v>EUR thd</v>
      </c>
      <c r="H14" s="292"/>
      <c r="I14" s="215"/>
      <c r="J14" s="337">
        <f>'1.2.Historical IS'!O18</f>
        <v>339.79780885365636</v>
      </c>
      <c r="K14" s="337">
        <f>'1.2.Historical IS'!P18</f>
        <v>-98.606860620389227</v>
      </c>
      <c r="L14" s="337">
        <f>'1.2.Historical IS'!Q18</f>
        <v>517.80552272483078</v>
      </c>
      <c r="M14" s="449">
        <v>0</v>
      </c>
      <c r="N14" s="449">
        <v>0</v>
      </c>
      <c r="O14" s="449">
        <v>0</v>
      </c>
      <c r="P14" s="449">
        <v>0</v>
      </c>
      <c r="Q14" s="449">
        <v>0</v>
      </c>
      <c r="R14" s="449">
        <v>0</v>
      </c>
      <c r="S14" s="338"/>
      <c r="T14" s="338"/>
      <c r="U14" s="218"/>
      <c r="V14" s="220">
        <f t="shared" si="3"/>
        <v>0.2344487153229049</v>
      </c>
      <c r="W14" s="220">
        <f t="shared" si="4"/>
        <v>-1</v>
      </c>
      <c r="X14" s="220">
        <f t="shared" si="5"/>
        <v>0</v>
      </c>
      <c r="Y14" s="9"/>
    </row>
    <row r="15" spans="1:25" s="6" customFormat="1" ht="12" customHeight="1" x14ac:dyDescent="0.25">
      <c r="A15" s="845"/>
      <c r="B15" s="25"/>
      <c r="D15" s="9" t="str">
        <f>'1.2.Historical IS'!D19</f>
        <v>Other operating revenues</v>
      </c>
      <c r="E15" s="9"/>
      <c r="F15" s="9"/>
      <c r="G15" s="9" t="str">
        <f t="shared" si="0"/>
        <v>EUR thd</v>
      </c>
      <c r="H15" s="336"/>
      <c r="I15" s="214"/>
      <c r="J15" s="337">
        <f>'1.5 Assumptions book'!J32+J16</f>
        <v>59.596664291440284</v>
      </c>
      <c r="K15" s="337">
        <f>'1.5 Assumptions book'!K32+K16</f>
        <v>42.926015192311901</v>
      </c>
      <c r="L15" s="337">
        <f>'1.5 Assumptions book'!L32+L16</f>
        <v>40.90373697217148</v>
      </c>
      <c r="M15" s="337">
        <f>'1.5 Assumptions book'!M32+M16</f>
        <v>89.074478261541927</v>
      </c>
      <c r="N15" s="337">
        <f ca="1">'1.5 Assumptions book'!N32+N16</f>
        <v>90.165660417720304</v>
      </c>
      <c r="O15" s="337">
        <f ca="1">'1.5 Assumptions book'!O32+O16</f>
        <v>94.673943438606315</v>
      </c>
      <c r="P15" s="337">
        <f ca="1">'1.5 Assumptions book'!P32+P16</f>
        <v>99.407640610536632</v>
      </c>
      <c r="Q15" s="337">
        <f ca="1">'1.5 Assumptions book'!Q32+Q16</f>
        <v>104.37802264106347</v>
      </c>
      <c r="R15" s="337">
        <f ca="1">'1.5 Assumptions book'!R32+R16</f>
        <v>109.59692377311663</v>
      </c>
      <c r="S15" s="338"/>
      <c r="T15" s="338"/>
      <c r="U15" s="218"/>
      <c r="V15" s="220">
        <f t="shared" si="3"/>
        <v>-0.17154195940606887</v>
      </c>
      <c r="W15" s="220">
        <f t="shared" si="4"/>
        <v>1.1776611345350427</v>
      </c>
      <c r="X15" s="220">
        <f t="shared" ca="1" si="5"/>
        <v>3.7262856151809354E-2</v>
      </c>
      <c r="Y15" s="9"/>
    </row>
    <row r="16" spans="1:25" s="6" customFormat="1" ht="12" customHeight="1" x14ac:dyDescent="0.25">
      <c r="A16" s="845"/>
      <c r="B16" s="25"/>
      <c r="D16" s="9"/>
      <c r="E16" s="434" t="str">
        <f>'1.2.Historical IS'!E20</f>
        <v>Revenues from investment subsidies, fines and penalties</v>
      </c>
      <c r="F16" s="9"/>
      <c r="G16" s="434" t="str">
        <f t="shared" si="0"/>
        <v>EUR thd</v>
      </c>
      <c r="H16" s="336"/>
      <c r="I16" s="214"/>
      <c r="J16" s="107">
        <f>'1.2.Historical IS'!O20</f>
        <v>4.275743742762983</v>
      </c>
      <c r="K16" s="107">
        <f>'1.2.Historical IS'!P20</f>
        <v>4.1828834745298922</v>
      </c>
      <c r="L16" s="107">
        <f>'1.2.Historical IS'!Q20</f>
        <v>2.0312216611152896</v>
      </c>
      <c r="M16" s="107">
        <f>'3.3. Balance sheet'!L70</f>
        <v>3.2024207208559359</v>
      </c>
      <c r="N16" s="312">
        <f ca="1">'1.5 Assumptions book'!N34</f>
        <v>0</v>
      </c>
      <c r="O16" s="312">
        <f ca="1">'1.5 Assumptions book'!O34</f>
        <v>0</v>
      </c>
      <c r="P16" s="312">
        <f ca="1">'1.5 Assumptions book'!P34</f>
        <v>0</v>
      </c>
      <c r="Q16" s="312">
        <f ca="1">'1.5 Assumptions book'!Q34</f>
        <v>0</v>
      </c>
      <c r="R16" s="312">
        <f ca="1">'1.5 Assumptions book'!R34</f>
        <v>0</v>
      </c>
      <c r="S16" s="338"/>
      <c r="T16" s="338"/>
      <c r="U16" s="218"/>
      <c r="V16" s="220">
        <f t="shared" si="3"/>
        <v>-0.31075626817229784</v>
      </c>
      <c r="W16" s="220">
        <f t="shared" si="4"/>
        <v>0.57659835071745547</v>
      </c>
      <c r="X16" s="220">
        <f t="shared" ca="1" si="5"/>
        <v>-1</v>
      </c>
      <c r="Y16" s="9"/>
    </row>
    <row r="17" spans="1:25" s="6" customFormat="1" ht="12" customHeight="1" x14ac:dyDescent="0.25">
      <c r="A17" s="845"/>
      <c r="B17" s="25"/>
      <c r="C17" s="9"/>
      <c r="D17" s="74" t="s">
        <v>60</v>
      </c>
      <c r="E17" s="50"/>
      <c r="F17" s="50"/>
      <c r="G17" s="50" t="str">
        <f t="shared" si="0"/>
        <v>EUR thd</v>
      </c>
      <c r="H17" s="339"/>
      <c r="I17" s="340"/>
      <c r="J17" s="227">
        <f>J9+J15+J14</f>
        <v>5386.1701166829962</v>
      </c>
      <c r="K17" s="227">
        <f t="shared" ref="K17:P17" si="6">K9+K15+K14</f>
        <v>9637.6317046474451</v>
      </c>
      <c r="L17" s="227">
        <f t="shared" si="6"/>
        <v>8153.0268228215327</v>
      </c>
      <c r="M17" s="227">
        <f t="shared" si="6"/>
        <v>11971.870474518897</v>
      </c>
      <c r="N17" s="227">
        <f t="shared" ca="1" si="6"/>
        <v>12567.101456487944</v>
      </c>
      <c r="O17" s="227">
        <f t="shared" ca="1" si="6"/>
        <v>13195.45652931234</v>
      </c>
      <c r="P17" s="227">
        <f t="shared" ca="1" si="6"/>
        <v>13855.229355777958</v>
      </c>
      <c r="Q17" s="227">
        <f t="shared" ref="Q17:R17" ca="1" si="7">Q9+Q15+Q14</f>
        <v>14547.990823566857</v>
      </c>
      <c r="R17" s="227">
        <f t="shared" ca="1" si="7"/>
        <v>15275.390364745199</v>
      </c>
      <c r="S17" s="227"/>
      <c r="T17" s="227"/>
      <c r="U17" s="218"/>
      <c r="V17" s="220">
        <f>IF(ISERROR((($L17/$J17)^(1/($L$3-$J$3))-1)),0,(($L17/$J17)^(1/($L$3-$J$3))-1))</f>
        <v>0.23032373552908925</v>
      </c>
      <c r="W17" s="220">
        <f t="shared" si="4"/>
        <v>0.46839581601864144</v>
      </c>
      <c r="X17" s="220">
        <f t="shared" ca="1" si="5"/>
        <v>4.9906368247965238E-2</v>
      </c>
      <c r="Y17" s="9"/>
    </row>
    <row r="18" spans="1:25" ht="12" customHeight="1" x14ac:dyDescent="0.25">
      <c r="A18" s="845"/>
      <c r="B18" s="25">
        <f ca="1">MAX($A$1:B17)+0.1</f>
        <v>1.2000000000000002</v>
      </c>
      <c r="C18" s="86" t="str">
        <f>'1.2.Historical IS'!C22</f>
        <v>OPEX</v>
      </c>
      <c r="H18" s="292"/>
      <c r="I18" s="215"/>
      <c r="J18" s="801"/>
      <c r="K18" s="801"/>
      <c r="L18" s="801"/>
      <c r="M18" s="394"/>
      <c r="N18" s="394"/>
      <c r="O18" s="394"/>
      <c r="P18" s="394"/>
      <c r="Q18" s="394"/>
      <c r="R18" s="394"/>
      <c r="S18" s="394"/>
      <c r="T18" s="394"/>
      <c r="U18" s="118"/>
      <c r="V18" s="220">
        <f>IF(ISERROR(((#REF!/$J18)^(1/($L$3-$J$3))-1)),0,((#REF!/$J18)^(1/($L$3-$J$3))-1))</f>
        <v>0</v>
      </c>
      <c r="W18" s="220">
        <f>IF(ISERROR($M18/#REF!-1),0,$M18/#REF!-1)</f>
        <v>0</v>
      </c>
      <c r="X18" s="220">
        <f t="shared" si="5"/>
        <v>0</v>
      </c>
    </row>
    <row r="19" spans="1:25" ht="12" customHeight="1" x14ac:dyDescent="0.25">
      <c r="A19" s="845"/>
      <c r="B19" s="25"/>
      <c r="C19" s="86"/>
      <c r="D19" s="9" t="str">
        <f>'1.2.Historical IS'!D23</f>
        <v>Salaries, wages and related costs</v>
      </c>
      <c r="G19" s="9" t="str">
        <f t="shared" ref="G19:G38" si="8">"EUR "&amp;Multiplier</f>
        <v>EUR thd</v>
      </c>
      <c r="H19" s="292"/>
      <c r="I19" s="215"/>
      <c r="J19" s="228">
        <f t="shared" ref="J19:L19" si="9">SUM(J20:J22)</f>
        <v>163.79968602476174</v>
      </c>
      <c r="K19" s="228">
        <f t="shared" si="9"/>
        <v>204.84446487598782</v>
      </c>
      <c r="L19" s="228">
        <f t="shared" si="9"/>
        <v>232.32738798753627</v>
      </c>
      <c r="M19" s="228">
        <f t="shared" ref="M19:P19" si="10">SUM(M20:M22)</f>
        <v>249.53682413476119</v>
      </c>
      <c r="N19" s="228">
        <f t="shared" si="10"/>
        <v>280.08357329608538</v>
      </c>
      <c r="O19" s="228">
        <f t="shared" si="10"/>
        <v>294.0877519608897</v>
      </c>
      <c r="P19" s="228">
        <f t="shared" si="10"/>
        <v>308.7921395589342</v>
      </c>
      <c r="Q19" s="228">
        <f t="shared" ref="Q19:R19" si="11">SUM(Q20:Q22)</f>
        <v>324.23174653688091</v>
      </c>
      <c r="R19" s="228">
        <f t="shared" si="11"/>
        <v>340.44333386372494</v>
      </c>
      <c r="S19" s="338"/>
      <c r="T19" s="338"/>
      <c r="U19" s="118"/>
      <c r="V19" s="220">
        <f t="shared" si="3"/>
        <v>0.19095039391712287</v>
      </c>
      <c r="W19" s="220">
        <f t="shared" si="4"/>
        <v>7.4074074074074181E-2</v>
      </c>
      <c r="X19" s="220">
        <f t="shared" si="5"/>
        <v>7.3603365849039593E-2</v>
      </c>
      <c r="Y19" s="9"/>
    </row>
    <row r="20" spans="1:25" s="13" customFormat="1" ht="12" customHeight="1" outlineLevel="2" x14ac:dyDescent="0.25">
      <c r="A20" s="850"/>
      <c r="B20" s="72"/>
      <c r="C20" s="11"/>
      <c r="F20" s="11" t="str">
        <f>'1.2.Historical IS'!F24</f>
        <v>Salaries</v>
      </c>
      <c r="G20" s="10" t="str">
        <f t="shared" si="8"/>
        <v>EUR thd</v>
      </c>
      <c r="H20" s="292"/>
      <c r="I20" s="84"/>
      <c r="J20" s="107">
        <f>'2.2. OPEX'!J16</f>
        <v>126.85824352008551</v>
      </c>
      <c r="K20" s="107">
        <f>'2.2. OPEX'!K16</f>
        <v>158.22355027254218</v>
      </c>
      <c r="L20" s="107">
        <f>'2.2. OPEX'!L16</f>
        <v>216.81959815192866</v>
      </c>
      <c r="M20" s="107">
        <f>'2.2. OPEX'!M16</f>
        <v>232.88030912614562</v>
      </c>
      <c r="N20" s="107">
        <f>'2.2. OPEX'!N16</f>
        <v>261.38807110538067</v>
      </c>
      <c r="O20" s="107">
        <f>'2.2. OPEX'!O16</f>
        <v>274.45747466064972</v>
      </c>
      <c r="P20" s="107">
        <f>'2.2. OPEX'!P16</f>
        <v>288.18034839368227</v>
      </c>
      <c r="Q20" s="107">
        <f>'2.2. OPEX'!Q16</f>
        <v>302.58936581336638</v>
      </c>
      <c r="R20" s="107">
        <f>'2.2. OPEX'!R16</f>
        <v>317.71883410403467</v>
      </c>
      <c r="S20" s="338"/>
      <c r="T20" s="338"/>
      <c r="U20" s="225"/>
      <c r="V20" s="220">
        <f t="shared" si="3"/>
        <v>0.3073441282588425</v>
      </c>
      <c r="W20" s="220">
        <f t="shared" si="4"/>
        <v>7.4074074074074181E-2</v>
      </c>
      <c r="X20" s="220">
        <f t="shared" si="5"/>
        <v>7.3603365849039593E-2</v>
      </c>
      <c r="Y20" s="11"/>
    </row>
    <row r="21" spans="1:25" s="13" customFormat="1" ht="12" customHeight="1" outlineLevel="2" x14ac:dyDescent="0.25">
      <c r="A21" s="850"/>
      <c r="B21" s="72"/>
      <c r="C21" s="11"/>
      <c r="F21" s="11" t="str">
        <f>'1.2.Historical IS'!F25</f>
        <v>Social security contributions</v>
      </c>
      <c r="G21" s="10" t="str">
        <f t="shared" si="8"/>
        <v>EUR thd</v>
      </c>
      <c r="H21" s="292"/>
      <c r="I21" s="84"/>
      <c r="J21" s="107">
        <f>'2.2. OPEX'!J26</f>
        <v>8.057279326623318</v>
      </c>
      <c r="K21" s="107">
        <f>'2.2. OPEX'!K26</f>
        <v>10.57507497646724</v>
      </c>
      <c r="L21" s="107">
        <f>'2.2. OPEX'!L26</f>
        <v>10.629096379069518</v>
      </c>
      <c r="M21" s="107">
        <f>'2.2. OPEX'!M26</f>
        <v>11.416436851593186</v>
      </c>
      <c r="N21" s="107">
        <f>'2.2. OPEX'!N26</f>
        <v>12.813966190322697</v>
      </c>
      <c r="O21" s="107">
        <f>'2.2. OPEX'!O26</f>
        <v>13.454664499838833</v>
      </c>
      <c r="P21" s="107">
        <f>'2.2. OPEX'!P26</f>
        <v>14.127397724830777</v>
      </c>
      <c r="Q21" s="107">
        <f>'2.2. OPEX'!Q26</f>
        <v>14.833767611072316</v>
      </c>
      <c r="R21" s="107">
        <f>'2.2. OPEX'!R26</f>
        <v>15.575455991625931</v>
      </c>
      <c r="S21" s="338"/>
      <c r="T21" s="338"/>
      <c r="U21" s="225"/>
      <c r="V21" s="220">
        <f t="shared" si="3"/>
        <v>0.1485607278349943</v>
      </c>
      <c r="W21" s="220">
        <f t="shared" si="4"/>
        <v>7.4074074074074181E-2</v>
      </c>
      <c r="X21" s="220">
        <f t="shared" si="5"/>
        <v>7.3603365849039593E-2</v>
      </c>
      <c r="Y21" s="11"/>
    </row>
    <row r="22" spans="1:25" s="13" customFormat="1" ht="12" customHeight="1" outlineLevel="2" x14ac:dyDescent="0.25">
      <c r="A22" s="850"/>
      <c r="B22" s="72"/>
      <c r="C22" s="11"/>
      <c r="F22" s="11" t="str">
        <f>'1.2.Historical IS'!F26</f>
        <v>Meal tickets</v>
      </c>
      <c r="G22" s="10" t="str">
        <f t="shared" si="8"/>
        <v>EUR thd</v>
      </c>
      <c r="H22" s="292"/>
      <c r="I22" s="84"/>
      <c r="J22" s="107">
        <f>'2.2. OPEX'!J36</f>
        <v>28.884163178052905</v>
      </c>
      <c r="K22" s="107">
        <f>'2.2. OPEX'!K36</f>
        <v>36.045839626978392</v>
      </c>
      <c r="L22" s="107">
        <f>'2.2. OPEX'!L36</f>
        <v>4.8786934565380893</v>
      </c>
      <c r="M22" s="107">
        <f>'2.2. OPEX'!M36</f>
        <v>5.240078157022392</v>
      </c>
      <c r="N22" s="107">
        <f>'2.2. OPEX'!N36</f>
        <v>5.8815360003820301</v>
      </c>
      <c r="O22" s="107">
        <f>'2.2. OPEX'!O36</f>
        <v>6.1756128004011313</v>
      </c>
      <c r="P22" s="107">
        <f>'2.2. OPEX'!P36</f>
        <v>6.4843934404211891</v>
      </c>
      <c r="Q22" s="107">
        <f>'2.2. OPEX'!Q36</f>
        <v>6.8086131124422486</v>
      </c>
      <c r="R22" s="107">
        <f>'2.2. OPEX'!R36</f>
        <v>7.1490437680643604</v>
      </c>
      <c r="S22" s="338"/>
      <c r="T22" s="338"/>
      <c r="U22" s="225"/>
      <c r="V22" s="220">
        <f t="shared" si="3"/>
        <v>-0.58901888076789022</v>
      </c>
      <c r="W22" s="220">
        <f t="shared" si="4"/>
        <v>7.4074074074073959E-2</v>
      </c>
      <c r="X22" s="220">
        <f t="shared" si="5"/>
        <v>7.3603365849039593E-2</v>
      </c>
      <c r="Y22" s="11"/>
    </row>
    <row r="23" spans="1:25" s="13" customFormat="1" ht="12" customHeight="1" outlineLevel="1" x14ac:dyDescent="0.25">
      <c r="A23" s="850"/>
      <c r="B23" s="72"/>
      <c r="C23" s="11"/>
      <c r="D23" s="9" t="str">
        <f>'1.2.Historical IS'!D27</f>
        <v>Other operating expenses</v>
      </c>
      <c r="E23" s="9"/>
      <c r="F23" s="10"/>
      <c r="G23" s="9" t="str">
        <f t="shared" si="8"/>
        <v>EUR thd</v>
      </c>
      <c r="H23" s="292"/>
      <c r="I23" s="84"/>
      <c r="J23" s="216">
        <f t="shared" ref="J23:R23" si="12">SUM(J24:J35)</f>
        <v>4839.3648971230068</v>
      </c>
      <c r="K23" s="216">
        <f t="shared" si="12"/>
        <v>8813.0766927168843</v>
      </c>
      <c r="L23" s="216">
        <f t="shared" si="12"/>
        <v>7247.4658515096162</v>
      </c>
      <c r="M23" s="216">
        <f t="shared" si="12"/>
        <v>10923.445812244656</v>
      </c>
      <c r="N23" s="216">
        <f t="shared" si="12"/>
        <v>11469.61810285689</v>
      </c>
      <c r="O23" s="216">
        <f t="shared" si="12"/>
        <v>12043.099007999732</v>
      </c>
      <c r="P23" s="216">
        <f t="shared" si="12"/>
        <v>12645.25395839972</v>
      </c>
      <c r="Q23" s="216">
        <f t="shared" si="12"/>
        <v>13277.516656319709</v>
      </c>
      <c r="R23" s="216">
        <f t="shared" si="12"/>
        <v>13941.392489135693</v>
      </c>
      <c r="S23" s="338"/>
      <c r="T23" s="338"/>
      <c r="U23" s="225"/>
      <c r="V23" s="220">
        <f t="shared" si="3"/>
        <v>0.22376746780994239</v>
      </c>
      <c r="W23" s="220">
        <f t="shared" si="4"/>
        <v>0.50720900740351182</v>
      </c>
      <c r="X23" s="220">
        <f t="shared" si="5"/>
        <v>5.0000000000000044E-2</v>
      </c>
      <c r="Y23" s="11"/>
    </row>
    <row r="24" spans="1:25" s="13" customFormat="1" ht="12" customHeight="1" outlineLevel="2" x14ac:dyDescent="0.25">
      <c r="A24" s="850"/>
      <c r="B24" s="72"/>
      <c r="C24" s="11"/>
      <c r="E24" s="12"/>
      <c r="F24" s="11" t="str">
        <f>'1.2.Historical IS'!F28</f>
        <v>Raw materials, of which:</v>
      </c>
      <c r="G24" s="10" t="str">
        <f t="shared" si="8"/>
        <v>EUR thd</v>
      </c>
      <c r="H24" s="292"/>
      <c r="I24" s="84"/>
      <c r="J24" s="107">
        <f>'2.2. OPEX'!J46</f>
        <v>2762.7435178587334</v>
      </c>
      <c r="K24" s="107">
        <f>'2.2. OPEX'!K46</f>
        <v>5825.2215757098129</v>
      </c>
      <c r="L24" s="107">
        <f>'2.2. OPEX'!L46</f>
        <v>4466.9742000644683</v>
      </c>
      <c r="M24" s="107">
        <f>'2.2. OPEX'!M46</f>
        <v>6908.7134053006184</v>
      </c>
      <c r="N24" s="107">
        <f>'2.2. OPEX'!N46</f>
        <v>7254.1490755656496</v>
      </c>
      <c r="O24" s="107">
        <f>'2.2. OPEX'!O46</f>
        <v>7616.8565293439315</v>
      </c>
      <c r="P24" s="107">
        <f>'2.2. OPEX'!P46</f>
        <v>7997.699355811128</v>
      </c>
      <c r="Q24" s="107">
        <f>'2.2. OPEX'!Q46</f>
        <v>8397.5843236016863</v>
      </c>
      <c r="R24" s="107">
        <f>'2.2. OPEX'!R46</f>
        <v>8817.4635397817692</v>
      </c>
      <c r="S24" s="338"/>
      <c r="T24" s="338"/>
      <c r="U24" s="225"/>
      <c r="V24" s="220">
        <f t="shared" si="3"/>
        <v>0.27155877053284394</v>
      </c>
      <c r="W24" s="220">
        <f t="shared" si="4"/>
        <v>0.54662039579295318</v>
      </c>
      <c r="X24" s="220">
        <f t="shared" si="5"/>
        <v>5.0000000000000044E-2</v>
      </c>
      <c r="Y24" s="9"/>
    </row>
    <row r="25" spans="1:25" s="13" customFormat="1" ht="12" customHeight="1" outlineLevel="2" x14ac:dyDescent="0.25">
      <c r="A25" s="850"/>
      <c r="B25" s="72"/>
      <c r="C25" s="11"/>
      <c r="F25" s="11" t="str">
        <f>'1.2.Historical IS'!F31</f>
        <v>Consumables</v>
      </c>
      <c r="G25" s="10" t="str">
        <f t="shared" si="8"/>
        <v>EUR thd</v>
      </c>
      <c r="H25" s="292"/>
      <c r="I25" s="84"/>
      <c r="J25" s="107">
        <f>'2.2. OPEX'!J56</f>
        <v>78.307689053175395</v>
      </c>
      <c r="K25" s="107">
        <f>'2.2. OPEX'!K56</f>
        <v>110.12613559247828</v>
      </c>
      <c r="L25" s="107">
        <f>'2.2. OPEX'!L56</f>
        <v>151.55972493821855</v>
      </c>
      <c r="M25" s="107">
        <f>'2.2. OPEX'!M56</f>
        <v>186.32005414109614</v>
      </c>
      <c r="N25" s="107">
        <f>'2.2. OPEX'!N56</f>
        <v>195.63605684815096</v>
      </c>
      <c r="O25" s="107">
        <f>'2.2. OPEX'!O56</f>
        <v>205.41785969055849</v>
      </c>
      <c r="P25" s="107">
        <f>'2.2. OPEX'!P56</f>
        <v>215.68875267508642</v>
      </c>
      <c r="Q25" s="107">
        <f>'2.2. OPEX'!Q56</f>
        <v>226.47319030884077</v>
      </c>
      <c r="R25" s="107">
        <f>'2.2. OPEX'!R56</f>
        <v>237.79684982428279</v>
      </c>
      <c r="S25" s="338"/>
      <c r="T25" s="338"/>
      <c r="U25" s="225"/>
      <c r="V25" s="220">
        <f t="shared" si="3"/>
        <v>0.39120042088955409</v>
      </c>
      <c r="W25" s="220">
        <f t="shared" si="4"/>
        <v>0.22935070129645063</v>
      </c>
      <c r="X25" s="220">
        <f t="shared" si="5"/>
        <v>5.0000000000000044E-2</v>
      </c>
      <c r="Y25" s="9"/>
    </row>
    <row r="26" spans="1:25" s="13" customFormat="1" ht="12" customHeight="1" outlineLevel="2" x14ac:dyDescent="0.25">
      <c r="A26" s="850"/>
      <c r="B26" s="72"/>
      <c r="C26" s="11"/>
      <c r="F26" s="11" t="str">
        <f>'1.2.Historical IS'!F32</f>
        <v>Goods purchased for resale, of which:</v>
      </c>
      <c r="G26" s="10" t="str">
        <f t="shared" si="8"/>
        <v>EUR thd</v>
      </c>
      <c r="H26" s="292"/>
      <c r="I26" s="84"/>
      <c r="J26" s="107">
        <f>'2.2. OPEX'!J66</f>
        <v>638.51651153469322</v>
      </c>
      <c r="K26" s="107">
        <f>'2.2. OPEX'!K66</f>
        <v>1030.1307567697729</v>
      </c>
      <c r="L26" s="107">
        <f>'2.2. OPEX'!L66</f>
        <v>829.08779628236812</v>
      </c>
      <c r="M26" s="107">
        <f>'2.2. OPEX'!M66</f>
        <v>1299.9907665331348</v>
      </c>
      <c r="N26" s="107">
        <f>'2.2. OPEX'!N66</f>
        <v>1364.9903048597916</v>
      </c>
      <c r="O26" s="107">
        <f>'2.2. OPEX'!O66</f>
        <v>1433.2398201027811</v>
      </c>
      <c r="P26" s="107">
        <f>'2.2. OPEX'!P66</f>
        <v>1504.9018111079201</v>
      </c>
      <c r="Q26" s="107">
        <f>'2.2. OPEX'!Q66</f>
        <v>1580.1469016633164</v>
      </c>
      <c r="R26" s="107">
        <f>'2.2. OPEX'!R66</f>
        <v>1659.1542467464822</v>
      </c>
      <c r="S26" s="338"/>
      <c r="T26" s="338"/>
      <c r="U26" s="225"/>
      <c r="V26" s="220">
        <f t="shared" si="3"/>
        <v>0.13949964752505983</v>
      </c>
      <c r="W26" s="220">
        <f t="shared" si="4"/>
        <v>0.56797720622869718</v>
      </c>
      <c r="X26" s="220">
        <f t="shared" si="5"/>
        <v>5.0000000000000044E-2</v>
      </c>
      <c r="Y26" s="11"/>
    </row>
    <row r="27" spans="1:25" s="13" customFormat="1" ht="12" customHeight="1" outlineLevel="2" x14ac:dyDescent="0.25">
      <c r="A27" s="850"/>
      <c r="B27" s="72"/>
      <c r="C27" s="11"/>
      <c r="F27" s="11" t="str">
        <f>'1.2.Historical IS'!F35</f>
        <v>Trade discounts offered</v>
      </c>
      <c r="G27" s="10" t="str">
        <f t="shared" si="8"/>
        <v>EUR thd</v>
      </c>
      <c r="H27" s="292"/>
      <c r="I27" s="84"/>
      <c r="J27" s="107">
        <f>'2.2. OPEX'!J76</f>
        <v>-7.2053108577536298</v>
      </c>
      <c r="K27" s="107">
        <f>'2.2. OPEX'!K76</f>
        <v>-12.109699875221645</v>
      </c>
      <c r="L27" s="107">
        <f>'2.2. OPEX'!L76</f>
        <v>-5.740855270226711</v>
      </c>
      <c r="M27" s="107">
        <f>'2.2. OPEX'!M76</f>
        <v>-9.0015302079733708</v>
      </c>
      <c r="N27" s="107">
        <f>'2.2. OPEX'!N76</f>
        <v>-9.4516067183720391</v>
      </c>
      <c r="O27" s="107">
        <f>'2.2. OPEX'!O76</f>
        <v>-9.9241870542906394</v>
      </c>
      <c r="P27" s="107">
        <f>'2.2. OPEX'!P76</f>
        <v>-10.420396407005173</v>
      </c>
      <c r="Q27" s="107">
        <f>'2.2. OPEX'!Q76</f>
        <v>-10.941416227355433</v>
      </c>
      <c r="R27" s="107">
        <f>'2.2. OPEX'!R76</f>
        <v>-11.488487038723203</v>
      </c>
      <c r="S27" s="338"/>
      <c r="T27" s="338"/>
      <c r="U27" s="225"/>
      <c r="V27" s="220"/>
      <c r="W27" s="220"/>
      <c r="X27" s="220"/>
      <c r="Y27" s="11"/>
    </row>
    <row r="28" spans="1:25" s="13" customFormat="1" ht="12" customHeight="1" outlineLevel="2" x14ac:dyDescent="0.25">
      <c r="A28" s="850"/>
      <c r="B28" s="72"/>
      <c r="C28" s="11"/>
      <c r="F28" s="11" t="str">
        <f>'1.2.Historical IS'!F36</f>
        <v>Utility</v>
      </c>
      <c r="G28" s="10" t="str">
        <f t="shared" si="8"/>
        <v>EUR thd</v>
      </c>
      <c r="H28" s="292"/>
      <c r="I28" s="84"/>
      <c r="J28" s="107"/>
      <c r="K28" s="107"/>
      <c r="L28" s="107"/>
      <c r="M28" s="107"/>
      <c r="N28" s="107"/>
      <c r="O28" s="107"/>
      <c r="P28" s="107"/>
      <c r="Q28" s="107"/>
      <c r="R28" s="107"/>
      <c r="S28" s="338"/>
      <c r="T28" s="338"/>
      <c r="U28" s="225"/>
      <c r="V28" s="220">
        <f t="shared" si="3"/>
        <v>0</v>
      </c>
      <c r="W28" s="220">
        <f t="shared" si="4"/>
        <v>0</v>
      </c>
      <c r="X28" s="220">
        <f t="shared" si="5"/>
        <v>0</v>
      </c>
      <c r="Y28" s="11"/>
    </row>
    <row r="29" spans="1:25" s="13" customFormat="1" ht="12" customHeight="1" outlineLevel="2" x14ac:dyDescent="0.25">
      <c r="A29" s="850"/>
      <c r="B29" s="72"/>
      <c r="C29" s="11"/>
      <c r="F29" s="11" t="str">
        <f>'1.2.Historical IS'!F37</f>
        <v>Maintenance and repair</v>
      </c>
      <c r="G29" s="10" t="str">
        <f t="shared" si="8"/>
        <v>EUR thd</v>
      </c>
      <c r="H29" s="292"/>
      <c r="I29" s="84"/>
      <c r="J29" s="107"/>
      <c r="K29" s="107"/>
      <c r="L29" s="107"/>
      <c r="M29" s="107"/>
      <c r="N29" s="107"/>
      <c r="O29" s="107"/>
      <c r="P29" s="107"/>
      <c r="Q29" s="107"/>
      <c r="R29" s="107"/>
      <c r="S29" s="338"/>
      <c r="T29" s="338"/>
      <c r="U29" s="225"/>
      <c r="V29" s="220">
        <f t="shared" si="3"/>
        <v>0</v>
      </c>
      <c r="W29" s="220">
        <f t="shared" si="4"/>
        <v>0</v>
      </c>
      <c r="X29" s="220">
        <f t="shared" si="5"/>
        <v>0</v>
      </c>
    </row>
    <row r="30" spans="1:25" s="13" customFormat="1" ht="12" customHeight="1" outlineLevel="2" x14ac:dyDescent="0.25">
      <c r="A30" s="850"/>
      <c r="B30" s="72"/>
      <c r="C30" s="11"/>
      <c r="F30" s="11" t="str">
        <f>'1.2.Historical IS'!F38</f>
        <v>Royalties and rental expenses</v>
      </c>
      <c r="G30" s="10" t="str">
        <f t="shared" si="8"/>
        <v>EUR thd</v>
      </c>
      <c r="H30" s="292"/>
      <c r="I30" s="84"/>
      <c r="J30" s="107">
        <f>'2.2. OPEX'!J86</f>
        <v>204.32738264897125</v>
      </c>
      <c r="K30" s="107">
        <f>'2.2. OPEX'!K86</f>
        <v>302.84893719489503</v>
      </c>
      <c r="L30" s="107">
        <f>'2.2. OPEX'!L86</f>
        <v>236.81005264854409</v>
      </c>
      <c r="M30" s="107">
        <f>'2.2. OPEX'!M86</f>
        <v>248.6505552809713</v>
      </c>
      <c r="N30" s="107">
        <f>'2.2. OPEX'!N86</f>
        <v>261.08308304501986</v>
      </c>
      <c r="O30" s="107">
        <f>'2.2. OPEX'!O86</f>
        <v>274.13723719727085</v>
      </c>
      <c r="P30" s="107">
        <f>'2.2. OPEX'!P86</f>
        <v>287.84409905713443</v>
      </c>
      <c r="Q30" s="107">
        <f>'2.2. OPEX'!Q86</f>
        <v>302.23630400999116</v>
      </c>
      <c r="R30" s="107">
        <f>'2.2. OPEX'!R86</f>
        <v>317.34811921049072</v>
      </c>
      <c r="S30" s="338"/>
      <c r="T30" s="338"/>
      <c r="U30" s="225"/>
      <c r="V30" s="220">
        <f t="shared" si="3"/>
        <v>7.6556385381190584E-2</v>
      </c>
      <c r="W30" s="220">
        <f t="shared" si="4"/>
        <v>5.0000000000000044E-2</v>
      </c>
      <c r="X30" s="220">
        <f t="shared" si="5"/>
        <v>5.0000000000000044E-2</v>
      </c>
      <c r="Y30" s="11"/>
    </row>
    <row r="31" spans="1:25" s="13" customFormat="1" ht="12" customHeight="1" outlineLevel="2" x14ac:dyDescent="0.25">
      <c r="A31" s="850"/>
      <c r="B31" s="72"/>
      <c r="C31" s="11"/>
      <c r="F31" s="11" t="str">
        <f>'1.2.Historical IS'!F39</f>
        <v>Insurance premiums</v>
      </c>
      <c r="G31" s="10" t="str">
        <f t="shared" si="8"/>
        <v>EUR thd</v>
      </c>
      <c r="H31" s="292"/>
      <c r="I31" s="84"/>
      <c r="J31" s="107"/>
      <c r="K31" s="107"/>
      <c r="L31" s="107"/>
      <c r="M31" s="107"/>
      <c r="N31" s="107"/>
      <c r="O31" s="107"/>
      <c r="P31" s="107"/>
      <c r="Q31" s="107"/>
      <c r="R31" s="107"/>
      <c r="S31" s="338"/>
      <c r="T31" s="338"/>
      <c r="U31" s="225"/>
      <c r="V31" s="220">
        <f t="shared" si="3"/>
        <v>0</v>
      </c>
      <c r="W31" s="220">
        <f t="shared" si="4"/>
        <v>0</v>
      </c>
      <c r="X31" s="220">
        <f t="shared" si="5"/>
        <v>0</v>
      </c>
      <c r="Y31" s="11"/>
    </row>
    <row r="32" spans="1:25" s="13" customFormat="1" ht="12" customHeight="1" outlineLevel="2" x14ac:dyDescent="0.25">
      <c r="A32" s="850"/>
      <c r="B32" s="72"/>
      <c r="C32" s="11"/>
      <c r="F32" s="11" t="str">
        <f>'1.2.Historical IS'!F40</f>
        <v>Entertaining, promotion and advertising</v>
      </c>
      <c r="G32" s="10" t="str">
        <f t="shared" si="8"/>
        <v>EUR thd</v>
      </c>
      <c r="H32" s="292"/>
      <c r="I32" s="84"/>
      <c r="J32" s="107"/>
      <c r="K32" s="107"/>
      <c r="L32" s="107"/>
      <c r="M32" s="107"/>
      <c r="N32" s="107"/>
      <c r="O32" s="107"/>
      <c r="P32" s="107"/>
      <c r="Q32" s="107"/>
      <c r="R32" s="107"/>
      <c r="S32" s="338"/>
      <c r="T32" s="338"/>
      <c r="U32" s="225"/>
      <c r="V32" s="220">
        <f t="shared" si="3"/>
        <v>0</v>
      </c>
      <c r="W32" s="220">
        <f t="shared" si="4"/>
        <v>0</v>
      </c>
      <c r="X32" s="220">
        <f t="shared" si="5"/>
        <v>0</v>
      </c>
      <c r="Y32" s="11"/>
    </row>
    <row r="33" spans="1:25" s="13" customFormat="1" ht="12" customHeight="1" outlineLevel="2" x14ac:dyDescent="0.25">
      <c r="A33" s="850"/>
      <c r="B33" s="56"/>
      <c r="C33" s="46"/>
      <c r="F33" s="11" t="str">
        <f>'1.2.Historical IS'!F41</f>
        <v>Travel &amp; transport</v>
      </c>
      <c r="G33" s="10" t="str">
        <f t="shared" si="8"/>
        <v>EUR thd</v>
      </c>
      <c r="H33" s="292"/>
      <c r="I33" s="84"/>
      <c r="J33" s="107">
        <f>'2.2. OPEX'!J96</f>
        <v>147.56650930791841</v>
      </c>
      <c r="K33" s="107">
        <f>'2.2. OPEX'!K96</f>
        <v>297.19582320877385</v>
      </c>
      <c r="L33" s="107">
        <f>'2.2. OPEX'!L96</f>
        <v>153.08246481143223</v>
      </c>
      <c r="M33" s="107">
        <f>'2.2. OPEX'!M96</f>
        <v>240.02981549763237</v>
      </c>
      <c r="N33" s="107">
        <f>'2.2. OPEX'!N96</f>
        <v>252.031306272514</v>
      </c>
      <c r="O33" s="107">
        <f>'2.2. OPEX'!O96</f>
        <v>264.63287158613969</v>
      </c>
      <c r="P33" s="107">
        <f>'2.2. OPEX'!P96</f>
        <v>277.86451516544668</v>
      </c>
      <c r="Q33" s="107">
        <f>'2.2. OPEX'!Q96</f>
        <v>291.75774092371904</v>
      </c>
      <c r="R33" s="107">
        <f>'2.2. OPEX'!R96</f>
        <v>306.34562796990497</v>
      </c>
      <c r="S33" s="338"/>
      <c r="T33" s="338"/>
      <c r="U33" s="225"/>
      <c r="V33" s="220">
        <f t="shared" si="3"/>
        <v>1.8518263806748925E-2</v>
      </c>
      <c r="W33" s="220">
        <f t="shared" si="4"/>
        <v>0.56797720622869718</v>
      </c>
      <c r="X33" s="220">
        <f t="shared" si="5"/>
        <v>5.0000000000000044E-2</v>
      </c>
      <c r="Y33" s="11"/>
    </row>
    <row r="34" spans="1:25" s="13" customFormat="1" ht="12" customHeight="1" outlineLevel="2" x14ac:dyDescent="0.25">
      <c r="A34" s="850"/>
      <c r="B34" s="56"/>
      <c r="C34" s="46"/>
      <c r="F34" s="11" t="str">
        <f>'1.2.Historical IS'!F42</f>
        <v>Third party services</v>
      </c>
      <c r="G34" s="10" t="str">
        <f t="shared" si="8"/>
        <v>EUR thd</v>
      </c>
      <c r="H34" s="292"/>
      <c r="I34" s="84"/>
      <c r="J34" s="107">
        <f>'2.2. OPEX'!J106</f>
        <v>76.45863097889017</v>
      </c>
      <c r="K34" s="107">
        <f>'2.2. OPEX'!K106</f>
        <v>77.93279919441342</v>
      </c>
      <c r="L34" s="107">
        <f>'2.2. OPEX'!L106</f>
        <v>71.612867733963682</v>
      </c>
      <c r="M34" s="107">
        <f>'2.2. OPEX'!M106</f>
        <v>119.10291004660512</v>
      </c>
      <c r="N34" s="107">
        <f>'2.2. OPEX'!N106</f>
        <v>125.05805554893539</v>
      </c>
      <c r="O34" s="107">
        <f>'2.2. OPEX'!O106</f>
        <v>131.31095832638215</v>
      </c>
      <c r="P34" s="107">
        <f>'2.2. OPEX'!P106</f>
        <v>137.87650624270125</v>
      </c>
      <c r="Q34" s="107">
        <f>'2.2. OPEX'!Q106</f>
        <v>144.77033155483633</v>
      </c>
      <c r="R34" s="107">
        <f>'2.2. OPEX'!R106</f>
        <v>152.00884813257815</v>
      </c>
      <c r="S34" s="338"/>
      <c r="T34" s="338"/>
      <c r="U34" s="225"/>
      <c r="V34" s="220">
        <f t="shared" si="3"/>
        <v>-3.220745155950222E-2</v>
      </c>
      <c r="W34" s="220">
        <f t="shared" si="4"/>
        <v>0.6631495681622932</v>
      </c>
      <c r="X34" s="220">
        <f t="shared" si="5"/>
        <v>5.0000000000000044E-2</v>
      </c>
      <c r="Y34" s="11"/>
    </row>
    <row r="35" spans="1:25" ht="12" customHeight="1" outlineLevel="2" x14ac:dyDescent="0.25">
      <c r="A35" s="845"/>
      <c r="B35" s="56"/>
      <c r="C35" s="43"/>
      <c r="D35" s="12"/>
      <c r="E35" s="12"/>
      <c r="F35" s="11" t="str">
        <f>'1.2.Historical IS'!F43</f>
        <v>Other costs</v>
      </c>
      <c r="G35" s="10" t="str">
        <f t="shared" si="8"/>
        <v>EUR thd</v>
      </c>
      <c r="H35" s="292"/>
      <c r="I35" s="215"/>
      <c r="J35" s="107">
        <f>'2.2. OPEX'!J116</f>
        <v>938.64996659837891</v>
      </c>
      <c r="K35" s="107">
        <f>'2.2. OPEX'!K116</f>
        <v>1181.7303649219587</v>
      </c>
      <c r="L35" s="107">
        <f>'2.2. OPEX'!L116</f>
        <v>1344.0796003008486</v>
      </c>
      <c r="M35" s="107">
        <f>'2.2. OPEX'!M116</f>
        <v>1929.6398356525713</v>
      </c>
      <c r="N35" s="107">
        <f>'2.2. OPEX'!N116</f>
        <v>2026.1218274352</v>
      </c>
      <c r="O35" s="107">
        <f>'2.2. OPEX'!O116</f>
        <v>2127.4279188069595</v>
      </c>
      <c r="P35" s="107">
        <f>'2.2. OPEX'!P116</f>
        <v>2233.799314747308</v>
      </c>
      <c r="Q35" s="107">
        <f>'2.2. OPEX'!Q116</f>
        <v>2345.4892804846736</v>
      </c>
      <c r="R35" s="107">
        <f>'2.2. OPEX'!R116</f>
        <v>2462.7637445089072</v>
      </c>
      <c r="S35" s="338"/>
      <c r="T35" s="338"/>
      <c r="U35" s="118"/>
      <c r="V35" s="220">
        <f t="shared" si="3"/>
        <v>0.196632131899801</v>
      </c>
      <c r="W35" s="220">
        <f t="shared" si="4"/>
        <v>0.43565889640811095</v>
      </c>
      <c r="X35" s="220">
        <f t="shared" si="5"/>
        <v>5.0000000000000044E-2</v>
      </c>
    </row>
    <row r="36" spans="1:25" ht="12" customHeight="1" x14ac:dyDescent="0.25">
      <c r="A36" s="845"/>
      <c r="B36" s="25"/>
      <c r="D36" s="74" t="s">
        <v>58</v>
      </c>
      <c r="E36" s="50"/>
      <c r="F36" s="87"/>
      <c r="G36" s="50" t="str">
        <f t="shared" si="8"/>
        <v>EUR thd</v>
      </c>
      <c r="H36" s="339"/>
      <c r="I36" s="340"/>
      <c r="J36" s="227">
        <f t="shared" ref="J36:R36" si="13">J19+J23</f>
        <v>5003.164583147769</v>
      </c>
      <c r="K36" s="227">
        <f t="shared" si="13"/>
        <v>9017.921157592873</v>
      </c>
      <c r="L36" s="227">
        <f t="shared" si="13"/>
        <v>7479.7932394971522</v>
      </c>
      <c r="M36" s="227">
        <f t="shared" si="13"/>
        <v>11172.982636379416</v>
      </c>
      <c r="N36" s="227">
        <f t="shared" si="13"/>
        <v>11749.701676152976</v>
      </c>
      <c r="O36" s="227">
        <f t="shared" si="13"/>
        <v>12337.186759960621</v>
      </c>
      <c r="P36" s="227">
        <f t="shared" si="13"/>
        <v>12954.046097958655</v>
      </c>
      <c r="Q36" s="227">
        <f t="shared" si="13"/>
        <v>13601.74840285659</v>
      </c>
      <c r="R36" s="227">
        <f t="shared" si="13"/>
        <v>14281.835822999417</v>
      </c>
      <c r="S36" s="227"/>
      <c r="T36" s="227"/>
      <c r="U36" s="118"/>
      <c r="V36" s="220">
        <f t="shared" si="3"/>
        <v>0.22270700892376571</v>
      </c>
      <c r="W36" s="220">
        <f t="shared" si="4"/>
        <v>0.49375554626033336</v>
      </c>
      <c r="X36" s="220">
        <f t="shared" si="5"/>
        <v>5.0538818772228655E-2</v>
      </c>
      <c r="Y36" s="9"/>
    </row>
    <row r="37" spans="1:25" s="91" customFormat="1" ht="12" customHeight="1" x14ac:dyDescent="0.25">
      <c r="A37" s="845"/>
      <c r="B37" s="88"/>
      <c r="C37" s="86"/>
      <c r="D37" s="89"/>
      <c r="E37" s="89"/>
      <c r="F37" s="90"/>
      <c r="G37" s="89"/>
      <c r="H37" s="342"/>
      <c r="I37" s="343"/>
      <c r="J37" s="344"/>
      <c r="K37" s="344"/>
      <c r="L37" s="344"/>
      <c r="M37" s="344"/>
      <c r="N37" s="344"/>
      <c r="O37" s="344"/>
      <c r="P37" s="344"/>
      <c r="Q37" s="344"/>
      <c r="R37" s="344"/>
      <c r="S37" s="344"/>
      <c r="T37" s="344"/>
      <c r="U37" s="306"/>
      <c r="V37" s="220">
        <f t="shared" si="3"/>
        <v>0</v>
      </c>
      <c r="W37" s="220">
        <f t="shared" si="4"/>
        <v>0</v>
      </c>
      <c r="X37" s="220">
        <f t="shared" si="5"/>
        <v>0</v>
      </c>
      <c r="Y37" s="93"/>
    </row>
    <row r="38" spans="1:25" ht="12" customHeight="1" x14ac:dyDescent="0.25">
      <c r="B38" s="25">
        <f ca="1">MAX($A$1:B37)+0.1</f>
        <v>1.3000000000000003</v>
      </c>
      <c r="C38" s="74" t="s">
        <v>57</v>
      </c>
      <c r="D38" s="50"/>
      <c r="E38" s="50"/>
      <c r="F38" s="87"/>
      <c r="G38" s="50" t="str">
        <f t="shared" si="8"/>
        <v>EUR thd</v>
      </c>
      <c r="H38" s="339"/>
      <c r="I38" s="340"/>
      <c r="J38" s="227">
        <f t="shared" ref="J38:R38" si="14">J17-J36</f>
        <v>383.00553353522719</v>
      </c>
      <c r="K38" s="227">
        <f t="shared" si="14"/>
        <v>619.71054705457209</v>
      </c>
      <c r="L38" s="227">
        <f t="shared" si="14"/>
        <v>673.23358332438056</v>
      </c>
      <c r="M38" s="227">
        <f t="shared" si="14"/>
        <v>798.88783813948066</v>
      </c>
      <c r="N38" s="227">
        <f t="shared" ca="1" si="14"/>
        <v>817.39978033496845</v>
      </c>
      <c r="O38" s="227">
        <f t="shared" ca="1" si="14"/>
        <v>858.26976935171842</v>
      </c>
      <c r="P38" s="227">
        <f t="shared" ca="1" si="14"/>
        <v>901.18325781930253</v>
      </c>
      <c r="Q38" s="227">
        <f t="shared" ca="1" si="14"/>
        <v>946.24242071026674</v>
      </c>
      <c r="R38" s="227">
        <f t="shared" ca="1" si="14"/>
        <v>993.55454174578153</v>
      </c>
      <c r="S38" s="227"/>
      <c r="T38" s="227"/>
      <c r="U38" s="118"/>
      <c r="V38" s="220">
        <f t="shared" si="3"/>
        <v>0.32580716502432772</v>
      </c>
      <c r="W38" s="220">
        <f t="shared" si="4"/>
        <v>0.18664287986738293</v>
      </c>
      <c r="X38" s="220">
        <f t="shared" ca="1" si="5"/>
        <v>4.0980118380607777E-2</v>
      </c>
    </row>
    <row r="39" spans="1:25" ht="12" customHeight="1" x14ac:dyDescent="0.25">
      <c r="B39" s="56"/>
      <c r="C39" s="43"/>
      <c r="D39" s="43"/>
      <c r="E39" s="43"/>
      <c r="F39" s="10" t="str">
        <f>C38&amp;" mg (%)"</f>
        <v>EBITDA mg (%)</v>
      </c>
      <c r="G39" s="10" t="s">
        <v>85</v>
      </c>
      <c r="H39" s="292"/>
      <c r="I39" s="215"/>
      <c r="J39" s="620">
        <f>IF(ISERROR(J38/J$17),0,J38/J$17)</f>
        <v>7.1109067340616464E-2</v>
      </c>
      <c r="K39" s="620">
        <f t="shared" ref="K39:L39" si="15">IF(ISERROR(K38/K$17),0,K38/K$17)</f>
        <v>6.4301123558782203E-2</v>
      </c>
      <c r="L39" s="620">
        <f t="shared" si="15"/>
        <v>8.2574680294182259E-2</v>
      </c>
      <c r="M39" s="620">
        <f t="shared" ref="M39:R39" si="16">IF(ISERROR(M38/M$17),0,M38/M$17)</f>
        <v>6.6730411078189084E-2</v>
      </c>
      <c r="N39" s="620">
        <f t="shared" ca="1" si="16"/>
        <v>6.5042824963665286E-2</v>
      </c>
      <c r="O39" s="620">
        <f t="shared" ca="1" si="16"/>
        <v>6.504282496366541E-2</v>
      </c>
      <c r="P39" s="620">
        <f t="shared" ca="1" si="16"/>
        <v>6.5042824963665272E-2</v>
      </c>
      <c r="Q39" s="620">
        <f t="shared" ca="1" si="16"/>
        <v>6.5042824963665202E-2</v>
      </c>
      <c r="R39" s="620">
        <f t="shared" ca="1" si="16"/>
        <v>6.5042824963665313E-2</v>
      </c>
      <c r="S39" s="338"/>
      <c r="T39" s="338"/>
      <c r="U39" s="118"/>
      <c r="V39" s="220">
        <f t="shared" si="3"/>
        <v>7.7608377972303799E-2</v>
      </c>
      <c r="W39" s="220">
        <f t="shared" si="4"/>
        <v>-0.19187805704540495</v>
      </c>
      <c r="X39" s="220">
        <f t="shared" ca="1" si="5"/>
        <v>-8.5019484949435675E-3</v>
      </c>
    </row>
    <row r="40" spans="1:25" ht="12" customHeight="1" x14ac:dyDescent="0.25">
      <c r="B40" s="25"/>
      <c r="D40" s="9" t="s">
        <v>139</v>
      </c>
      <c r="F40" s="12"/>
      <c r="H40" s="292"/>
      <c r="I40" s="215"/>
      <c r="J40" s="621">
        <f>'1.2.Historical IS'!O47</f>
        <v>61.883308096552945</v>
      </c>
      <c r="K40" s="621">
        <f>'1.2.Historical IS'!P47</f>
        <v>71.12472581598476</v>
      </c>
      <c r="L40" s="621">
        <f>'1.2.Historical IS'!Q47</f>
        <v>51.950413667132267</v>
      </c>
      <c r="M40" s="621">
        <f ca="1">SUM('2.1. Working LT assets'!M94:M97)+'2.1. Working LT assets'!M100</f>
        <v>34.757559124338016</v>
      </c>
      <c r="N40" s="621">
        <f ca="1">SUM('2.1. Working LT assets'!N94:N97)+'2.1. Working LT assets'!N100</f>
        <v>14.181678306650907</v>
      </c>
      <c r="O40" s="621">
        <f ca="1">SUM('2.1. Working LT assets'!O94:O97)+'2.1. Working LT assets'!O100</f>
        <v>2.4891930804770608</v>
      </c>
      <c r="P40" s="621">
        <f ca="1">SUM('2.1. Working LT assets'!P94:P97)+'2.1. Working LT assets'!P100</f>
        <v>0.51522295046739008</v>
      </c>
      <c r="Q40" s="621">
        <f ca="1">SUM('2.1. Working LT assets'!Q94:Q97)+'2.1. Working LT assets'!Q100</f>
        <v>0.1233695068228212</v>
      </c>
      <c r="R40" s="621">
        <f ca="1">SUM('2.1. Working LT assets'!R94:R97)+'2.1. Working LT assets'!R100</f>
        <v>0</v>
      </c>
      <c r="S40" s="338"/>
      <c r="T40" s="338"/>
      <c r="U40" s="118"/>
      <c r="V40" s="220">
        <f t="shared" si="3"/>
        <v>-8.3763172040334233E-2</v>
      </c>
      <c r="W40" s="220">
        <f t="shared" ca="1" si="4"/>
        <v>-0.33094740405641354</v>
      </c>
      <c r="X40" s="220">
        <f t="shared" ca="1" si="5"/>
        <v>-0.7543508249306069</v>
      </c>
    </row>
    <row r="41" spans="1:25" ht="12" customHeight="1" x14ac:dyDescent="0.25">
      <c r="B41" s="25">
        <f ca="1">MAX($A$1:B40)+0.1</f>
        <v>1.4000000000000004</v>
      </c>
      <c r="C41" s="74" t="s">
        <v>56</v>
      </c>
      <c r="D41" s="50"/>
      <c r="E41" s="50"/>
      <c r="F41" s="87"/>
      <c r="G41" s="50" t="str">
        <f>"EUR "&amp;Multiplier</f>
        <v>EUR thd</v>
      </c>
      <c r="H41" s="339"/>
      <c r="I41" s="340"/>
      <c r="J41" s="231">
        <f>J38-J40</f>
        <v>321.12222543867426</v>
      </c>
      <c r="K41" s="231">
        <f t="shared" ref="K41:L41" si="17">K38-K40</f>
        <v>548.5858212385873</v>
      </c>
      <c r="L41" s="231">
        <f t="shared" si="17"/>
        <v>621.28316965724832</v>
      </c>
      <c r="M41" s="231">
        <f t="shared" ref="M41:R41" ca="1" si="18">M38-M40</f>
        <v>764.13027901514261</v>
      </c>
      <c r="N41" s="231">
        <f t="shared" ca="1" si="18"/>
        <v>803.2181020283175</v>
      </c>
      <c r="O41" s="231">
        <f t="shared" ca="1" si="18"/>
        <v>855.78057627124133</v>
      </c>
      <c r="P41" s="231">
        <f t="shared" ca="1" si="18"/>
        <v>900.66803486883509</v>
      </c>
      <c r="Q41" s="231">
        <f t="shared" ca="1" si="18"/>
        <v>946.11905120344397</v>
      </c>
      <c r="R41" s="231">
        <f t="shared" ca="1" si="18"/>
        <v>993.55454174578153</v>
      </c>
      <c r="S41" s="227"/>
      <c r="T41" s="227"/>
      <c r="U41" s="118"/>
      <c r="V41" s="220">
        <f t="shared" si="3"/>
        <v>0.39094389281063169</v>
      </c>
      <c r="W41" s="220">
        <f t="shared" ca="1" si="4"/>
        <v>0.22992270889407918</v>
      </c>
      <c r="X41" s="220">
        <f t="shared" ca="1" si="5"/>
        <v>5.6328782633731311E-2</v>
      </c>
    </row>
    <row r="42" spans="1:25" ht="12" customHeight="1" x14ac:dyDescent="0.25">
      <c r="A42" s="845"/>
      <c r="B42" s="56"/>
      <c r="C42" s="43"/>
      <c r="D42" s="43"/>
      <c r="E42" s="43"/>
      <c r="F42" s="10" t="str">
        <f>C41&amp;" mg (%)"</f>
        <v>EBIT mg (%)</v>
      </c>
      <c r="G42" s="10" t="s">
        <v>85</v>
      </c>
      <c r="H42" s="292"/>
      <c r="I42" s="215"/>
      <c r="J42" s="220">
        <f t="shared" ref="J42:L42" si="19">IF(ISERROR(J41/J$17),0,J41/J$17)</f>
        <v>5.9619770352970815E-2</v>
      </c>
      <c r="K42" s="220">
        <f t="shared" si="19"/>
        <v>5.6921226920722552E-2</v>
      </c>
      <c r="L42" s="220">
        <f t="shared" si="19"/>
        <v>7.6202762870616891E-2</v>
      </c>
      <c r="M42" s="220">
        <f t="shared" ref="M42:R42" ca="1" si="20">IF(ISERROR(M41/M$17),0,M41/M$17)</f>
        <v>6.3827142186471911E-2</v>
      </c>
      <c r="N42" s="220">
        <f t="shared" ca="1" si="20"/>
        <v>6.3914348492320375E-2</v>
      </c>
      <c r="O42" s="220">
        <f t="shared" ca="1" si="20"/>
        <v>6.485418479991302E-2</v>
      </c>
      <c r="P42" s="220">
        <f t="shared" ca="1" si="20"/>
        <v>6.500563879104862E-2</v>
      </c>
      <c r="Q42" s="220">
        <f t="shared" ca="1" si="20"/>
        <v>6.503434478875178E-2</v>
      </c>
      <c r="R42" s="220">
        <f t="shared" ca="1" si="20"/>
        <v>6.5042824963665313E-2</v>
      </c>
      <c r="S42" s="338"/>
      <c r="T42" s="338"/>
      <c r="U42" s="118"/>
      <c r="V42" s="220">
        <f t="shared" si="3"/>
        <v>0.13055113271668239</v>
      </c>
      <c r="W42" s="220">
        <f t="shared" ca="1" si="4"/>
        <v>-0.16240383180275619</v>
      </c>
      <c r="X42" s="220">
        <f t="shared" ca="1" si="5"/>
        <v>6.1171306127836278E-3</v>
      </c>
    </row>
    <row r="43" spans="1:25" ht="12" customHeight="1" x14ac:dyDescent="0.25">
      <c r="A43" s="845"/>
      <c r="B43" s="25">
        <f ca="1">MAX($A$1:B42)+0.1</f>
        <v>1.5000000000000004</v>
      </c>
      <c r="C43" s="9" t="s">
        <v>55</v>
      </c>
      <c r="H43" s="292"/>
      <c r="I43" s="215"/>
      <c r="J43" s="118"/>
      <c r="K43" s="118"/>
      <c r="L43" s="118"/>
      <c r="M43" s="118"/>
      <c r="N43" s="118"/>
      <c r="O43" s="118"/>
      <c r="P43" s="118"/>
      <c r="Q43" s="118"/>
      <c r="R43" s="118"/>
      <c r="S43" s="118"/>
      <c r="T43" s="118"/>
      <c r="U43" s="118"/>
      <c r="V43" s="220">
        <f t="shared" si="3"/>
        <v>0</v>
      </c>
      <c r="W43" s="220">
        <f t="shared" si="4"/>
        <v>0</v>
      </c>
      <c r="X43" s="220">
        <f t="shared" si="5"/>
        <v>0</v>
      </c>
    </row>
    <row r="44" spans="1:25" ht="12" customHeight="1" x14ac:dyDescent="0.25">
      <c r="B44" s="25"/>
      <c r="F44" s="10" t="str">
        <f>'1.2.Historical IS'!F51</f>
        <v>Foreign exchange losses</v>
      </c>
      <c r="G44" s="10" t="str">
        <f t="shared" ref="G44:G51" si="21">"EUR "&amp;Multiplier</f>
        <v>EUR thd</v>
      </c>
      <c r="H44" s="292"/>
      <c r="I44" s="215"/>
      <c r="J44" s="345">
        <f>'1.2.Historical IS'!O51</f>
        <v>50.600420860425757</v>
      </c>
      <c r="K44" s="345">
        <f>'1.2.Historical IS'!P51</f>
        <v>68.720855497909412</v>
      </c>
      <c r="L44" s="345">
        <f>'1.2.Historical IS'!Q51</f>
        <v>119.49548082088751</v>
      </c>
      <c r="M44" s="346">
        <v>0</v>
      </c>
      <c r="N44" s="346">
        <v>0</v>
      </c>
      <c r="O44" s="346">
        <v>0</v>
      </c>
      <c r="P44" s="346">
        <v>0</v>
      </c>
      <c r="Q44" s="346">
        <v>0</v>
      </c>
      <c r="R44" s="346">
        <v>0</v>
      </c>
      <c r="S44" s="338"/>
      <c r="T44" s="338"/>
      <c r="U44" s="118"/>
      <c r="V44" s="220">
        <f t="shared" si="3"/>
        <v>0.53673391491388367</v>
      </c>
      <c r="W44" s="220">
        <f t="shared" si="4"/>
        <v>-1</v>
      </c>
      <c r="X44" s="220">
        <f t="shared" si="5"/>
        <v>0</v>
      </c>
    </row>
    <row r="45" spans="1:25" ht="12" customHeight="1" x14ac:dyDescent="0.25">
      <c r="B45" s="25"/>
      <c r="F45" s="10" t="str">
        <f>'1.2.Historical IS'!F52</f>
        <v>Interest expense</v>
      </c>
      <c r="G45" s="10" t="str">
        <f t="shared" si="21"/>
        <v>EUR thd</v>
      </c>
      <c r="H45" s="292"/>
      <c r="I45" s="215"/>
      <c r="J45" s="345">
        <f>'1.2.Historical IS'!O52</f>
        <v>4.5935891155250728</v>
      </c>
      <c r="K45" s="345">
        <f>'1.2.Historical IS'!P52</f>
        <v>10.874063615069721</v>
      </c>
      <c r="L45" s="345">
        <f>'1.2.Historical IS'!Q52</f>
        <v>33.835934243042864</v>
      </c>
      <c r="M45" s="882">
        <f>'2.2. OPEX'!M148+RMF_1218HRC!AD125/1000</f>
        <v>16.175816207251444</v>
      </c>
      <c r="N45" s="882">
        <f>RMF_1218HRC!AF125/1000</f>
        <v>0.18994999999999998</v>
      </c>
      <c r="O45" s="849">
        <f>'2.2. OPEX'!O148</f>
        <v>2.3864115868997261E-4</v>
      </c>
      <c r="P45" s="882">
        <f>'2.2. OPEX'!P148</f>
        <v>2.4332039709565835E-4</v>
      </c>
      <c r="Q45" s="882">
        <f>'2.2. OPEX'!Q148</f>
        <v>2.526788739070298E-4</v>
      </c>
      <c r="R45" s="882">
        <f>'2.2. OPEX'!R148</f>
        <v>2.526788739070298E-4</v>
      </c>
      <c r="S45" s="338"/>
      <c r="T45" s="338"/>
      <c r="U45" s="118"/>
      <c r="V45" s="220">
        <f t="shared" si="3"/>
        <v>1.7140198086319183</v>
      </c>
      <c r="W45" s="220">
        <f t="shared" si="4"/>
        <v>-0.52193380885951401</v>
      </c>
      <c r="X45" s="220">
        <f t="shared" si="5"/>
        <v>-0.97531475524585365</v>
      </c>
    </row>
    <row r="46" spans="1:25" ht="12" customHeight="1" x14ac:dyDescent="0.25">
      <c r="B46" s="25"/>
      <c r="F46" s="10" t="str">
        <f>'1.2.Historical IS'!F53</f>
        <v>Other financial costs</v>
      </c>
      <c r="G46" s="10" t="str">
        <f t="shared" si="21"/>
        <v>EUR thd</v>
      </c>
      <c r="H46" s="292"/>
      <c r="I46" s="215"/>
      <c r="J46" s="345">
        <f>'1.2.Historical IS'!O53</f>
        <v>0</v>
      </c>
      <c r="K46" s="345">
        <f>'1.2.Historical IS'!P53</f>
        <v>0</v>
      </c>
      <c r="L46" s="345">
        <f>'1.2.Historical IS'!Q53</f>
        <v>0</v>
      </c>
      <c r="M46" s="345">
        <f>'2.2. OPEX'!M128</f>
        <v>0</v>
      </c>
      <c r="N46" s="345">
        <f>'2.2. OPEX'!N128</f>
        <v>0</v>
      </c>
      <c r="O46" s="345">
        <f>'2.2. OPEX'!O128</f>
        <v>0</v>
      </c>
      <c r="P46" s="345">
        <f>'2.2. OPEX'!P128</f>
        <v>0</v>
      </c>
      <c r="Q46" s="345">
        <f>'2.2. OPEX'!Q128</f>
        <v>0</v>
      </c>
      <c r="R46" s="345">
        <f>'2.2. OPEX'!R128</f>
        <v>0</v>
      </c>
      <c r="S46" s="338"/>
      <c r="T46" s="338"/>
      <c r="U46" s="118"/>
      <c r="V46" s="220">
        <f t="shared" si="3"/>
        <v>0</v>
      </c>
      <c r="W46" s="220">
        <f t="shared" si="4"/>
        <v>0</v>
      </c>
      <c r="X46" s="220">
        <f t="shared" si="5"/>
        <v>0</v>
      </c>
    </row>
    <row r="47" spans="1:25" ht="12" customHeight="1" x14ac:dyDescent="0.25">
      <c r="B47" s="25"/>
      <c r="F47" s="10" t="str">
        <f>'1.2.Historical IS'!F54</f>
        <v>Foreign exchange gains</v>
      </c>
      <c r="G47" s="10" t="str">
        <f t="shared" si="21"/>
        <v>EUR thd</v>
      </c>
      <c r="H47" s="292"/>
      <c r="I47" s="215"/>
      <c r="J47" s="345">
        <f>'1.2.Historical IS'!O54</f>
        <v>42.318355304177423</v>
      </c>
      <c r="K47" s="345">
        <f>'1.2.Historical IS'!P54</f>
        <v>55.847098355990454</v>
      </c>
      <c r="L47" s="345">
        <f>'1.2.Historical IS'!Q54</f>
        <v>96.415957881164715</v>
      </c>
      <c r="M47" s="345"/>
      <c r="N47" s="346"/>
      <c r="O47" s="346"/>
      <c r="P47" s="346"/>
      <c r="Q47" s="346"/>
      <c r="R47" s="346"/>
      <c r="S47" s="338"/>
      <c r="T47" s="338"/>
      <c r="U47" s="118"/>
      <c r="V47" s="220">
        <f t="shared" si="3"/>
        <v>0.50941989469755145</v>
      </c>
      <c r="W47" s="220">
        <f t="shared" si="4"/>
        <v>-1</v>
      </c>
      <c r="X47" s="220">
        <f t="shared" si="5"/>
        <v>0</v>
      </c>
    </row>
    <row r="48" spans="1:25" ht="12" customHeight="1" x14ac:dyDescent="0.25">
      <c r="B48" s="25"/>
      <c r="F48" s="10" t="str">
        <f>'1.2.Historical IS'!F55</f>
        <v>Interest income</v>
      </c>
      <c r="G48" s="10" t="str">
        <f t="shared" si="21"/>
        <v>EUR thd</v>
      </c>
      <c r="H48" s="292"/>
      <c r="I48" s="215"/>
      <c r="J48" s="345">
        <f>'1.2.Historical IS'!O55</f>
        <v>0.91882515364745709</v>
      </c>
      <c r="K48" s="345">
        <f>'1.2.Historical IS'!P55</f>
        <v>3.8881788927562884</v>
      </c>
      <c r="L48" s="345">
        <f>'1.2.Historical IS'!Q55</f>
        <v>0.85794133447942411</v>
      </c>
      <c r="M48" s="345"/>
      <c r="N48" s="345"/>
      <c r="O48" s="345"/>
      <c r="P48" s="345"/>
      <c r="Q48" s="345"/>
      <c r="R48" s="345"/>
      <c r="S48" s="338"/>
      <c r="T48" s="338"/>
      <c r="U48" s="118"/>
      <c r="V48" s="220">
        <f t="shared" si="3"/>
        <v>-3.3699157723542372E-2</v>
      </c>
      <c r="W48" s="220">
        <f t="shared" si="4"/>
        <v>-1</v>
      </c>
      <c r="X48" s="220">
        <f t="shared" si="5"/>
        <v>0</v>
      </c>
    </row>
    <row r="49" spans="1:25" ht="12" customHeight="1" x14ac:dyDescent="0.25">
      <c r="B49" s="25"/>
      <c r="F49" s="10" t="str">
        <f>'1.2.Historical IS'!F56</f>
        <v>Other financial revenues</v>
      </c>
      <c r="G49" s="10" t="str">
        <f t="shared" si="21"/>
        <v>EUR thd</v>
      </c>
      <c r="H49" s="292"/>
      <c r="I49" s="215"/>
      <c r="J49" s="345">
        <f>'1.2.Historical IS'!O56</f>
        <v>-1.3745880466731987E-2</v>
      </c>
      <c r="K49" s="345">
        <f>'1.2.Historical IS'!P56</f>
        <v>3.4890435848602266</v>
      </c>
      <c r="L49" s="345">
        <f>'1.2.Historical IS'!Q56</f>
        <v>0</v>
      </c>
      <c r="M49" s="345">
        <f>'2.2. OPEX'!M138</f>
        <v>1.4194210716607578</v>
      </c>
      <c r="N49" s="345">
        <f>'2.2. OPEX'!N138</f>
        <v>1.4903921252437957</v>
      </c>
      <c r="O49" s="345">
        <f>'2.2. OPEX'!O138</f>
        <v>1.5649117315059853</v>
      </c>
      <c r="P49" s="345">
        <f>'2.2. OPEX'!P138</f>
        <v>1.6431573180812846</v>
      </c>
      <c r="Q49" s="345">
        <f>'2.2. OPEX'!Q138</f>
        <v>1.7253151839853491</v>
      </c>
      <c r="R49" s="345">
        <f>'2.2. OPEX'!R138</f>
        <v>1.8115809431846164</v>
      </c>
      <c r="S49" s="338"/>
      <c r="T49" s="338"/>
      <c r="U49" s="118"/>
      <c r="V49" s="220">
        <f t="shared" si="3"/>
        <v>-1</v>
      </c>
      <c r="W49" s="220">
        <f t="shared" si="4"/>
        <v>0</v>
      </c>
      <c r="X49" s="220">
        <f t="shared" si="5"/>
        <v>5.0000000000000044E-2</v>
      </c>
    </row>
    <row r="50" spans="1:25" ht="12" customHeight="1" x14ac:dyDescent="0.25">
      <c r="A50" s="845"/>
      <c r="B50" s="25"/>
      <c r="D50" s="74" t="s">
        <v>376</v>
      </c>
      <c r="E50" s="50"/>
      <c r="F50" s="50"/>
      <c r="G50" s="50" t="str">
        <f t="shared" si="21"/>
        <v>EUR thd</v>
      </c>
      <c r="H50" s="339"/>
      <c r="I50" s="340"/>
      <c r="J50" s="227">
        <f>SUM(J44:J46)-SUM(J47:J49)</f>
        <v>11.970575398592679</v>
      </c>
      <c r="K50" s="227">
        <f t="shared" ref="K50:P50" si="22">SUM(K44:K46)-SUM(K47:K49)</f>
        <v>16.37059827937216</v>
      </c>
      <c r="L50" s="227">
        <f t="shared" si="22"/>
        <v>56.057515848286229</v>
      </c>
      <c r="M50" s="227">
        <f t="shared" si="22"/>
        <v>14.756395135590687</v>
      </c>
      <c r="N50" s="227">
        <f t="shared" si="22"/>
        <v>-1.3004421252437957</v>
      </c>
      <c r="O50" s="227">
        <f t="shared" si="22"/>
        <v>-1.5646730903472954</v>
      </c>
      <c r="P50" s="227">
        <f t="shared" si="22"/>
        <v>-1.6429139976841889</v>
      </c>
      <c r="Q50" s="227">
        <f t="shared" ref="Q50:R50" si="23">SUM(Q44:Q46)-SUM(Q47:Q49)</f>
        <v>-1.7250625051114421</v>
      </c>
      <c r="R50" s="227">
        <f t="shared" si="23"/>
        <v>-1.8113282643107094</v>
      </c>
      <c r="S50" s="227"/>
      <c r="T50" s="227"/>
      <c r="U50" s="118"/>
      <c r="V50" s="220">
        <f t="shared" si="3"/>
        <v>1.1640107355651041</v>
      </c>
      <c r="W50" s="220">
        <f t="shared" si="4"/>
        <v>-0.73676330618132779</v>
      </c>
      <c r="X50" s="220">
        <f t="shared" si="5"/>
        <v>-1.4810735925836092</v>
      </c>
    </row>
    <row r="51" spans="1:25" ht="12" customHeight="1" x14ac:dyDescent="0.25">
      <c r="A51" s="845"/>
      <c r="B51" s="25">
        <f ca="1">MAX($A$1:B50)+0.1</f>
        <v>1.6000000000000005</v>
      </c>
      <c r="C51" s="74" t="s">
        <v>54</v>
      </c>
      <c r="D51" s="50"/>
      <c r="E51" s="50"/>
      <c r="F51" s="87"/>
      <c r="G51" s="50" t="str">
        <f t="shared" si="21"/>
        <v>EUR thd</v>
      </c>
      <c r="H51" s="339"/>
      <c r="I51" s="340"/>
      <c r="J51" s="227">
        <f>J41-J50</f>
        <v>309.15165004008156</v>
      </c>
      <c r="K51" s="227">
        <f t="shared" ref="K51:P51" si="24">K41-K50</f>
        <v>532.21522295921511</v>
      </c>
      <c r="L51" s="227">
        <f t="shared" si="24"/>
        <v>565.22565380896208</v>
      </c>
      <c r="M51" s="227">
        <f t="shared" ca="1" si="24"/>
        <v>749.37388387955195</v>
      </c>
      <c r="N51" s="227">
        <f t="shared" ca="1" si="24"/>
        <v>804.51854415356127</v>
      </c>
      <c r="O51" s="227">
        <f t="shared" ca="1" si="24"/>
        <v>857.34524936158857</v>
      </c>
      <c r="P51" s="227">
        <f t="shared" ca="1" si="24"/>
        <v>902.31094886651931</v>
      </c>
      <c r="Q51" s="227">
        <f t="shared" ref="Q51:R51" ca="1" si="25">Q41-Q50</f>
        <v>947.84411370855537</v>
      </c>
      <c r="R51" s="227">
        <f t="shared" ca="1" si="25"/>
        <v>995.36587001009229</v>
      </c>
      <c r="S51" s="227"/>
      <c r="T51" s="227"/>
      <c r="U51" s="118"/>
      <c r="V51" s="220">
        <f t="shared" si="3"/>
        <v>0.35215085788924472</v>
      </c>
      <c r="W51" s="220">
        <f t="shared" ca="1" si="4"/>
        <v>0.32579595216467161</v>
      </c>
      <c r="X51" s="220">
        <f t="shared" ca="1" si="5"/>
        <v>6.3863456486968673E-2</v>
      </c>
    </row>
    <row r="52" spans="1:25" ht="12" customHeight="1" x14ac:dyDescent="0.25">
      <c r="A52" s="845"/>
      <c r="B52" s="56"/>
      <c r="C52" s="43"/>
      <c r="D52" s="43"/>
      <c r="E52" s="43"/>
      <c r="F52" s="10" t="str">
        <f>C51&amp;" mg (%)"</f>
        <v>EBT mg (%)</v>
      </c>
      <c r="G52" s="10" t="s">
        <v>85</v>
      </c>
      <c r="H52" s="292"/>
      <c r="I52" s="215"/>
      <c r="J52" s="220">
        <f t="shared" ref="J52:P52" si="26">IF(ISERROR(J51/J$17),0,J51/J$17)</f>
        <v>5.7397305198831829E-2</v>
      </c>
      <c r="K52" s="220">
        <f t="shared" si="26"/>
        <v>5.5222614773977205E-2</v>
      </c>
      <c r="L52" s="220">
        <f t="shared" si="26"/>
        <v>6.9327093617159649E-2</v>
      </c>
      <c r="M52" s="220">
        <f t="shared" ca="1" si="26"/>
        <v>6.259455324667354E-2</v>
      </c>
      <c r="N52" s="220">
        <f t="shared" ca="1" si="26"/>
        <v>6.4017828370297528E-2</v>
      </c>
      <c r="O52" s="220">
        <f t="shared" ca="1" si="26"/>
        <v>6.4972761454450995E-2</v>
      </c>
      <c r="P52" s="220">
        <f t="shared" ca="1" si="26"/>
        <v>6.5124215969058236E-2</v>
      </c>
      <c r="Q52" s="220">
        <f t="shared" ref="Q52:R52" ca="1" si="27">IF(ISERROR(Q51/Q$17),0,Q51/Q$17)</f>
        <v>6.5152922159746329E-2</v>
      </c>
      <c r="R52" s="220">
        <f t="shared" ca="1" si="27"/>
        <v>6.5161403161738157E-2</v>
      </c>
      <c r="S52" s="338"/>
      <c r="T52" s="338"/>
      <c r="U52" s="29"/>
      <c r="V52" s="220">
        <f t="shared" si="3"/>
        <v>9.9020378817421539E-2</v>
      </c>
      <c r="W52" s="220">
        <f t="shared" ca="1" si="4"/>
        <v>-9.7112687395562336E-2</v>
      </c>
      <c r="X52" s="220">
        <f t="shared" ca="1" si="5"/>
        <v>1.3293650425508341E-2</v>
      </c>
      <c r="Y52" s="94"/>
    </row>
    <row r="53" spans="1:25" ht="12" customHeight="1" x14ac:dyDescent="0.25">
      <c r="A53" s="845"/>
      <c r="B53" s="25"/>
      <c r="D53" s="9" t="s">
        <v>141</v>
      </c>
      <c r="G53" s="94" t="str">
        <f>"EUR "&amp;Multiplier</f>
        <v>EUR thd</v>
      </c>
      <c r="H53" s="348"/>
      <c r="I53" s="349"/>
      <c r="J53" s="350">
        <f>'1.2.Historical IS'!O60</f>
        <v>50.507927318072504</v>
      </c>
      <c r="K53" s="350">
        <f>'1.2.Historical IS'!P60</f>
        <v>84.396138438300383</v>
      </c>
      <c r="L53" s="350">
        <f>'1.2.Historical IS'!Q60</f>
        <v>83.935747286988288</v>
      </c>
      <c r="M53" s="298">
        <f ca="1">MAX(M51*'0.2.Parameters'!$H$196,0)</f>
        <v>119.89982142072832</v>
      </c>
      <c r="N53" s="298">
        <f ca="1">MAX(N51*'0.2.Parameters'!$H$196,0)</f>
        <v>128.72296706456981</v>
      </c>
      <c r="O53" s="298">
        <f ca="1">MAX(O51*'0.2.Parameters'!$H$196,0)</f>
        <v>137.17523989785417</v>
      </c>
      <c r="P53" s="298">
        <f ca="1">MAX(P51*'0.2.Parameters'!$H$196,0)</f>
        <v>144.3697518186431</v>
      </c>
      <c r="Q53" s="298">
        <f ca="1">MAX(Q51*'0.2.Parameters'!$H$196,0)</f>
        <v>151.65505819336886</v>
      </c>
      <c r="R53" s="298">
        <f ca="1">MAX(R51*'0.2.Parameters'!$H$196,0)</f>
        <v>159.25853920161478</v>
      </c>
      <c r="S53" s="338"/>
      <c r="T53" s="338"/>
      <c r="U53" s="351"/>
      <c r="V53" s="220">
        <f t="shared" si="3"/>
        <v>0.2891210714183694</v>
      </c>
      <c r="W53" s="220">
        <f t="shared" ca="1" si="4"/>
        <v>0.42847148320218942</v>
      </c>
      <c r="X53" s="220">
        <f t="shared" ca="1" si="5"/>
        <v>6.3863456486968673E-2</v>
      </c>
      <c r="Y53" s="95"/>
    </row>
    <row r="54" spans="1:25" ht="12" customHeight="1" x14ac:dyDescent="0.25">
      <c r="A54" s="845"/>
      <c r="B54" s="25">
        <f ca="1">MAX($A$1:B53)+0.1</f>
        <v>1.7000000000000006</v>
      </c>
      <c r="C54" s="74" t="s">
        <v>53</v>
      </c>
      <c r="D54" s="50"/>
      <c r="E54" s="50"/>
      <c r="F54" s="87"/>
      <c r="G54" s="50" t="str">
        <f>"EUR "&amp;Multiplier</f>
        <v>EUR thd</v>
      </c>
      <c r="H54" s="339"/>
      <c r="I54" s="340"/>
      <c r="J54" s="227">
        <f t="shared" ref="J54:P54" si="28">J51-J53</f>
        <v>258.64372272200904</v>
      </c>
      <c r="K54" s="227">
        <f t="shared" si="28"/>
        <v>447.81908452091471</v>
      </c>
      <c r="L54" s="227">
        <f t="shared" si="28"/>
        <v>481.28990652197376</v>
      </c>
      <c r="M54" s="227">
        <f t="shared" ca="1" si="28"/>
        <v>629.4740624588236</v>
      </c>
      <c r="N54" s="227">
        <f t="shared" ca="1" si="28"/>
        <v>675.79557708899142</v>
      </c>
      <c r="O54" s="227">
        <f t="shared" ca="1" si="28"/>
        <v>720.17000946373446</v>
      </c>
      <c r="P54" s="227">
        <f t="shared" ca="1" si="28"/>
        <v>757.94119704787624</v>
      </c>
      <c r="Q54" s="227">
        <f t="shared" ref="Q54:R54" ca="1" si="29">Q51-Q53</f>
        <v>796.18905551518651</v>
      </c>
      <c r="R54" s="227">
        <f t="shared" ca="1" si="29"/>
        <v>836.10733080847751</v>
      </c>
      <c r="S54" s="227"/>
      <c r="T54" s="227"/>
      <c r="U54" s="118"/>
      <c r="V54" s="220">
        <f t="shared" si="3"/>
        <v>0.36411946380605609</v>
      </c>
      <c r="W54" s="220">
        <f t="shared" ca="1" si="4"/>
        <v>0.30788959820017414</v>
      </c>
      <c r="X54" s="220">
        <f t="shared" ca="1" si="5"/>
        <v>6.3863456486968673E-2</v>
      </c>
    </row>
    <row r="55" spans="1:25" ht="12" customHeight="1" x14ac:dyDescent="0.25">
      <c r="A55" s="845"/>
      <c r="B55" s="56"/>
      <c r="C55" s="43"/>
      <c r="D55" s="43"/>
      <c r="E55" s="43"/>
      <c r="F55" s="10" t="str">
        <f>C54&amp;" mg (%)"</f>
        <v>EAT mg (%)</v>
      </c>
      <c r="G55" s="10" t="s">
        <v>85</v>
      </c>
      <c r="H55" s="292"/>
      <c r="I55" s="215"/>
      <c r="J55" s="220">
        <f t="shared" ref="J55:P55" si="30">IF(ISERROR(J54/J$17),0,J54/J$17)</f>
        <v>4.8019969128136539E-2</v>
      </c>
      <c r="K55" s="220">
        <f t="shared" si="30"/>
        <v>4.6465677278886681E-2</v>
      </c>
      <c r="L55" s="220">
        <f t="shared" si="30"/>
        <v>5.9032052387558917E-2</v>
      </c>
      <c r="M55" s="220">
        <f t="shared" ca="1" si="30"/>
        <v>5.2579424727205774E-2</v>
      </c>
      <c r="N55" s="220">
        <f t="shared" ca="1" si="30"/>
        <v>5.3774975831049919E-2</v>
      </c>
      <c r="O55" s="220">
        <f t="shared" ca="1" si="30"/>
        <v>5.4577119621738848E-2</v>
      </c>
      <c r="P55" s="220">
        <f t="shared" ca="1" si="30"/>
        <v>5.4704341414008921E-2</v>
      </c>
      <c r="Q55" s="220">
        <f t="shared" ref="Q55:R55" ca="1" si="31">IF(ISERROR(Q54/Q$17),0,Q54/Q$17)</f>
        <v>5.4728454614186919E-2</v>
      </c>
      <c r="R55" s="220">
        <f t="shared" ca="1" si="31"/>
        <v>5.4735578655860047E-2</v>
      </c>
      <c r="S55" s="338"/>
      <c r="T55" s="338"/>
      <c r="U55" s="118"/>
      <c r="V55" s="220">
        <f t="shared" si="3"/>
        <v>0.10874839232409772</v>
      </c>
      <c r="W55" s="220">
        <f t="shared" ca="1" si="4"/>
        <v>-0.109307188203286</v>
      </c>
      <c r="X55" s="220">
        <f t="shared" ca="1" si="5"/>
        <v>1.3293650425508341E-2</v>
      </c>
    </row>
    <row r="56" spans="1:25" ht="12" customHeight="1" x14ac:dyDescent="0.25">
      <c r="H56" s="84"/>
      <c r="I56" s="215"/>
      <c r="J56" s="118"/>
      <c r="K56" s="108"/>
      <c r="L56" s="108"/>
      <c r="M56" s="108"/>
      <c r="N56" s="108"/>
      <c r="O56" s="108"/>
      <c r="P56" s="108"/>
      <c r="Q56" s="108"/>
      <c r="R56" s="108"/>
      <c r="S56" s="108"/>
      <c r="T56" s="108"/>
      <c r="U56" s="118"/>
      <c r="V56" s="225"/>
      <c r="W56" s="225"/>
      <c r="X56" s="225"/>
    </row>
    <row r="57" spans="1:25" ht="12" customHeight="1" x14ac:dyDescent="0.25">
      <c r="M57" s="57"/>
      <c r="N57" s="57"/>
      <c r="O57" s="57"/>
      <c r="P57" s="57"/>
      <c r="Q57" s="57"/>
      <c r="R57" s="57"/>
      <c r="S57" s="57"/>
    </row>
    <row r="58" spans="1:25" s="98" customFormat="1" ht="12" customHeight="1" x14ac:dyDescent="0.25">
      <c r="A58" s="96" t="s">
        <v>0</v>
      </c>
      <c r="B58" s="64"/>
      <c r="C58" s="64"/>
      <c r="D58" s="64"/>
      <c r="E58" s="64"/>
      <c r="F58" s="81"/>
      <c r="G58" s="81"/>
      <c r="H58" s="97"/>
      <c r="I58" s="81"/>
      <c r="K58" s="99"/>
      <c r="L58" s="99"/>
      <c r="M58" s="99"/>
      <c r="N58" s="99"/>
      <c r="O58" s="99"/>
      <c r="P58" s="99"/>
      <c r="Q58" s="99"/>
      <c r="R58" s="99"/>
      <c r="S58" s="99"/>
      <c r="V58" s="100"/>
      <c r="W58" s="100"/>
      <c r="X58" s="100"/>
      <c r="Y58" s="81"/>
    </row>
    <row r="59" spans="1:25" ht="12" customHeight="1" x14ac:dyDescent="0.25">
      <c r="K59" s="24"/>
      <c r="L59" s="24"/>
      <c r="M59" s="57"/>
      <c r="N59" s="57"/>
      <c r="O59" s="57"/>
      <c r="P59" s="57"/>
      <c r="Q59" s="57"/>
      <c r="R59" s="57"/>
      <c r="S59" s="57"/>
    </row>
  </sheetData>
  <conditionalFormatting sqref="A3">
    <cfRule type="containsText" dxfId="7" priority="1" operator="containsText" text="OK">
      <formula>NOT(ISERROR(SEARCH("OK",A3)))</formula>
    </cfRule>
    <cfRule type="containsText" dxfId="6" priority="2" operator="containsText" text="Error">
      <formula>NOT(ISERROR(SEARCH("Error",A3)))</formula>
    </cfRule>
  </conditionalFormatting>
  <pageMargins left="0.7" right="0.7" top="0.75" bottom="0.75" header="0.3" footer="0.3"/>
  <pageSetup paperSize="9" orientation="portrait" r:id="rId1"/>
  <headerFooter>
    <oddFooter>&amp;C&amp;7&amp;B&amp;"Arial"Document Classification: KPMG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24385" r:id="rId4" name="Button 1">
              <controlPr defaultSize="0" autoFill="0" autoPict="0" macro="[0]!scenario1">
                <anchor moveWithCells="1" sizeWithCells="1">
                  <from>
                    <xdr:col>6</xdr:col>
                    <xdr:colOff>502920</xdr:colOff>
                    <xdr:row>1</xdr:row>
                    <xdr:rowOff>0</xdr:rowOff>
                  </from>
                  <to>
                    <xdr:col>7</xdr:col>
                    <xdr:colOff>68580</xdr:colOff>
                    <xdr:row>2</xdr:row>
                    <xdr:rowOff>91440</xdr:rowOff>
                  </to>
                </anchor>
              </controlPr>
            </control>
          </mc:Choice>
        </mc:AlternateContent>
        <mc:AlternateContent xmlns:mc="http://schemas.openxmlformats.org/markup-compatibility/2006">
          <mc:Choice Requires="x14">
            <control shapeId="1424386" r:id="rId5" name="Button 2">
              <controlPr defaultSize="0" autoFill="0" autoPict="0" macro="[0]!scenario2">
                <anchor moveWithCells="1" sizeWithCells="1">
                  <from>
                    <xdr:col>7</xdr:col>
                    <xdr:colOff>83820</xdr:colOff>
                    <xdr:row>1</xdr:row>
                    <xdr:rowOff>0</xdr:rowOff>
                  </from>
                  <to>
                    <xdr:col>7</xdr:col>
                    <xdr:colOff>388620</xdr:colOff>
                    <xdr:row>2</xdr:row>
                    <xdr:rowOff>91440</xdr:rowOff>
                  </to>
                </anchor>
              </controlPr>
            </control>
          </mc:Choice>
        </mc:AlternateContent>
        <mc:AlternateContent xmlns:mc="http://schemas.openxmlformats.org/markup-compatibility/2006">
          <mc:Choice Requires="x14">
            <control shapeId="1424387" r:id="rId6" name="Button 3">
              <controlPr defaultSize="0" autoFill="0" autoPict="0" macro="[0]!scenario3">
                <anchor moveWithCells="1" sizeWithCells="1">
                  <from>
                    <xdr:col>7</xdr:col>
                    <xdr:colOff>396240</xdr:colOff>
                    <xdr:row>1</xdr:row>
                    <xdr:rowOff>0</xdr:rowOff>
                  </from>
                  <to>
                    <xdr:col>7</xdr:col>
                    <xdr:colOff>708660</xdr:colOff>
                    <xdr:row>2</xdr:row>
                    <xdr:rowOff>91440</xdr:rowOff>
                  </to>
                </anchor>
              </controlPr>
            </control>
          </mc:Choice>
        </mc:AlternateContent>
        <mc:AlternateContent xmlns:mc="http://schemas.openxmlformats.org/markup-compatibility/2006">
          <mc:Choice Requires="x14">
            <control shapeId="1424388" r:id="rId7" name="Button 4">
              <controlPr defaultSize="0" print="0" autoFill="0" autoPict="0" macro="[0]!Module3.ModelMap">
                <anchor moveWithCells="1" sizeWithCells="1">
                  <from>
                    <xdr:col>5</xdr:col>
                    <xdr:colOff>2316480</xdr:colOff>
                    <xdr:row>1</xdr:row>
                    <xdr:rowOff>0</xdr:rowOff>
                  </from>
                  <to>
                    <xdr:col>6</xdr:col>
                    <xdr:colOff>495300</xdr:colOff>
                    <xdr:row>2</xdr:row>
                    <xdr:rowOff>91440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2">
    <tabColor rgb="FF0070C0"/>
    <outlinePr summaryBelow="0" summaryRight="0"/>
  </sheetPr>
  <dimension ref="A1:Y48"/>
  <sheetViews>
    <sheetView showGridLines="0" zoomScale="85" zoomScaleNormal="85" workbookViewId="0">
      <pane xSplit="9" ySplit="4" topLeftCell="M5" activePane="bottomRight" state="frozen"/>
      <selection activeCell="L10" sqref="L10"/>
      <selection pane="topRight" activeCell="L10" sqref="L10"/>
      <selection pane="bottomLeft" activeCell="L10" sqref="L10"/>
      <selection pane="bottomRight" activeCell="M5" sqref="M5"/>
    </sheetView>
  </sheetViews>
  <sheetFormatPr defaultColWidth="0" defaultRowHeight="12" customHeight="1" outlineLevelCol="1" x14ac:dyDescent="0.25"/>
  <cols>
    <col min="1" max="1" width="3.6640625" style="9" customWidth="1"/>
    <col min="2" max="4" width="5.6640625" style="9" customWidth="1"/>
    <col min="5" max="5" width="2.6640625" style="9" customWidth="1"/>
    <col min="6" max="6" width="40.6640625" style="10" customWidth="1"/>
    <col min="7" max="7" width="10.6640625" style="10" customWidth="1"/>
    <col min="8" max="8" width="10.6640625" style="11" customWidth="1"/>
    <col min="9" max="9" width="2.6640625" style="10" customWidth="1" collapsed="1"/>
    <col min="10" max="12" width="10.6640625" style="12" hidden="1" customWidth="1" outlineLevel="1"/>
    <col min="13" max="17" width="10.6640625" style="12" customWidth="1"/>
    <col min="18" max="18" width="10.6640625" style="12" customWidth="1" collapsed="1"/>
    <col min="19" max="20" width="10.6640625" style="12" hidden="1" customWidth="1" outlineLevel="1"/>
    <col min="21" max="21" width="2.6640625" style="12" customWidth="1"/>
    <col min="22" max="22" width="9" style="13" customWidth="1"/>
    <col min="23" max="23" width="10.33203125" style="13" bestFit="1" customWidth="1"/>
    <col min="24" max="24" width="9.6640625" style="13" bestFit="1" customWidth="1"/>
    <col min="25" max="25" width="25.6640625" style="10" customWidth="1"/>
    <col min="26" max="16384" width="9.109375" style="12" hidden="1"/>
  </cols>
  <sheetData>
    <row r="1" spans="1:25" s="6" customFormat="1" ht="12" customHeight="1" x14ac:dyDescent="0.25">
      <c r="A1" s="1" t="str">
        <f ca="1">MID(CELL("filename"),SEARCH("[",CELL("filename"))+1, SEARCH("]",CELL("filename"))-SEARCH("[",CELL("filename"))-1)</f>
        <v>Project Horeco_190409_1810.xlsm</v>
      </c>
      <c r="B1" s="1"/>
      <c r="C1" s="1"/>
      <c r="D1" s="1"/>
      <c r="E1" s="1"/>
      <c r="F1" s="83"/>
      <c r="G1" s="1"/>
      <c r="H1" s="2"/>
      <c r="I1" s="1"/>
      <c r="J1" s="3">
        <f>'1.0.Model timing'!J9</f>
        <v>42370</v>
      </c>
      <c r="K1" s="3">
        <f>'1.0.Model timing'!K9</f>
        <v>42736</v>
      </c>
      <c r="L1" s="3">
        <f>'1.0.Model timing'!L9</f>
        <v>43101</v>
      </c>
      <c r="M1" s="3">
        <f>'1.0.Model timing'!M9</f>
        <v>43466</v>
      </c>
      <c r="N1" s="3">
        <f>'1.0.Model timing'!N9</f>
        <v>43831</v>
      </c>
      <c r="O1" s="3">
        <f>'1.0.Model timing'!O9</f>
        <v>44197</v>
      </c>
      <c r="P1" s="3">
        <f>'1.0.Model timing'!P9</f>
        <v>44562</v>
      </c>
      <c r="Q1" s="3">
        <f>'1.0.Model timing'!Q9</f>
        <v>44927</v>
      </c>
      <c r="R1" s="3">
        <f>'1.0.Model timing'!R9</f>
        <v>45292</v>
      </c>
      <c r="S1" s="3">
        <f>'1.0.Model timing'!S9</f>
        <v>45658</v>
      </c>
      <c r="T1" s="3">
        <f>'1.0.Model timing'!T9</f>
        <v>46023</v>
      </c>
      <c r="U1" s="4"/>
      <c r="V1" s="5"/>
      <c r="W1" s="5"/>
      <c r="X1" s="5"/>
      <c r="Y1" s="1" t="s">
        <v>11</v>
      </c>
    </row>
    <row r="2" spans="1:25" s="6" customFormat="1" ht="12" customHeight="1" x14ac:dyDescent="0.25">
      <c r="A2" s="1" t="str">
        <f ca="1">RIGHT(CELL("filename",A2),LEN(CELL("filename",A2))-FIND("]",CELL("filename",A2)))</f>
        <v>3.2. Cash Flow</v>
      </c>
      <c r="B2" s="1"/>
      <c r="C2" s="1"/>
      <c r="D2" s="1"/>
      <c r="E2" s="1"/>
      <c r="F2" s="83"/>
      <c r="G2" s="1"/>
      <c r="H2" s="2"/>
      <c r="I2" s="1"/>
      <c r="J2" s="3">
        <f>'1.0.Model timing'!J10</f>
        <v>42735</v>
      </c>
      <c r="K2" s="3">
        <f>'1.0.Model timing'!K10</f>
        <v>43100</v>
      </c>
      <c r="L2" s="3">
        <f>'1.0.Model timing'!L10</f>
        <v>43465</v>
      </c>
      <c r="M2" s="3">
        <f>'1.0.Model timing'!M10</f>
        <v>43830</v>
      </c>
      <c r="N2" s="3">
        <f>'1.0.Model timing'!N10</f>
        <v>44196</v>
      </c>
      <c r="O2" s="3">
        <f>'1.0.Model timing'!O10</f>
        <v>44561</v>
      </c>
      <c r="P2" s="3">
        <f>'1.0.Model timing'!P10</f>
        <v>44926</v>
      </c>
      <c r="Q2" s="3">
        <f>'1.0.Model timing'!Q10</f>
        <v>45291</v>
      </c>
      <c r="R2" s="3">
        <f>'1.0.Model timing'!R10</f>
        <v>45657</v>
      </c>
      <c r="S2" s="3">
        <f>'1.0.Model timing'!S10</f>
        <v>46022</v>
      </c>
      <c r="T2" s="3">
        <f>'1.0.Model timing'!T10</f>
        <v>46387</v>
      </c>
      <c r="U2" s="4"/>
      <c r="V2" s="5"/>
      <c r="W2" s="5"/>
      <c r="X2" s="5"/>
      <c r="Y2" s="1"/>
    </row>
    <row r="3" spans="1:25" s="6" customFormat="1" ht="12" customHeight="1" x14ac:dyDescent="0.25">
      <c r="A3" s="1"/>
      <c r="B3" s="1"/>
      <c r="C3" s="1"/>
      <c r="D3" s="1"/>
      <c r="E3" s="1"/>
      <c r="F3" s="83"/>
      <c r="G3" s="1"/>
      <c r="H3" s="2"/>
      <c r="I3" s="1"/>
      <c r="J3" s="7">
        <f>'1.0.Model timing'!J11</f>
        <v>2016</v>
      </c>
      <c r="K3" s="7">
        <f>'1.0.Model timing'!K11</f>
        <v>2017</v>
      </c>
      <c r="L3" s="7">
        <f>'1.0.Model timing'!L11</f>
        <v>2018</v>
      </c>
      <c r="M3" s="7">
        <f>'1.0.Model timing'!M11</f>
        <v>2019</v>
      </c>
      <c r="N3" s="7">
        <f>'1.0.Model timing'!N11</f>
        <v>2020</v>
      </c>
      <c r="O3" s="7">
        <f>'1.0.Model timing'!O11</f>
        <v>2021</v>
      </c>
      <c r="P3" s="7">
        <f>'1.0.Model timing'!P11</f>
        <v>2022</v>
      </c>
      <c r="Q3" s="7">
        <f>'1.0.Model timing'!Q11</f>
        <v>2023</v>
      </c>
      <c r="R3" s="7">
        <f>'1.0.Model timing'!R11</f>
        <v>2024</v>
      </c>
      <c r="S3" s="7">
        <f>'1.0.Model timing'!S11</f>
        <v>2025</v>
      </c>
      <c r="T3" s="7">
        <f>'1.0.Model timing'!T11</f>
        <v>2026</v>
      </c>
      <c r="U3" s="4"/>
      <c r="V3" s="5" t="s">
        <v>9</v>
      </c>
      <c r="W3" s="5" t="s">
        <v>10</v>
      </c>
      <c r="X3" s="5" t="s">
        <v>9</v>
      </c>
      <c r="Y3" s="1"/>
    </row>
    <row r="4" spans="1:25" s="6" customFormat="1" ht="12" customHeight="1" x14ac:dyDescent="0.25">
      <c r="A4" s="1"/>
      <c r="B4" s="1"/>
      <c r="C4" s="1"/>
      <c r="D4" s="1"/>
      <c r="E4" s="1"/>
      <c r="F4" s="83"/>
      <c r="G4" s="1" t="s">
        <v>8</v>
      </c>
      <c r="H4" s="2" t="s">
        <v>7</v>
      </c>
      <c r="I4" s="1"/>
      <c r="J4" s="8" t="str">
        <f>'1.0.Model timing'!J15</f>
        <v>Actual</v>
      </c>
      <c r="K4" s="8" t="str">
        <f>'1.0.Model timing'!K15</f>
        <v>Actual</v>
      </c>
      <c r="L4" s="8" t="str">
        <f>'1.0.Model timing'!L15</f>
        <v>Actual</v>
      </c>
      <c r="M4" s="8" t="str">
        <f>'1.0.Model timing'!M15</f>
        <v>Forecast</v>
      </c>
      <c r="N4" s="8" t="str">
        <f>'1.0.Model timing'!N15</f>
        <v>Forecast</v>
      </c>
      <c r="O4" s="8" t="str">
        <f>'1.0.Model timing'!O15</f>
        <v>Forecast</v>
      </c>
      <c r="P4" s="8" t="str">
        <f>'1.0.Model timing'!P15</f>
        <v>Forecast</v>
      </c>
      <c r="Q4" s="8" t="str">
        <f>'1.0.Model timing'!Q15</f>
        <v>Forecast</v>
      </c>
      <c r="R4" s="8" t="str">
        <f>'1.0.Model timing'!R15</f>
        <v>Forecast</v>
      </c>
      <c r="S4" s="8" t="str">
        <f>'1.0.Model timing'!S15</f>
        <v>Forecast</v>
      </c>
      <c r="T4" s="8" t="str">
        <f>'1.0.Model timing'!T15</f>
        <v>Forecast</v>
      </c>
      <c r="U4" s="4"/>
      <c r="V4" s="5" t="s">
        <v>723</v>
      </c>
      <c r="W4" s="5" t="s">
        <v>724</v>
      </c>
      <c r="X4" s="5" t="s">
        <v>725</v>
      </c>
      <c r="Y4" s="1"/>
    </row>
    <row r="6" spans="1:25" ht="12" customHeight="1" x14ac:dyDescent="0.25">
      <c r="A6" s="14">
        <f ca="1">MAX($A$1:A5)+1</f>
        <v>1</v>
      </c>
      <c r="B6" s="15" t="s">
        <v>348</v>
      </c>
      <c r="C6" s="15"/>
      <c r="D6" s="15"/>
      <c r="E6" s="17"/>
      <c r="F6" s="16"/>
      <c r="G6" s="17"/>
      <c r="H6" s="458"/>
      <c r="I6" s="458"/>
      <c r="J6" s="300"/>
      <c r="K6" s="300"/>
      <c r="L6" s="300"/>
      <c r="M6" s="300"/>
      <c r="N6" s="300"/>
      <c r="O6" s="300"/>
      <c r="P6" s="300"/>
      <c r="Q6" s="300"/>
      <c r="R6" s="300"/>
    </row>
    <row r="7" spans="1:25" ht="12" customHeight="1" x14ac:dyDescent="0.25">
      <c r="A7" s="214"/>
      <c r="B7" s="214"/>
      <c r="C7" s="214"/>
      <c r="D7" s="214"/>
      <c r="E7" s="215"/>
      <c r="F7" s="215"/>
      <c r="G7" s="215"/>
      <c r="H7" s="459"/>
      <c r="I7" s="434"/>
      <c r="J7" s="118"/>
      <c r="K7" s="118"/>
      <c r="L7" s="118"/>
      <c r="M7" s="118"/>
      <c r="N7" s="118"/>
      <c r="O7" s="118"/>
      <c r="P7" s="118"/>
      <c r="V7" s="220">
        <f t="shared" ref="V7:V45" si="0">IF(ISERROR((($L7/$J7)^(1/($L$3-$J$3))-1)),0,(($L7/$J7)^(1/($L$3-$J$3))-1))</f>
        <v>0</v>
      </c>
      <c r="W7" s="220">
        <f t="shared" ref="W7:W45" si="1">IF(ISERROR($M7/$L7-1),0,$M7/$L7-1)</f>
        <v>0</v>
      </c>
      <c r="X7" s="220">
        <f t="shared" ref="X7:X8" si="2">IF(ISERROR((($P7/$M7)^(1/($P$3-$M$3))-1)),0,(($P7/$M7)^(1/($P$3-$M$3))-1))</f>
        <v>0</v>
      </c>
    </row>
    <row r="8" spans="1:25" ht="12" customHeight="1" x14ac:dyDescent="0.25">
      <c r="A8" s="851"/>
      <c r="B8" s="213"/>
      <c r="C8" s="214"/>
      <c r="D8" s="215" t="s">
        <v>349</v>
      </c>
      <c r="E8" s="215"/>
      <c r="F8" s="215"/>
      <c r="G8" s="239" t="s">
        <v>255</v>
      </c>
      <c r="H8" s="459"/>
      <c r="I8" s="434"/>
      <c r="J8" s="128"/>
      <c r="K8" s="128"/>
      <c r="L8" s="128"/>
      <c r="M8" s="460">
        <f ca="1">'3.1. Income Statement'!M51</f>
        <v>749.37388387955195</v>
      </c>
      <c r="N8" s="460">
        <f ca="1">'3.1. Income Statement'!N51</f>
        <v>804.51854415356127</v>
      </c>
      <c r="O8" s="460">
        <f ca="1">'3.1. Income Statement'!O51</f>
        <v>857.34524936158857</v>
      </c>
      <c r="P8" s="460">
        <f ca="1">'3.1. Income Statement'!P51</f>
        <v>902.31094886651931</v>
      </c>
      <c r="Q8" s="460">
        <f ca="1">'3.1. Income Statement'!Q51</f>
        <v>947.84411370855537</v>
      </c>
      <c r="R8" s="460">
        <f ca="1">'3.1. Income Statement'!R51</f>
        <v>995.36587001009229</v>
      </c>
      <c r="S8" s="338"/>
      <c r="T8" s="338"/>
      <c r="V8" s="220">
        <f t="shared" si="0"/>
        <v>0</v>
      </c>
      <c r="W8" s="220">
        <f t="shared" ca="1" si="1"/>
        <v>0</v>
      </c>
      <c r="X8" s="220">
        <f t="shared" ca="1" si="2"/>
        <v>6.3863456486968673E-2</v>
      </c>
    </row>
    <row r="9" spans="1:25" ht="12" customHeight="1" x14ac:dyDescent="0.25">
      <c r="A9" s="851"/>
      <c r="B9" s="214"/>
      <c r="C9" s="214"/>
      <c r="D9" s="215" t="s">
        <v>260</v>
      </c>
      <c r="E9" s="215"/>
      <c r="F9" s="215"/>
      <c r="G9" s="239" t="s">
        <v>255</v>
      </c>
      <c r="H9" s="459"/>
      <c r="I9" s="434"/>
      <c r="J9" s="128"/>
      <c r="K9" s="128"/>
      <c r="L9" s="128"/>
      <c r="M9" s="461">
        <f>-'2.3. Working Capital'!M320</f>
        <v>-450.48510116500393</v>
      </c>
      <c r="N9" s="461">
        <f ca="1">-'2.3. Working Capital'!N320</f>
        <v>-35.986957107883427</v>
      </c>
      <c r="O9" s="461">
        <f ca="1">-'2.3. Working Capital'!O320</f>
        <v>-42.27685135021693</v>
      </c>
      <c r="P9" s="461">
        <f ca="1">-'2.3. Working Capital'!P320</f>
        <v>-100.14573271721929</v>
      </c>
      <c r="Q9" s="461">
        <f ca="1">-'2.3. Working Capital'!Q320</f>
        <v>-47.347944599300718</v>
      </c>
      <c r="R9" s="461">
        <f ca="1">-'2.3. Working Capital'!R320</f>
        <v>-46.862822216115092</v>
      </c>
      <c r="S9" s="338"/>
      <c r="T9" s="338"/>
      <c r="V9" s="220">
        <f t="shared" si="0"/>
        <v>0</v>
      </c>
      <c r="W9" s="220">
        <f t="shared" si="1"/>
        <v>0</v>
      </c>
      <c r="X9" s="220">
        <f ca="1">IF(ISERROR((($P9/$M9)^(1/($P$3-$M$3))-1)),0,(($P9/$M9)^(1/($P$3-$M$3))-1))</f>
        <v>-0.39421664135370138</v>
      </c>
    </row>
    <row r="10" spans="1:25" ht="12" customHeight="1" x14ac:dyDescent="0.25">
      <c r="A10" s="851"/>
      <c r="B10" s="214"/>
      <c r="C10" s="214"/>
      <c r="D10" s="215" t="s">
        <v>77</v>
      </c>
      <c r="E10" s="215"/>
      <c r="F10" s="215"/>
      <c r="G10" s="239" t="s">
        <v>255</v>
      </c>
      <c r="H10" s="459"/>
      <c r="I10" s="434"/>
      <c r="J10" s="128"/>
      <c r="K10" s="128"/>
      <c r="L10" s="128"/>
      <c r="M10" s="461">
        <f ca="1">'3.1. Income Statement'!M40</f>
        <v>34.757559124338016</v>
      </c>
      <c r="N10" s="461">
        <f ca="1">'3.1. Income Statement'!N40</f>
        <v>14.181678306650907</v>
      </c>
      <c r="O10" s="461">
        <f ca="1">'3.1. Income Statement'!O40</f>
        <v>2.4891930804770608</v>
      </c>
      <c r="P10" s="461">
        <f ca="1">'3.1. Income Statement'!P40</f>
        <v>0.51522295046739008</v>
      </c>
      <c r="Q10" s="461">
        <f ca="1">'3.1. Income Statement'!Q40</f>
        <v>0.1233695068228212</v>
      </c>
      <c r="R10" s="461">
        <f ca="1">'3.1. Income Statement'!R40</f>
        <v>0</v>
      </c>
      <c r="S10" s="338"/>
      <c r="T10" s="338"/>
      <c r="V10" s="220">
        <f t="shared" si="0"/>
        <v>0</v>
      </c>
      <c r="W10" s="220">
        <f t="shared" ca="1" si="1"/>
        <v>0</v>
      </c>
      <c r="X10" s="220">
        <f t="shared" ref="X10:X45" ca="1" si="3">IF(ISERROR((($P10/$M10)^(1/($P$3-$M$3))-1)),0,(($P10/$M10)^(1/($P$3-$M$3))-1))</f>
        <v>-0.7543508249306069</v>
      </c>
    </row>
    <row r="11" spans="1:25" ht="12" customHeight="1" x14ac:dyDescent="0.25">
      <c r="A11" s="851"/>
      <c r="B11" s="214"/>
      <c r="C11" s="214"/>
      <c r="D11" s="215" t="s">
        <v>350</v>
      </c>
      <c r="E11" s="215"/>
      <c r="F11" s="215"/>
      <c r="G11" s="239" t="s">
        <v>255</v>
      </c>
      <c r="H11" s="459"/>
      <c r="I11" s="434"/>
      <c r="J11" s="128"/>
      <c r="K11" s="128"/>
      <c r="L11" s="128"/>
      <c r="M11" s="461">
        <v>0</v>
      </c>
      <c r="N11" s="461">
        <v>0</v>
      </c>
      <c r="O11" s="461">
        <v>0</v>
      </c>
      <c r="P11" s="461">
        <v>0</v>
      </c>
      <c r="Q11" s="461">
        <v>0</v>
      </c>
      <c r="R11" s="461">
        <v>0</v>
      </c>
      <c r="S11" s="338"/>
      <c r="T11" s="338"/>
      <c r="V11" s="220">
        <f t="shared" si="0"/>
        <v>0</v>
      </c>
      <c r="W11" s="220">
        <f t="shared" si="1"/>
        <v>0</v>
      </c>
      <c r="X11" s="220">
        <f t="shared" si="3"/>
        <v>0</v>
      </c>
    </row>
    <row r="12" spans="1:25" ht="12" customHeight="1" x14ac:dyDescent="0.25">
      <c r="A12" s="851"/>
      <c r="B12" s="214"/>
      <c r="C12" s="214"/>
      <c r="D12" s="215" t="s">
        <v>351</v>
      </c>
      <c r="E12" s="215"/>
      <c r="F12" s="215"/>
      <c r="G12" s="239" t="s">
        <v>255</v>
      </c>
      <c r="H12" s="459"/>
      <c r="I12" s="434"/>
      <c r="J12" s="128"/>
      <c r="K12" s="128"/>
      <c r="L12" s="128"/>
      <c r="M12" s="461">
        <v>0</v>
      </c>
      <c r="N12" s="461">
        <v>0</v>
      </c>
      <c r="O12" s="461">
        <v>0</v>
      </c>
      <c r="P12" s="461">
        <v>0</v>
      </c>
      <c r="Q12" s="461">
        <v>0</v>
      </c>
      <c r="R12" s="461">
        <v>0</v>
      </c>
      <c r="S12" s="338"/>
      <c r="T12" s="338"/>
      <c r="V12" s="220">
        <f t="shared" si="0"/>
        <v>0</v>
      </c>
      <c r="W12" s="220">
        <f t="shared" si="1"/>
        <v>0</v>
      </c>
      <c r="X12" s="220">
        <f t="shared" si="3"/>
        <v>0</v>
      </c>
    </row>
    <row r="13" spans="1:25" ht="12" customHeight="1" x14ac:dyDescent="0.25">
      <c r="A13" s="851"/>
      <c r="B13" s="213"/>
      <c r="C13" s="214"/>
      <c r="D13" s="215" t="s">
        <v>111</v>
      </c>
      <c r="E13" s="215"/>
      <c r="F13" s="215"/>
      <c r="G13" s="239" t="s">
        <v>255</v>
      </c>
      <c r="H13" s="459"/>
      <c r="I13" s="434"/>
      <c r="J13" s="128"/>
      <c r="K13" s="128"/>
      <c r="L13" s="128"/>
      <c r="M13" s="461">
        <f>-'3.1. Income Statement'!M16</f>
        <v>-3.2024207208559359</v>
      </c>
      <c r="N13" s="461">
        <f ca="1">-'3.1. Income Statement'!N16</f>
        <v>0</v>
      </c>
      <c r="O13" s="461">
        <f ca="1">-'3.1. Income Statement'!O16</f>
        <v>0</v>
      </c>
      <c r="P13" s="461">
        <f ca="1">-'3.1. Income Statement'!P16</f>
        <v>0</v>
      </c>
      <c r="Q13" s="461">
        <f ca="1">-'3.1. Income Statement'!Q16</f>
        <v>0</v>
      </c>
      <c r="R13" s="461">
        <f ca="1">-'3.1. Income Statement'!R16</f>
        <v>0</v>
      </c>
      <c r="S13" s="338"/>
      <c r="T13" s="338"/>
      <c r="V13" s="220">
        <f t="shared" si="0"/>
        <v>0</v>
      </c>
      <c r="W13" s="220">
        <f t="shared" si="1"/>
        <v>0</v>
      </c>
      <c r="X13" s="220">
        <f t="shared" ca="1" si="3"/>
        <v>-1</v>
      </c>
    </row>
    <row r="14" spans="1:25" ht="12" customHeight="1" x14ac:dyDescent="0.25">
      <c r="A14" s="214"/>
      <c r="B14" s="213"/>
      <c r="C14" s="214" t="s">
        <v>352</v>
      </c>
      <c r="D14" s="215"/>
      <c r="E14" s="215"/>
      <c r="F14" s="215"/>
      <c r="G14" s="27" t="s">
        <v>255</v>
      </c>
      <c r="H14" s="459"/>
      <c r="I14" s="434"/>
      <c r="J14" s="128"/>
      <c r="K14" s="128"/>
      <c r="L14" s="128"/>
      <c r="M14" s="406">
        <f ca="1">SUM(M8:M13)</f>
        <v>330.44392111803012</v>
      </c>
      <c r="N14" s="406">
        <f ca="1">SUM(N8:N13)</f>
        <v>782.71326535232879</v>
      </c>
      <c r="O14" s="406">
        <f ca="1">SUM(O8:O13)</f>
        <v>817.55759109184874</v>
      </c>
      <c r="P14" s="406">
        <f ca="1">SUM(P8:P13)</f>
        <v>802.68043909976745</v>
      </c>
      <c r="Q14" s="406">
        <f t="shared" ref="Q14:R14" ca="1" si="4">SUM(Q8:Q13)</f>
        <v>900.61953861607742</v>
      </c>
      <c r="R14" s="406">
        <f t="shared" ca="1" si="4"/>
        <v>948.5030477939772</v>
      </c>
      <c r="S14" s="338"/>
      <c r="T14" s="338"/>
      <c r="V14" s="220">
        <f t="shared" si="0"/>
        <v>0</v>
      </c>
      <c r="W14" s="220">
        <f t="shared" ca="1" si="1"/>
        <v>0</v>
      </c>
      <c r="X14" s="220">
        <f t="shared" ca="1" si="3"/>
        <v>0.34425492886269815</v>
      </c>
    </row>
    <row r="15" spans="1:25" ht="12" customHeight="1" x14ac:dyDescent="0.25">
      <c r="A15" s="214"/>
      <c r="B15" s="213"/>
      <c r="C15" s="214"/>
      <c r="D15" s="215"/>
      <c r="E15" s="215"/>
      <c r="F15" s="215"/>
      <c r="G15" s="215"/>
      <c r="H15" s="459"/>
      <c r="I15" s="434"/>
      <c r="J15" s="128"/>
      <c r="K15" s="128"/>
      <c r="L15" s="128"/>
      <c r="M15" s="462"/>
      <c r="N15" s="462"/>
      <c r="O15" s="462"/>
      <c r="P15" s="462"/>
      <c r="Q15" s="462"/>
      <c r="R15" s="462"/>
      <c r="S15" s="338"/>
      <c r="T15" s="338"/>
      <c r="V15" s="220">
        <f t="shared" si="0"/>
        <v>0</v>
      </c>
      <c r="W15" s="220">
        <f t="shared" si="1"/>
        <v>0</v>
      </c>
      <c r="X15" s="220">
        <f t="shared" si="3"/>
        <v>0</v>
      </c>
    </row>
    <row r="16" spans="1:25" ht="12" customHeight="1" x14ac:dyDescent="0.25">
      <c r="A16" s="851"/>
      <c r="B16" s="213"/>
      <c r="C16" s="214"/>
      <c r="D16" s="215" t="s">
        <v>353</v>
      </c>
      <c r="E16" s="215"/>
      <c r="F16" s="215"/>
      <c r="G16" s="239" t="s">
        <v>255</v>
      </c>
      <c r="H16" s="459"/>
      <c r="I16" s="434"/>
      <c r="J16" s="128"/>
      <c r="K16" s="128"/>
      <c r="L16" s="128"/>
      <c r="M16" s="461">
        <f ca="1">-'3.1. Income Statement'!M53</f>
        <v>-119.89982142072832</v>
      </c>
      <c r="N16" s="461">
        <f ca="1">-'3.1. Income Statement'!N53</f>
        <v>-128.72296706456981</v>
      </c>
      <c r="O16" s="461">
        <f ca="1">-'3.1. Income Statement'!O53</f>
        <v>-137.17523989785417</v>
      </c>
      <c r="P16" s="461">
        <f ca="1">-'3.1. Income Statement'!P53</f>
        <v>-144.3697518186431</v>
      </c>
      <c r="Q16" s="461">
        <f ca="1">-'3.1. Income Statement'!Q53</f>
        <v>-151.65505819336886</v>
      </c>
      <c r="R16" s="461">
        <f ca="1">-'3.1. Income Statement'!R53</f>
        <v>-159.25853920161478</v>
      </c>
      <c r="S16" s="338"/>
      <c r="T16" s="338"/>
      <c r="V16" s="220">
        <f t="shared" si="0"/>
        <v>0</v>
      </c>
      <c r="W16" s="220">
        <f t="shared" ca="1" si="1"/>
        <v>0</v>
      </c>
      <c r="X16" s="220">
        <f t="shared" ca="1" si="3"/>
        <v>6.3863456486968673E-2</v>
      </c>
    </row>
    <row r="17" spans="1:24" ht="12" customHeight="1" x14ac:dyDescent="0.25">
      <c r="A17" s="851"/>
      <c r="B17" s="213"/>
      <c r="C17" s="214" t="s">
        <v>354</v>
      </c>
      <c r="D17" s="215"/>
      <c r="E17" s="215"/>
      <c r="F17" s="215"/>
      <c r="G17" s="463" t="s">
        <v>255</v>
      </c>
      <c r="H17" s="459"/>
      <c r="I17" s="434"/>
      <c r="J17" s="128"/>
      <c r="K17" s="128"/>
      <c r="L17" s="128"/>
      <c r="M17" s="406">
        <f t="shared" ref="M17:R17" ca="1" si="5">SUM(M16:M16)</f>
        <v>-119.89982142072832</v>
      </c>
      <c r="N17" s="406">
        <f t="shared" ca="1" si="5"/>
        <v>-128.72296706456981</v>
      </c>
      <c r="O17" s="406">
        <f t="shared" ca="1" si="5"/>
        <v>-137.17523989785417</v>
      </c>
      <c r="P17" s="406">
        <f t="shared" ca="1" si="5"/>
        <v>-144.3697518186431</v>
      </c>
      <c r="Q17" s="406">
        <f t="shared" ca="1" si="5"/>
        <v>-151.65505819336886</v>
      </c>
      <c r="R17" s="406">
        <f t="shared" ca="1" si="5"/>
        <v>-159.25853920161478</v>
      </c>
      <c r="S17" s="338"/>
      <c r="T17" s="338"/>
      <c r="V17" s="220">
        <f t="shared" si="0"/>
        <v>0</v>
      </c>
      <c r="W17" s="220">
        <f t="shared" ca="1" si="1"/>
        <v>0</v>
      </c>
      <c r="X17" s="220">
        <f t="shared" ca="1" si="3"/>
        <v>6.3863456486968673E-2</v>
      </c>
    </row>
    <row r="18" spans="1:24" ht="12" customHeight="1" x14ac:dyDescent="0.25">
      <c r="A18" s="214"/>
      <c r="B18" s="464" t="s">
        <v>355</v>
      </c>
      <c r="C18" s="465"/>
      <c r="D18" s="465"/>
      <c r="E18" s="465"/>
      <c r="F18" s="466"/>
      <c r="G18" s="465" t="s">
        <v>255</v>
      </c>
      <c r="H18" s="467"/>
      <c r="I18" s="467"/>
      <c r="J18" s="468"/>
      <c r="K18" s="468"/>
      <c r="L18" s="468"/>
      <c r="M18" s="468">
        <f t="shared" ref="M18:R18" ca="1" si="6">SUM(M17,M14)</f>
        <v>210.54409969730182</v>
      </c>
      <c r="N18" s="468">
        <f t="shared" ca="1" si="6"/>
        <v>653.99029828775895</v>
      </c>
      <c r="O18" s="468">
        <f t="shared" ca="1" si="6"/>
        <v>680.38235119399451</v>
      </c>
      <c r="P18" s="468">
        <f t="shared" ca="1" si="6"/>
        <v>658.31068728112439</v>
      </c>
      <c r="Q18" s="468">
        <f t="shared" ca="1" si="6"/>
        <v>748.96448042270856</v>
      </c>
      <c r="R18" s="468">
        <f t="shared" ca="1" si="6"/>
        <v>789.24450859236242</v>
      </c>
      <c r="S18" s="338"/>
      <c r="T18" s="338"/>
      <c r="V18" s="220">
        <f t="shared" si="0"/>
        <v>0</v>
      </c>
      <c r="W18" s="220">
        <f t="shared" ca="1" si="1"/>
        <v>0</v>
      </c>
      <c r="X18" s="220">
        <f t="shared" ca="1" si="3"/>
        <v>0.46227574657699422</v>
      </c>
    </row>
    <row r="19" spans="1:24" ht="12" customHeight="1" x14ac:dyDescent="0.25">
      <c r="A19" s="214"/>
      <c r="B19" s="214"/>
      <c r="C19" s="214"/>
      <c r="D19" s="214"/>
      <c r="E19" s="215"/>
      <c r="F19" s="215"/>
      <c r="G19" s="215"/>
      <c r="H19" s="459"/>
      <c r="I19" s="459"/>
      <c r="J19" s="238"/>
      <c r="K19" s="238"/>
      <c r="L19" s="238"/>
      <c r="M19" s="238"/>
      <c r="N19" s="238"/>
      <c r="O19" s="238"/>
      <c r="P19" s="238"/>
      <c r="Q19" s="338"/>
      <c r="R19" s="338"/>
      <c r="S19" s="338"/>
      <c r="T19" s="338"/>
      <c r="V19" s="220">
        <f t="shared" si="0"/>
        <v>0</v>
      </c>
      <c r="W19" s="220">
        <f t="shared" si="1"/>
        <v>0</v>
      </c>
      <c r="X19" s="220">
        <f t="shared" si="3"/>
        <v>0</v>
      </c>
    </row>
    <row r="20" spans="1:24" ht="12" customHeight="1" x14ac:dyDescent="0.25">
      <c r="A20" s="14">
        <f ca="1">MAX($A$1:A19)+1</f>
        <v>2</v>
      </c>
      <c r="B20" s="15" t="s">
        <v>356</v>
      </c>
      <c r="C20" s="15"/>
      <c r="D20" s="15"/>
      <c r="E20" s="17"/>
      <c r="F20" s="16"/>
      <c r="G20" s="17"/>
      <c r="H20" s="458"/>
      <c r="I20" s="458"/>
      <c r="J20" s="300"/>
      <c r="K20" s="300"/>
      <c r="L20" s="300"/>
      <c r="M20" s="300"/>
      <c r="N20" s="300"/>
      <c r="O20" s="300"/>
      <c r="P20" s="300"/>
      <c r="Q20" s="300"/>
      <c r="R20" s="300"/>
      <c r="S20" s="338"/>
      <c r="T20" s="338"/>
      <c r="V20" s="220">
        <f t="shared" si="0"/>
        <v>0</v>
      </c>
      <c r="W20" s="220">
        <f t="shared" si="1"/>
        <v>0</v>
      </c>
      <c r="X20" s="220">
        <f t="shared" si="3"/>
        <v>0</v>
      </c>
    </row>
    <row r="21" spans="1:24" ht="12" customHeight="1" x14ac:dyDescent="0.25">
      <c r="A21" s="214"/>
      <c r="B21" s="214"/>
      <c r="C21" s="214"/>
      <c r="D21" s="214"/>
      <c r="E21" s="215"/>
      <c r="F21" s="215"/>
      <c r="G21" s="215"/>
      <c r="H21" s="459"/>
      <c r="I21" s="459"/>
      <c r="J21" s="118"/>
      <c r="K21" s="118"/>
      <c r="L21" s="118"/>
      <c r="M21" s="118"/>
      <c r="N21" s="118"/>
      <c r="O21" s="118"/>
      <c r="P21" s="118"/>
      <c r="Q21" s="338"/>
      <c r="R21" s="338"/>
      <c r="S21" s="338"/>
      <c r="T21" s="338"/>
      <c r="V21" s="220">
        <f t="shared" si="0"/>
        <v>0</v>
      </c>
      <c r="W21" s="220">
        <f t="shared" si="1"/>
        <v>0</v>
      </c>
      <c r="X21" s="220">
        <f t="shared" si="3"/>
        <v>0</v>
      </c>
    </row>
    <row r="22" spans="1:24" ht="12" customHeight="1" x14ac:dyDescent="0.25">
      <c r="A22" s="851"/>
      <c r="B22" s="469"/>
      <c r="C22" s="215" t="s">
        <v>129</v>
      </c>
      <c r="D22" s="215"/>
      <c r="E22" s="215"/>
      <c r="F22" s="215"/>
      <c r="G22" s="470" t="s">
        <v>255</v>
      </c>
      <c r="H22" s="459"/>
      <c r="I22" s="459"/>
      <c r="J22" s="128"/>
      <c r="K22" s="128"/>
      <c r="L22" s="128"/>
      <c r="M22" s="813">
        <f>-'1.4. CAPEX'!M11</f>
        <v>0</v>
      </c>
      <c r="N22" s="813">
        <f>-'1.4. CAPEX'!N11</f>
        <v>0</v>
      </c>
      <c r="O22" s="813">
        <f>-'1.4. CAPEX'!O11</f>
        <v>0</v>
      </c>
      <c r="P22" s="813">
        <f>-'1.4. CAPEX'!P11</f>
        <v>0</v>
      </c>
      <c r="Q22" s="813">
        <f>-'1.4. CAPEX'!Q11</f>
        <v>0</v>
      </c>
      <c r="R22" s="813">
        <f>-'1.4. CAPEX'!R11</f>
        <v>0</v>
      </c>
      <c r="S22" s="338"/>
      <c r="T22" s="338"/>
      <c r="V22" s="220">
        <f t="shared" si="0"/>
        <v>0</v>
      </c>
      <c r="W22" s="220">
        <f t="shared" si="1"/>
        <v>0</v>
      </c>
      <c r="X22" s="220">
        <f t="shared" si="3"/>
        <v>0</v>
      </c>
    </row>
    <row r="23" spans="1:24" ht="12" customHeight="1" x14ac:dyDescent="0.25">
      <c r="A23" s="851"/>
      <c r="B23" s="215"/>
      <c r="C23" s="215" t="s">
        <v>357</v>
      </c>
      <c r="D23" s="215"/>
      <c r="E23" s="215"/>
      <c r="F23" s="215"/>
      <c r="G23" s="470" t="s">
        <v>255</v>
      </c>
      <c r="H23" s="459"/>
      <c r="I23" s="459"/>
      <c r="J23" s="128"/>
      <c r="K23" s="128"/>
      <c r="L23" s="128"/>
      <c r="M23" s="471">
        <v>0</v>
      </c>
      <c r="N23" s="471">
        <v>0</v>
      </c>
      <c r="O23" s="471">
        <v>0</v>
      </c>
      <c r="P23" s="471">
        <v>0</v>
      </c>
      <c r="Q23" s="471">
        <v>0</v>
      </c>
      <c r="R23" s="471">
        <v>0</v>
      </c>
      <c r="S23" s="338"/>
      <c r="T23" s="338"/>
      <c r="V23" s="220">
        <f t="shared" si="0"/>
        <v>0</v>
      </c>
      <c r="W23" s="220">
        <f t="shared" si="1"/>
        <v>0</v>
      </c>
      <c r="X23" s="220">
        <f t="shared" si="3"/>
        <v>0</v>
      </c>
    </row>
    <row r="24" spans="1:24" ht="12" customHeight="1" x14ac:dyDescent="0.25">
      <c r="A24" s="851"/>
      <c r="B24" s="215"/>
      <c r="C24" s="82" t="s">
        <v>420</v>
      </c>
      <c r="D24" s="82"/>
      <c r="E24" s="82"/>
      <c r="F24" s="82"/>
      <c r="G24" s="476" t="s">
        <v>255</v>
      </c>
      <c r="H24" s="459"/>
      <c r="I24" s="459"/>
      <c r="J24" s="128"/>
      <c r="K24" s="128"/>
      <c r="L24" s="128"/>
      <c r="M24" s="471">
        <v>0</v>
      </c>
      <c r="N24" s="471">
        <v>0</v>
      </c>
      <c r="O24" s="471">
        <v>0</v>
      </c>
      <c r="P24" s="471">
        <v>0</v>
      </c>
      <c r="Q24" s="471">
        <v>0</v>
      </c>
      <c r="R24" s="471">
        <v>0</v>
      </c>
      <c r="S24" s="338"/>
      <c r="T24" s="338"/>
      <c r="V24" s="220">
        <f t="shared" si="0"/>
        <v>0</v>
      </c>
      <c r="W24" s="220">
        <f t="shared" si="1"/>
        <v>0</v>
      </c>
      <c r="X24" s="220">
        <f t="shared" si="3"/>
        <v>0</v>
      </c>
    </row>
    <row r="25" spans="1:24" ht="12" customHeight="1" x14ac:dyDescent="0.25">
      <c r="A25" s="851"/>
      <c r="B25" s="464" t="s">
        <v>358</v>
      </c>
      <c r="C25" s="465"/>
      <c r="D25" s="465"/>
      <c r="E25" s="465"/>
      <c r="F25" s="466"/>
      <c r="G25" s="465" t="s">
        <v>255</v>
      </c>
      <c r="H25" s="467"/>
      <c r="I25" s="467"/>
      <c r="J25" s="468"/>
      <c r="K25" s="468"/>
      <c r="L25" s="468"/>
      <c r="M25" s="468">
        <f>SUM(M22:M24)</f>
        <v>0</v>
      </c>
      <c r="N25" s="468">
        <f>SUM(N22:N24)</f>
        <v>0</v>
      </c>
      <c r="O25" s="468">
        <f>SUM(O22:O24)</f>
        <v>0</v>
      </c>
      <c r="P25" s="468">
        <f>SUM(P22:P24)</f>
        <v>0</v>
      </c>
      <c r="Q25" s="468">
        <f t="shared" ref="Q25:R25" si="7">SUM(Q22:Q24)</f>
        <v>0</v>
      </c>
      <c r="R25" s="468">
        <f t="shared" si="7"/>
        <v>0</v>
      </c>
      <c r="S25" s="338"/>
      <c r="T25" s="338"/>
      <c r="V25" s="220">
        <f t="shared" si="0"/>
        <v>0</v>
      </c>
      <c r="W25" s="220">
        <f t="shared" si="1"/>
        <v>0</v>
      </c>
      <c r="X25" s="220">
        <f t="shared" si="3"/>
        <v>0</v>
      </c>
    </row>
    <row r="26" spans="1:24" ht="12" customHeight="1" x14ac:dyDescent="0.25">
      <c r="A26" s="214"/>
      <c r="B26" s="469"/>
      <c r="C26" s="215"/>
      <c r="D26" s="215"/>
      <c r="E26" s="215"/>
      <c r="F26" s="215"/>
      <c r="G26" s="215"/>
      <c r="H26" s="459"/>
      <c r="I26" s="459"/>
      <c r="J26" s="472"/>
      <c r="K26" s="472"/>
      <c r="L26" s="472"/>
      <c r="M26" s="472"/>
      <c r="N26" s="472"/>
      <c r="O26" s="472"/>
      <c r="P26" s="472"/>
      <c r="Q26" s="338"/>
      <c r="R26" s="338"/>
      <c r="S26" s="338"/>
      <c r="T26" s="338"/>
      <c r="V26" s="220">
        <f t="shared" si="0"/>
        <v>0</v>
      </c>
      <c r="W26" s="220">
        <f t="shared" si="1"/>
        <v>0</v>
      </c>
      <c r="X26" s="220">
        <f t="shared" si="3"/>
        <v>0</v>
      </c>
    </row>
    <row r="27" spans="1:24" ht="12" customHeight="1" x14ac:dyDescent="0.25">
      <c r="A27" s="14">
        <f ca="1">MAX($A$1:A26)+1</f>
        <v>3</v>
      </c>
      <c r="B27" s="15" t="s">
        <v>359</v>
      </c>
      <c r="C27" s="15"/>
      <c r="D27" s="15"/>
      <c r="E27" s="17"/>
      <c r="F27" s="16"/>
      <c r="G27" s="17"/>
      <c r="H27" s="458"/>
      <c r="I27" s="458"/>
      <c r="J27" s="300"/>
      <c r="K27" s="300"/>
      <c r="L27" s="300"/>
      <c r="M27" s="300"/>
      <c r="N27" s="300"/>
      <c r="O27" s="300"/>
      <c r="P27" s="300"/>
      <c r="Q27" s="300"/>
      <c r="R27" s="300"/>
      <c r="S27" s="338"/>
      <c r="T27" s="338"/>
      <c r="V27" s="220">
        <f t="shared" si="0"/>
        <v>0</v>
      </c>
      <c r="W27" s="220">
        <f t="shared" si="1"/>
        <v>0</v>
      </c>
      <c r="X27" s="220">
        <f t="shared" si="3"/>
        <v>0</v>
      </c>
    </row>
    <row r="28" spans="1:24" ht="12" customHeight="1" x14ac:dyDescent="0.25">
      <c r="A28" s="214"/>
      <c r="B28" s="214"/>
      <c r="C28" s="214"/>
      <c r="D28" s="214"/>
      <c r="E28" s="215"/>
      <c r="F28" s="215"/>
      <c r="G28" s="215"/>
      <c r="H28" s="459"/>
      <c r="I28" s="459"/>
      <c r="J28" s="238"/>
      <c r="K28" s="238"/>
      <c r="L28" s="238"/>
      <c r="M28" s="238"/>
      <c r="N28" s="238"/>
      <c r="O28" s="238"/>
      <c r="P28" s="238"/>
      <c r="Q28" s="238"/>
      <c r="R28" s="238"/>
      <c r="S28" s="338"/>
      <c r="T28" s="338"/>
      <c r="V28" s="220">
        <f t="shared" si="0"/>
        <v>0</v>
      </c>
      <c r="W28" s="220">
        <f t="shared" si="1"/>
        <v>0</v>
      </c>
      <c r="X28" s="220">
        <f t="shared" si="3"/>
        <v>0</v>
      </c>
    </row>
    <row r="29" spans="1:24" ht="12" customHeight="1" x14ac:dyDescent="0.25">
      <c r="A29" s="851"/>
      <c r="B29" s="214"/>
      <c r="C29" s="473" t="s">
        <v>360</v>
      </c>
      <c r="D29" s="82"/>
      <c r="E29" s="82"/>
      <c r="F29" s="82"/>
      <c r="G29" s="470" t="s">
        <v>255</v>
      </c>
      <c r="H29" s="474"/>
      <c r="I29" s="474"/>
      <c r="J29" s="128"/>
      <c r="K29" s="128"/>
      <c r="L29" s="128"/>
      <c r="M29" s="471"/>
      <c r="N29" s="471"/>
      <c r="O29" s="471"/>
      <c r="P29" s="471"/>
      <c r="Q29" s="471"/>
      <c r="R29" s="471"/>
      <c r="S29" s="338"/>
      <c r="T29" s="338"/>
      <c r="V29" s="220">
        <f t="shared" si="0"/>
        <v>0</v>
      </c>
      <c r="W29" s="220">
        <f t="shared" si="1"/>
        <v>0</v>
      </c>
      <c r="X29" s="220">
        <f t="shared" si="3"/>
        <v>0</v>
      </c>
    </row>
    <row r="30" spans="1:24" ht="12" customHeight="1" x14ac:dyDescent="0.25">
      <c r="A30" s="851"/>
      <c r="B30" s="214"/>
      <c r="C30" s="473" t="s">
        <v>775</v>
      </c>
      <c r="D30" s="82"/>
      <c r="E30" s="82"/>
      <c r="F30" s="82"/>
      <c r="G30" s="470" t="s">
        <v>255</v>
      </c>
      <c r="H30" s="474"/>
      <c r="I30" s="474"/>
      <c r="J30" s="128"/>
      <c r="K30" s="128"/>
      <c r="L30" s="128"/>
      <c r="M30" s="471">
        <f>-RMF_1218HRC!AC125/1000</f>
        <v>-10.248849999999999</v>
      </c>
      <c r="N30" s="471">
        <f>-RMF_1218HRC!AE125/1000</f>
        <v>-6.0490399999999998</v>
      </c>
      <c r="O30" s="899">
        <f>-'3.3. Balance sheet'!N75</f>
        <v>-1.9181244943073388</v>
      </c>
      <c r="P30" s="461">
        <v>0</v>
      </c>
      <c r="Q30" s="461">
        <v>0</v>
      </c>
      <c r="R30" s="461">
        <v>0</v>
      </c>
      <c r="S30" s="338"/>
      <c r="T30" s="338"/>
      <c r="V30" s="220"/>
      <c r="W30" s="220"/>
      <c r="X30" s="220"/>
    </row>
    <row r="31" spans="1:24" ht="12" customHeight="1" x14ac:dyDescent="0.25">
      <c r="A31" s="851"/>
      <c r="B31" s="214"/>
      <c r="C31" s="475" t="s">
        <v>361</v>
      </c>
      <c r="D31" s="476"/>
      <c r="E31" s="82"/>
      <c r="F31" s="82"/>
      <c r="G31" s="470" t="s">
        <v>255</v>
      </c>
      <c r="H31" s="474"/>
      <c r="I31" s="474"/>
      <c r="J31" s="128"/>
      <c r="K31" s="128"/>
      <c r="L31" s="128"/>
      <c r="M31" s="461">
        <v>-190</v>
      </c>
      <c r="N31" s="461">
        <v>-364.33499999999998</v>
      </c>
      <c r="O31" s="461">
        <v>0</v>
      </c>
      <c r="P31" s="461">
        <v>0</v>
      </c>
      <c r="Q31" s="461">
        <v>0</v>
      </c>
      <c r="R31" s="461">
        <v>0</v>
      </c>
      <c r="S31" s="338"/>
      <c r="T31" s="338"/>
      <c r="V31" s="220">
        <f t="shared" si="0"/>
        <v>0</v>
      </c>
      <c r="W31" s="220">
        <f t="shared" si="1"/>
        <v>0</v>
      </c>
      <c r="X31" s="220">
        <f t="shared" si="3"/>
        <v>-1</v>
      </c>
    </row>
    <row r="32" spans="1:24" ht="12" customHeight="1" x14ac:dyDescent="0.25">
      <c r="A32" s="214"/>
      <c r="B32" s="214"/>
      <c r="C32" s="475" t="s">
        <v>362</v>
      </c>
      <c r="D32" s="476"/>
      <c r="E32" s="82"/>
      <c r="F32" s="82"/>
      <c r="G32" s="470" t="s">
        <v>255</v>
      </c>
      <c r="H32" s="474"/>
      <c r="I32" s="474"/>
      <c r="J32" s="128"/>
      <c r="K32" s="128"/>
      <c r="L32" s="128"/>
      <c r="M32" s="461">
        <v>0</v>
      </c>
      <c r="N32" s="461">
        <v>0</v>
      </c>
      <c r="O32" s="461">
        <v>0</v>
      </c>
      <c r="P32" s="461">
        <v>0</v>
      </c>
      <c r="Q32" s="461">
        <v>0</v>
      </c>
      <c r="R32" s="461">
        <v>0</v>
      </c>
      <c r="S32" s="338"/>
      <c r="T32" s="338"/>
      <c r="V32" s="220">
        <f t="shared" si="0"/>
        <v>0</v>
      </c>
      <c r="W32" s="220">
        <f t="shared" si="1"/>
        <v>0</v>
      </c>
      <c r="X32" s="220">
        <f t="shared" si="3"/>
        <v>0</v>
      </c>
    </row>
    <row r="33" spans="1:25" ht="12" customHeight="1" x14ac:dyDescent="0.25">
      <c r="A33" s="851"/>
      <c r="B33" s="214"/>
      <c r="C33" s="473" t="s">
        <v>363</v>
      </c>
      <c r="D33" s="82"/>
      <c r="E33" s="82"/>
      <c r="F33" s="82"/>
      <c r="G33" s="470" t="s">
        <v>255</v>
      </c>
      <c r="H33" s="474"/>
      <c r="I33" s="474"/>
      <c r="J33" s="128"/>
      <c r="K33" s="128"/>
      <c r="L33" s="128"/>
      <c r="M33" s="461">
        <v>0</v>
      </c>
      <c r="N33" s="461">
        <v>0</v>
      </c>
      <c r="O33" s="461">
        <v>0</v>
      </c>
      <c r="P33" s="461">
        <v>0</v>
      </c>
      <c r="Q33" s="461">
        <v>0</v>
      </c>
      <c r="R33" s="461">
        <v>0</v>
      </c>
      <c r="S33" s="338"/>
      <c r="T33" s="338"/>
      <c r="V33" s="220">
        <f t="shared" si="0"/>
        <v>0</v>
      </c>
      <c r="W33" s="220">
        <f t="shared" si="1"/>
        <v>0</v>
      </c>
      <c r="X33" s="220">
        <f t="shared" si="3"/>
        <v>0</v>
      </c>
    </row>
    <row r="34" spans="1:25" ht="12" customHeight="1" x14ac:dyDescent="0.25">
      <c r="A34" s="851"/>
      <c r="B34" s="214"/>
      <c r="C34" s="473" t="s">
        <v>364</v>
      </c>
      <c r="D34" s="82"/>
      <c r="E34" s="82"/>
      <c r="F34" s="82"/>
      <c r="G34" s="470" t="s">
        <v>255</v>
      </c>
      <c r="H34" s="474"/>
      <c r="I34" s="474"/>
      <c r="J34" s="128"/>
      <c r="K34" s="128"/>
      <c r="L34" s="128"/>
      <c r="M34" s="461">
        <v>0</v>
      </c>
      <c r="N34" s="461">
        <v>0</v>
      </c>
      <c r="O34" s="461">
        <v>0</v>
      </c>
      <c r="P34" s="461">
        <v>0</v>
      </c>
      <c r="Q34" s="461">
        <v>0</v>
      </c>
      <c r="R34" s="461">
        <v>0</v>
      </c>
      <c r="S34" s="338"/>
      <c r="T34" s="338"/>
      <c r="V34" s="220">
        <f t="shared" si="0"/>
        <v>0</v>
      </c>
      <c r="W34" s="220">
        <f t="shared" si="1"/>
        <v>0</v>
      </c>
      <c r="X34" s="220">
        <f t="shared" si="3"/>
        <v>0</v>
      </c>
    </row>
    <row r="35" spans="1:25" ht="12" customHeight="1" x14ac:dyDescent="0.25">
      <c r="A35" s="851"/>
      <c r="B35" s="214"/>
      <c r="C35" s="475" t="s">
        <v>365</v>
      </c>
      <c r="D35" s="82"/>
      <c r="E35" s="82"/>
      <c r="F35" s="82"/>
      <c r="G35" s="470" t="s">
        <v>255</v>
      </c>
      <c r="H35" s="474"/>
      <c r="I35" s="474"/>
      <c r="J35" s="128"/>
      <c r="K35" s="128"/>
      <c r="L35" s="128"/>
      <c r="M35" s="461">
        <f>'1.4. CAPEX'!M13</f>
        <v>0</v>
      </c>
      <c r="N35" s="461">
        <f>'1.4. CAPEX'!N13</f>
        <v>0</v>
      </c>
      <c r="O35" s="461">
        <f>'1.4. CAPEX'!O13</f>
        <v>0</v>
      </c>
      <c r="P35" s="461">
        <f>'1.4. CAPEX'!P13</f>
        <v>0</v>
      </c>
      <c r="Q35" s="461">
        <f>'1.4. CAPEX'!Q13</f>
        <v>0</v>
      </c>
      <c r="R35" s="461">
        <f>'1.4. CAPEX'!R13</f>
        <v>0</v>
      </c>
      <c r="S35" s="338"/>
      <c r="T35" s="338"/>
      <c r="V35" s="220">
        <f t="shared" si="0"/>
        <v>0</v>
      </c>
      <c r="W35" s="220">
        <f t="shared" si="1"/>
        <v>0</v>
      </c>
      <c r="X35" s="220">
        <f t="shared" si="3"/>
        <v>0</v>
      </c>
    </row>
    <row r="36" spans="1:25" ht="12" customHeight="1" x14ac:dyDescent="0.25">
      <c r="A36" s="214"/>
      <c r="B36" s="464" t="s">
        <v>366</v>
      </c>
      <c r="C36" s="465"/>
      <c r="D36" s="465"/>
      <c r="E36" s="465"/>
      <c r="F36" s="466"/>
      <c r="G36" s="465" t="s">
        <v>255</v>
      </c>
      <c r="H36" s="467"/>
      <c r="I36" s="467"/>
      <c r="J36" s="468"/>
      <c r="K36" s="468"/>
      <c r="L36" s="468"/>
      <c r="M36" s="468">
        <f t="shared" ref="M36" si="8">SUM(M29:M35)</f>
        <v>-200.24885</v>
      </c>
      <c r="N36" s="468">
        <f t="shared" ref="N36:P36" si="9">SUM(N29:N35)</f>
        <v>-370.38403999999997</v>
      </c>
      <c r="O36" s="468">
        <f t="shared" si="9"/>
        <v>-1.9181244943073388</v>
      </c>
      <c r="P36" s="468">
        <f t="shared" si="9"/>
        <v>0</v>
      </c>
      <c r="Q36" s="468">
        <f t="shared" ref="Q36:R36" si="10">SUM(Q29:Q35)</f>
        <v>0</v>
      </c>
      <c r="R36" s="468">
        <f t="shared" si="10"/>
        <v>0</v>
      </c>
      <c r="S36" s="338"/>
      <c r="T36" s="338"/>
      <c r="V36" s="220">
        <f t="shared" si="0"/>
        <v>0</v>
      </c>
      <c r="W36" s="220">
        <f t="shared" si="1"/>
        <v>0</v>
      </c>
      <c r="X36" s="220">
        <f t="shared" si="3"/>
        <v>-1</v>
      </c>
    </row>
    <row r="37" spans="1:25" ht="12" customHeight="1" x14ac:dyDescent="0.25">
      <c r="A37" s="214"/>
      <c r="B37" s="214"/>
      <c r="C37" s="476"/>
      <c r="D37" s="82"/>
      <c r="E37" s="82"/>
      <c r="F37" s="82"/>
      <c r="G37" s="476"/>
      <c r="H37" s="474"/>
      <c r="I37" s="474"/>
      <c r="J37" s="472"/>
      <c r="K37" s="472"/>
      <c r="L37" s="472"/>
      <c r="M37" s="472"/>
      <c r="N37" s="472"/>
      <c r="O37" s="472"/>
      <c r="P37" s="472"/>
      <c r="Q37" s="472"/>
      <c r="R37" s="472"/>
      <c r="S37" s="338"/>
      <c r="T37" s="338"/>
      <c r="V37" s="220">
        <f t="shared" si="0"/>
        <v>0</v>
      </c>
      <c r="W37" s="220">
        <f t="shared" si="1"/>
        <v>0</v>
      </c>
      <c r="X37" s="220">
        <f t="shared" si="3"/>
        <v>0</v>
      </c>
    </row>
    <row r="38" spans="1:25" ht="12" customHeight="1" x14ac:dyDescent="0.25">
      <c r="A38" s="14">
        <f ca="1">MAX($A$1:A37)+1</f>
        <v>4</v>
      </c>
      <c r="B38" s="15" t="s">
        <v>367</v>
      </c>
      <c r="C38" s="15"/>
      <c r="D38" s="15"/>
      <c r="E38" s="17"/>
      <c r="F38" s="16"/>
      <c r="G38" s="17"/>
      <c r="H38" s="458"/>
      <c r="I38" s="458"/>
      <c r="J38" s="300"/>
      <c r="K38" s="300"/>
      <c r="L38" s="300"/>
      <c r="M38" s="300"/>
      <c r="N38" s="300"/>
      <c r="O38" s="300"/>
      <c r="P38" s="300"/>
      <c r="Q38" s="300"/>
      <c r="R38" s="300"/>
      <c r="S38" s="338"/>
      <c r="T38" s="338"/>
      <c r="V38" s="220">
        <f t="shared" si="0"/>
        <v>0</v>
      </c>
      <c r="W38" s="220">
        <f t="shared" si="1"/>
        <v>0</v>
      </c>
      <c r="X38" s="220">
        <f t="shared" si="3"/>
        <v>0</v>
      </c>
    </row>
    <row r="39" spans="1:25" ht="12" customHeight="1" x14ac:dyDescent="0.25">
      <c r="A39" s="214"/>
      <c r="B39" s="214"/>
      <c r="C39" s="214"/>
      <c r="D39" s="214"/>
      <c r="E39" s="215"/>
      <c r="F39" s="215"/>
      <c r="G39" s="215"/>
      <c r="H39" s="459"/>
      <c r="I39" s="459"/>
      <c r="J39" s="118"/>
      <c r="K39" s="118"/>
      <c r="L39" s="118"/>
      <c r="M39" s="118"/>
      <c r="N39" s="118"/>
      <c r="O39" s="118"/>
      <c r="P39" s="118"/>
      <c r="Q39" s="118"/>
      <c r="R39" s="118"/>
      <c r="S39" s="338"/>
      <c r="T39" s="338"/>
      <c r="V39" s="220">
        <f t="shared" si="0"/>
        <v>0</v>
      </c>
      <c r="W39" s="220">
        <f t="shared" si="1"/>
        <v>0</v>
      </c>
      <c r="X39" s="220">
        <f t="shared" si="3"/>
        <v>0</v>
      </c>
    </row>
    <row r="40" spans="1:25" ht="12" customHeight="1" x14ac:dyDescent="0.25">
      <c r="A40" s="851"/>
      <c r="B40" s="469"/>
      <c r="C40" s="215" t="s">
        <v>368</v>
      </c>
      <c r="D40" s="215"/>
      <c r="E40" s="215"/>
      <c r="F40" s="215"/>
      <c r="G40" s="470" t="s">
        <v>255</v>
      </c>
      <c r="H40" s="459"/>
      <c r="I40" s="459"/>
      <c r="J40" s="128"/>
      <c r="K40" s="128"/>
      <c r="L40" s="128"/>
      <c r="M40" s="477">
        <f ca="1">SUM(M36,M25,M18)</f>
        <v>10.295249697301813</v>
      </c>
      <c r="N40" s="477">
        <f ca="1">SUM(N36,N25,N18)</f>
        <v>283.60625828775898</v>
      </c>
      <c r="O40" s="477">
        <f ca="1">SUM(O36,O25,O18)</f>
        <v>678.46422669968717</v>
      </c>
      <c r="P40" s="477">
        <f ca="1">SUM(P36,P25,P18)</f>
        <v>658.31068728112439</v>
      </c>
      <c r="Q40" s="477">
        <f t="shared" ref="Q40:R40" ca="1" si="11">SUM(Q36,Q25,Q18)</f>
        <v>748.96448042270856</v>
      </c>
      <c r="R40" s="477">
        <f t="shared" ca="1" si="11"/>
        <v>789.24450859236242</v>
      </c>
      <c r="S40" s="338"/>
      <c r="T40" s="338"/>
      <c r="V40" s="220">
        <f t="shared" si="0"/>
        <v>0</v>
      </c>
      <c r="W40" s="220">
        <f t="shared" ca="1" si="1"/>
        <v>0</v>
      </c>
      <c r="X40" s="220">
        <f t="shared" ca="1" si="3"/>
        <v>2.9988152571307758</v>
      </c>
    </row>
    <row r="41" spans="1:25" ht="12" customHeight="1" x14ac:dyDescent="0.25">
      <c r="A41" s="851"/>
      <c r="B41" s="465" t="s">
        <v>368</v>
      </c>
      <c r="C41" s="465"/>
      <c r="D41" s="465"/>
      <c r="E41" s="465"/>
      <c r="F41" s="466"/>
      <c r="G41" s="465" t="s">
        <v>255</v>
      </c>
      <c r="H41" s="467"/>
      <c r="I41" s="467"/>
      <c r="J41" s="478"/>
      <c r="K41" s="479"/>
      <c r="L41" s="479"/>
      <c r="M41" s="479">
        <f t="shared" ref="M41" ca="1" si="12">M40</f>
        <v>10.295249697301813</v>
      </c>
      <c r="N41" s="479">
        <f t="shared" ref="N41:P41" ca="1" si="13">N40</f>
        <v>283.60625828775898</v>
      </c>
      <c r="O41" s="479">
        <f t="shared" ca="1" si="13"/>
        <v>678.46422669968717</v>
      </c>
      <c r="P41" s="479">
        <f t="shared" ca="1" si="13"/>
        <v>658.31068728112439</v>
      </c>
      <c r="Q41" s="479">
        <f t="shared" ref="Q41:R41" ca="1" si="14">Q40</f>
        <v>748.96448042270856</v>
      </c>
      <c r="R41" s="479">
        <f t="shared" ca="1" si="14"/>
        <v>789.24450859236242</v>
      </c>
      <c r="S41" s="338"/>
      <c r="T41" s="338"/>
      <c r="V41" s="220">
        <f t="shared" si="0"/>
        <v>0</v>
      </c>
      <c r="W41" s="220">
        <f t="shared" ca="1" si="1"/>
        <v>0</v>
      </c>
      <c r="X41" s="220">
        <f t="shared" ca="1" si="3"/>
        <v>2.9988152571307758</v>
      </c>
    </row>
    <row r="42" spans="1:25" ht="12" customHeight="1" x14ac:dyDescent="0.25">
      <c r="A42" s="851"/>
      <c r="B42" s="480"/>
      <c r="C42" s="480"/>
      <c r="D42" s="480"/>
      <c r="E42" s="349"/>
      <c r="F42" s="481"/>
      <c r="G42" s="482"/>
      <c r="H42" s="309"/>
      <c r="I42" s="309"/>
      <c r="J42" s="483"/>
      <c r="K42" s="309"/>
      <c r="L42" s="309"/>
      <c r="M42" s="309"/>
      <c r="N42" s="309"/>
      <c r="O42" s="309"/>
      <c r="P42" s="309"/>
      <c r="Q42" s="309"/>
      <c r="R42" s="309"/>
      <c r="S42" s="338"/>
      <c r="T42" s="338"/>
      <c r="V42" s="220">
        <f t="shared" si="0"/>
        <v>0</v>
      </c>
      <c r="W42" s="220">
        <f t="shared" si="1"/>
        <v>0</v>
      </c>
      <c r="X42" s="220">
        <f t="shared" si="3"/>
        <v>0</v>
      </c>
    </row>
    <row r="43" spans="1:25" ht="12" customHeight="1" x14ac:dyDescent="0.25">
      <c r="A43" s="851"/>
      <c r="B43" s="484" t="s">
        <v>369</v>
      </c>
      <c r="C43" s="485"/>
      <c r="D43" s="486"/>
      <c r="E43" s="487"/>
      <c r="F43" s="488"/>
      <c r="G43" s="487" t="s">
        <v>255</v>
      </c>
      <c r="H43" s="489"/>
      <c r="I43" s="489"/>
      <c r="J43" s="490"/>
      <c r="K43" s="491"/>
      <c r="L43" s="490"/>
      <c r="M43" s="490">
        <f>'1.3.Historical BS'!Q39</f>
        <v>1409.0683505220952</v>
      </c>
      <c r="N43" s="491">
        <f t="shared" ref="N43:O43" ca="1" si="15">M45</f>
        <v>1419.3636002193971</v>
      </c>
      <c r="O43" s="491">
        <f t="shared" ca="1" si="15"/>
        <v>1702.969858507156</v>
      </c>
      <c r="P43" s="491">
        <f t="shared" ref="P43" ca="1" si="16">O45</f>
        <v>2381.4340852068431</v>
      </c>
      <c r="Q43" s="491">
        <f t="shared" ref="Q43" ca="1" si="17">P45</f>
        <v>3039.7447724879676</v>
      </c>
      <c r="R43" s="491">
        <f t="shared" ref="R43" ca="1" si="18">Q45</f>
        <v>3788.7092529106762</v>
      </c>
      <c r="S43" s="338"/>
      <c r="T43" s="338"/>
      <c r="V43" s="220">
        <f t="shared" si="0"/>
        <v>0</v>
      </c>
      <c r="W43" s="220">
        <f t="shared" si="1"/>
        <v>0</v>
      </c>
      <c r="X43" s="220">
        <f t="shared" ca="1" si="3"/>
        <v>0.1911565276211975</v>
      </c>
    </row>
    <row r="44" spans="1:25" ht="12" customHeight="1" x14ac:dyDescent="0.25">
      <c r="A44" s="851"/>
      <c r="B44" s="484" t="s">
        <v>370</v>
      </c>
      <c r="C44" s="485"/>
      <c r="D44" s="485"/>
      <c r="E44" s="487"/>
      <c r="F44" s="488"/>
      <c r="G44" s="487" t="s">
        <v>255</v>
      </c>
      <c r="H44" s="489"/>
      <c r="I44" s="489"/>
      <c r="J44" s="492"/>
      <c r="K44" s="493"/>
      <c r="L44" s="493"/>
      <c r="M44" s="493">
        <f t="shared" ref="M44" ca="1" si="19">M41</f>
        <v>10.295249697301813</v>
      </c>
      <c r="N44" s="493">
        <f t="shared" ref="N44:P44" ca="1" si="20">N41</f>
        <v>283.60625828775898</v>
      </c>
      <c r="O44" s="493">
        <f t="shared" ca="1" si="20"/>
        <v>678.46422669968717</v>
      </c>
      <c r="P44" s="493">
        <f t="shared" ca="1" si="20"/>
        <v>658.31068728112439</v>
      </c>
      <c r="Q44" s="493">
        <f t="shared" ref="Q44:R44" ca="1" si="21">Q41</f>
        <v>748.96448042270856</v>
      </c>
      <c r="R44" s="493">
        <f t="shared" ca="1" si="21"/>
        <v>789.24450859236242</v>
      </c>
      <c r="S44" s="338"/>
      <c r="T44" s="338"/>
      <c r="V44" s="220">
        <f t="shared" si="0"/>
        <v>0</v>
      </c>
      <c r="W44" s="220">
        <f t="shared" ca="1" si="1"/>
        <v>0</v>
      </c>
      <c r="X44" s="220">
        <f t="shared" ca="1" si="3"/>
        <v>2.9988152571307758</v>
      </c>
    </row>
    <row r="45" spans="1:25" ht="12" customHeight="1" x14ac:dyDescent="0.25">
      <c r="A45" s="851"/>
      <c r="B45" s="494" t="s">
        <v>371</v>
      </c>
      <c r="C45" s="495"/>
      <c r="D45" s="495"/>
      <c r="E45" s="495"/>
      <c r="F45" s="496"/>
      <c r="G45" s="495" t="s">
        <v>255</v>
      </c>
      <c r="H45" s="497"/>
      <c r="I45" s="497"/>
      <c r="J45" s="492"/>
      <c r="K45" s="493"/>
      <c r="L45" s="493"/>
      <c r="M45" s="493">
        <f t="shared" ref="M45" ca="1" si="22">M44+M43</f>
        <v>1419.3636002193971</v>
      </c>
      <c r="N45" s="493">
        <f t="shared" ref="N45:P45" ca="1" si="23">N44+N43</f>
        <v>1702.969858507156</v>
      </c>
      <c r="O45" s="493">
        <f t="shared" ca="1" si="23"/>
        <v>2381.4340852068431</v>
      </c>
      <c r="P45" s="493">
        <f t="shared" ca="1" si="23"/>
        <v>3039.7447724879676</v>
      </c>
      <c r="Q45" s="493">
        <f t="shared" ref="Q45:R45" ca="1" si="24">Q44+Q43</f>
        <v>3788.7092529106762</v>
      </c>
      <c r="R45" s="493">
        <f t="shared" ca="1" si="24"/>
        <v>4577.9537615030385</v>
      </c>
      <c r="S45" s="338"/>
      <c r="T45" s="338"/>
      <c r="V45" s="220">
        <f t="shared" si="0"/>
        <v>0</v>
      </c>
      <c r="W45" s="220">
        <f t="shared" ca="1" si="1"/>
        <v>0</v>
      </c>
      <c r="X45" s="220">
        <f t="shared" ca="1" si="3"/>
        <v>0.28898486779086974</v>
      </c>
    </row>
    <row r="46" spans="1:25" ht="12" customHeight="1" x14ac:dyDescent="0.25">
      <c r="M46" s="57"/>
      <c r="N46" s="57"/>
      <c r="O46" s="57"/>
      <c r="P46" s="57"/>
      <c r="Q46" s="57"/>
      <c r="R46" s="57"/>
      <c r="S46" s="57"/>
    </row>
    <row r="47" spans="1:25" s="98" customFormat="1" ht="12" customHeight="1" x14ac:dyDescent="0.25">
      <c r="A47" s="96" t="s">
        <v>0</v>
      </c>
      <c r="B47" s="64"/>
      <c r="C47" s="64"/>
      <c r="D47" s="64"/>
      <c r="E47" s="64"/>
      <c r="F47" s="81"/>
      <c r="G47" s="81"/>
      <c r="H47" s="97"/>
      <c r="I47" s="81"/>
      <c r="K47" s="99"/>
      <c r="L47" s="99"/>
      <c r="M47" s="99"/>
      <c r="N47" s="99"/>
      <c r="O47" s="99"/>
      <c r="P47" s="99"/>
      <c r="Q47" s="99"/>
      <c r="R47" s="99"/>
      <c r="S47" s="99"/>
      <c r="V47" s="100"/>
      <c r="W47" s="100"/>
      <c r="X47" s="100"/>
      <c r="Y47" s="81"/>
    </row>
    <row r="48" spans="1:25" ht="12" customHeight="1" x14ac:dyDescent="0.25">
      <c r="K48" s="24"/>
      <c r="L48" s="24"/>
      <c r="M48" s="57"/>
      <c r="N48" s="57"/>
      <c r="O48" s="57"/>
      <c r="P48" s="57"/>
      <c r="Q48" s="57"/>
      <c r="R48" s="57"/>
      <c r="S48" s="57"/>
    </row>
  </sheetData>
  <conditionalFormatting sqref="A3">
    <cfRule type="containsText" dxfId="5" priority="1" operator="containsText" text="OK">
      <formula>NOT(ISERROR(SEARCH("OK",A3)))</formula>
    </cfRule>
    <cfRule type="containsText" dxfId="4" priority="2" operator="containsText" text="Error">
      <formula>NOT(ISERROR(SEARCH("Error",A3)))</formula>
    </cfRule>
  </conditionalFormatting>
  <pageMargins left="0.7" right="0.7" top="0.75" bottom="0.75" header="0.3" footer="0.3"/>
  <pageSetup paperSize="9" orientation="portrait" r:id="rId1"/>
  <headerFooter>
    <oddFooter>&amp;C&amp;7&amp;B&amp;"Arial"Document Classification: KPMG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5217" r:id="rId4" name="Button 1">
              <controlPr defaultSize="0" autoFill="0" autoPict="0" macro="[0]!scenario1">
                <anchor moveWithCells="1" sizeWithCells="1">
                  <from>
                    <xdr:col>6</xdr:col>
                    <xdr:colOff>502920</xdr:colOff>
                    <xdr:row>1</xdr:row>
                    <xdr:rowOff>0</xdr:rowOff>
                  </from>
                  <to>
                    <xdr:col>7</xdr:col>
                    <xdr:colOff>68580</xdr:colOff>
                    <xdr:row>2</xdr:row>
                    <xdr:rowOff>99060</xdr:rowOff>
                  </to>
                </anchor>
              </controlPr>
            </control>
          </mc:Choice>
        </mc:AlternateContent>
        <mc:AlternateContent xmlns:mc="http://schemas.openxmlformats.org/markup-compatibility/2006">
          <mc:Choice Requires="x14">
            <control shapeId="1545218" r:id="rId5" name="Button 2">
              <controlPr defaultSize="0" autoFill="0" autoPict="0" macro="[0]!scenario2">
                <anchor moveWithCells="1" sizeWithCells="1">
                  <from>
                    <xdr:col>7</xdr:col>
                    <xdr:colOff>83820</xdr:colOff>
                    <xdr:row>1</xdr:row>
                    <xdr:rowOff>0</xdr:rowOff>
                  </from>
                  <to>
                    <xdr:col>7</xdr:col>
                    <xdr:colOff>388620</xdr:colOff>
                    <xdr:row>2</xdr:row>
                    <xdr:rowOff>99060</xdr:rowOff>
                  </to>
                </anchor>
              </controlPr>
            </control>
          </mc:Choice>
        </mc:AlternateContent>
        <mc:AlternateContent xmlns:mc="http://schemas.openxmlformats.org/markup-compatibility/2006">
          <mc:Choice Requires="x14">
            <control shapeId="1545219" r:id="rId6" name="Button 3">
              <controlPr defaultSize="0" autoFill="0" autoPict="0" macro="[0]!scenario3">
                <anchor moveWithCells="1" sizeWithCells="1">
                  <from>
                    <xdr:col>7</xdr:col>
                    <xdr:colOff>403860</xdr:colOff>
                    <xdr:row>1</xdr:row>
                    <xdr:rowOff>0</xdr:rowOff>
                  </from>
                  <to>
                    <xdr:col>7</xdr:col>
                    <xdr:colOff>708660</xdr:colOff>
                    <xdr:row>2</xdr:row>
                    <xdr:rowOff>99060</xdr:rowOff>
                  </to>
                </anchor>
              </controlPr>
            </control>
          </mc:Choice>
        </mc:AlternateContent>
        <mc:AlternateContent xmlns:mc="http://schemas.openxmlformats.org/markup-compatibility/2006">
          <mc:Choice Requires="x14">
            <control shapeId="1545220" r:id="rId7" name="Button 4">
              <controlPr defaultSize="0" print="0" autoFill="0" autoPict="0" macro="[0]!Module3.ModelMap">
                <anchor moveWithCells="1" sizeWithCells="1">
                  <from>
                    <xdr:col>5</xdr:col>
                    <xdr:colOff>2316480</xdr:colOff>
                    <xdr:row>1</xdr:row>
                    <xdr:rowOff>0</xdr:rowOff>
                  </from>
                  <to>
                    <xdr:col>6</xdr:col>
                    <xdr:colOff>495300</xdr:colOff>
                    <xdr:row>2</xdr:row>
                    <xdr:rowOff>99060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3">
    <tabColor rgb="FF0070C0"/>
    <outlinePr summaryBelow="0" summaryRight="0"/>
  </sheetPr>
  <dimension ref="A1:Y90"/>
  <sheetViews>
    <sheetView showGridLines="0" zoomScale="85" zoomScaleNormal="85" workbookViewId="0">
      <pane xSplit="9" ySplit="4" topLeftCell="J49" activePane="bottomRight" state="frozen"/>
      <selection activeCell="L10" sqref="L10"/>
      <selection pane="topRight" activeCell="L10" sqref="L10"/>
      <selection pane="bottomLeft" activeCell="L10" sqref="L10"/>
      <selection pane="bottomRight" activeCell="M68" sqref="M68"/>
    </sheetView>
  </sheetViews>
  <sheetFormatPr defaultColWidth="0" defaultRowHeight="12" customHeight="1" outlineLevelRow="1" outlineLevelCol="1" x14ac:dyDescent="0.25"/>
  <cols>
    <col min="1" max="1" width="3.6640625" style="9" customWidth="1"/>
    <col min="2" max="4" width="5.6640625" style="9" customWidth="1"/>
    <col min="5" max="5" width="2.6640625" style="9" customWidth="1"/>
    <col min="6" max="6" width="40.6640625" style="10" customWidth="1"/>
    <col min="7" max="7" width="10.6640625" style="10" customWidth="1"/>
    <col min="8" max="8" width="10.6640625" style="11" customWidth="1"/>
    <col min="9" max="9" width="2.6640625" style="10" customWidth="1"/>
    <col min="10" max="17" width="10.6640625" style="12" customWidth="1"/>
    <col min="18" max="18" width="10.6640625" style="12" customWidth="1" collapsed="1"/>
    <col min="19" max="20" width="10.6640625" style="12" hidden="1" customWidth="1" outlineLevel="1"/>
    <col min="21" max="21" width="2.6640625" style="12" customWidth="1"/>
    <col min="22" max="23" width="10.33203125" style="13" bestFit="1" customWidth="1"/>
    <col min="24" max="24" width="9.6640625" style="13" bestFit="1" customWidth="1"/>
    <col min="25" max="25" width="25.6640625" style="10" customWidth="1"/>
    <col min="26" max="16384" width="9.109375" style="12" hidden="1"/>
  </cols>
  <sheetData>
    <row r="1" spans="1:25" s="6" customFormat="1" ht="12" customHeight="1" x14ac:dyDescent="0.25">
      <c r="A1" s="1" t="str">
        <f ca="1">MID(CELL("filename"),SEARCH("[",CELL("filename"))+1, SEARCH("]",CELL("filename"))-SEARCH("[",CELL("filename"))-1)</f>
        <v>Project Horeco_190409_1810.xlsm</v>
      </c>
      <c r="B1" s="1"/>
      <c r="C1" s="1"/>
      <c r="D1" s="1"/>
      <c r="E1" s="1"/>
      <c r="F1" s="83"/>
      <c r="G1" s="1"/>
      <c r="H1" s="2"/>
      <c r="I1" s="1"/>
      <c r="J1" s="3">
        <f>'1.0.Model timing'!J9</f>
        <v>42370</v>
      </c>
      <c r="K1" s="3">
        <f>'1.0.Model timing'!K9</f>
        <v>42736</v>
      </c>
      <c r="L1" s="3">
        <f>'1.0.Model timing'!L9</f>
        <v>43101</v>
      </c>
      <c r="M1" s="3">
        <f>'1.0.Model timing'!M9</f>
        <v>43466</v>
      </c>
      <c r="N1" s="3">
        <f>'1.0.Model timing'!N9</f>
        <v>43831</v>
      </c>
      <c r="O1" s="3">
        <f>'1.0.Model timing'!O9</f>
        <v>44197</v>
      </c>
      <c r="P1" s="3">
        <f>'1.0.Model timing'!P9</f>
        <v>44562</v>
      </c>
      <c r="Q1" s="3">
        <f>'1.0.Model timing'!Q9</f>
        <v>44927</v>
      </c>
      <c r="R1" s="3">
        <f>'1.0.Model timing'!R9</f>
        <v>45292</v>
      </c>
      <c r="S1" s="3">
        <f>'1.0.Model timing'!S9</f>
        <v>45658</v>
      </c>
      <c r="T1" s="3">
        <f>'1.0.Model timing'!T9</f>
        <v>46023</v>
      </c>
      <c r="U1" s="4"/>
      <c r="V1" s="5"/>
      <c r="W1" s="5"/>
      <c r="X1" s="5"/>
      <c r="Y1" s="1" t="s">
        <v>11</v>
      </c>
    </row>
    <row r="2" spans="1:25" s="6" customFormat="1" ht="12" customHeight="1" x14ac:dyDescent="0.25">
      <c r="A2" s="1" t="str">
        <f ca="1">RIGHT(CELL("filename",A2),LEN(CELL("filename",A2))-FIND("]",CELL("filename",A2)))</f>
        <v>3.3. Balance sheet</v>
      </c>
      <c r="B2" s="1"/>
      <c r="C2" s="1"/>
      <c r="D2" s="1"/>
      <c r="E2" s="1"/>
      <c r="F2" s="83"/>
      <c r="G2" s="1"/>
      <c r="H2" s="2"/>
      <c r="I2" s="1"/>
      <c r="J2" s="3">
        <f>'1.0.Model timing'!J10</f>
        <v>42735</v>
      </c>
      <c r="K2" s="3">
        <f>'1.0.Model timing'!K10</f>
        <v>43100</v>
      </c>
      <c r="L2" s="3">
        <f>'1.0.Model timing'!L10</f>
        <v>43465</v>
      </c>
      <c r="M2" s="3">
        <f>'1.0.Model timing'!M10</f>
        <v>43830</v>
      </c>
      <c r="N2" s="3">
        <f>'1.0.Model timing'!N10</f>
        <v>44196</v>
      </c>
      <c r="O2" s="3">
        <f>'1.0.Model timing'!O10</f>
        <v>44561</v>
      </c>
      <c r="P2" s="3">
        <f>'1.0.Model timing'!P10</f>
        <v>44926</v>
      </c>
      <c r="Q2" s="3">
        <f>'1.0.Model timing'!Q10</f>
        <v>45291</v>
      </c>
      <c r="R2" s="3">
        <f>'1.0.Model timing'!R10</f>
        <v>45657</v>
      </c>
      <c r="S2" s="3">
        <f>'1.0.Model timing'!S10</f>
        <v>46022</v>
      </c>
      <c r="T2" s="3">
        <f>'1.0.Model timing'!T10</f>
        <v>46387</v>
      </c>
      <c r="U2" s="4"/>
      <c r="V2" s="5"/>
      <c r="W2" s="5"/>
      <c r="X2" s="5"/>
      <c r="Y2" s="1"/>
    </row>
    <row r="3" spans="1:25" s="6" customFormat="1" ht="12" customHeight="1" x14ac:dyDescent="0.25">
      <c r="A3" s="1"/>
      <c r="B3" s="1"/>
      <c r="C3" s="1"/>
      <c r="D3" s="1"/>
      <c r="E3" s="1"/>
      <c r="F3" s="83"/>
      <c r="G3" s="1"/>
      <c r="H3" s="2"/>
      <c r="I3" s="1"/>
      <c r="J3" s="7">
        <f>'1.0.Model timing'!J11</f>
        <v>2016</v>
      </c>
      <c r="K3" s="7">
        <f>'1.0.Model timing'!K11</f>
        <v>2017</v>
      </c>
      <c r="L3" s="7">
        <f>'1.0.Model timing'!L11</f>
        <v>2018</v>
      </c>
      <c r="M3" s="7">
        <f>'1.0.Model timing'!M11</f>
        <v>2019</v>
      </c>
      <c r="N3" s="7">
        <f>'1.0.Model timing'!N11</f>
        <v>2020</v>
      </c>
      <c r="O3" s="7">
        <f>'1.0.Model timing'!O11</f>
        <v>2021</v>
      </c>
      <c r="P3" s="7">
        <f>'1.0.Model timing'!P11</f>
        <v>2022</v>
      </c>
      <c r="Q3" s="7">
        <f>'1.0.Model timing'!Q11</f>
        <v>2023</v>
      </c>
      <c r="R3" s="7">
        <f>'1.0.Model timing'!R11</f>
        <v>2024</v>
      </c>
      <c r="S3" s="7">
        <f>'1.0.Model timing'!S11</f>
        <v>2025</v>
      </c>
      <c r="T3" s="7">
        <f>'1.0.Model timing'!T11</f>
        <v>2026</v>
      </c>
      <c r="U3" s="4"/>
      <c r="V3" s="5" t="s">
        <v>9</v>
      </c>
      <c r="W3" s="5" t="s">
        <v>10</v>
      </c>
      <c r="X3" s="5" t="s">
        <v>9</v>
      </c>
      <c r="Y3" s="1"/>
    </row>
    <row r="4" spans="1:25" s="6" customFormat="1" ht="12" customHeight="1" x14ac:dyDescent="0.25">
      <c r="A4" s="1"/>
      <c r="B4" s="1"/>
      <c r="C4" s="1"/>
      <c r="D4" s="1"/>
      <c r="E4" s="1"/>
      <c r="F4" s="83"/>
      <c r="G4" s="1" t="s">
        <v>8</v>
      </c>
      <c r="H4" s="2" t="s">
        <v>7</v>
      </c>
      <c r="I4" s="1"/>
      <c r="J4" s="8" t="str">
        <f>'1.0.Model timing'!J15</f>
        <v>Actual</v>
      </c>
      <c r="K4" s="8" t="str">
        <f>'1.0.Model timing'!K15</f>
        <v>Actual</v>
      </c>
      <c r="L4" s="8" t="str">
        <f>'1.0.Model timing'!L15</f>
        <v>Actual</v>
      </c>
      <c r="M4" s="8" t="str">
        <f>'1.0.Model timing'!M15</f>
        <v>Forecast</v>
      </c>
      <c r="N4" s="8" t="str">
        <f>'1.0.Model timing'!N15</f>
        <v>Forecast</v>
      </c>
      <c r="O4" s="8" t="str">
        <f>'1.0.Model timing'!O15</f>
        <v>Forecast</v>
      </c>
      <c r="P4" s="8" t="str">
        <f>'1.0.Model timing'!P15</f>
        <v>Forecast</v>
      </c>
      <c r="Q4" s="8" t="str">
        <f>'1.0.Model timing'!Q15</f>
        <v>Forecast</v>
      </c>
      <c r="R4" s="8" t="str">
        <f>'1.0.Model timing'!R15</f>
        <v>Forecast</v>
      </c>
      <c r="S4" s="8" t="str">
        <f>'1.0.Model timing'!S15</f>
        <v>Forecast</v>
      </c>
      <c r="T4" s="8" t="str">
        <f>'1.0.Model timing'!T15</f>
        <v>Forecast</v>
      </c>
      <c r="U4" s="4"/>
      <c r="V4" s="5" t="s">
        <v>723</v>
      </c>
      <c r="W4" s="5" t="s">
        <v>724</v>
      </c>
      <c r="X4" s="5" t="s">
        <v>725</v>
      </c>
      <c r="Y4" s="1"/>
    </row>
    <row r="6" spans="1:25" ht="12" customHeight="1" x14ac:dyDescent="0.25">
      <c r="A6" s="14">
        <f ca="1">MAX($A$1:A5)+1</f>
        <v>1</v>
      </c>
      <c r="B6" s="15" t="s">
        <v>372</v>
      </c>
      <c r="C6" s="15"/>
      <c r="D6" s="15"/>
      <c r="E6" s="15"/>
      <c r="F6" s="16"/>
      <c r="G6" s="17"/>
      <c r="H6" s="18"/>
      <c r="I6" s="17"/>
      <c r="J6" s="19"/>
      <c r="K6" s="19"/>
      <c r="L6" s="19"/>
      <c r="M6" s="19"/>
      <c r="N6" s="19"/>
      <c r="O6" s="19"/>
      <c r="P6" s="19"/>
      <c r="Q6" s="19"/>
      <c r="R6" s="19"/>
    </row>
    <row r="7" spans="1:25" ht="12" customHeight="1" x14ac:dyDescent="0.25">
      <c r="H7" s="22"/>
      <c r="J7" s="288"/>
      <c r="K7" s="288"/>
      <c r="L7" s="288"/>
      <c r="M7" s="288"/>
    </row>
    <row r="8" spans="1:25" ht="12" customHeight="1" x14ac:dyDescent="0.25">
      <c r="A8" s="39"/>
      <c r="B8" s="25">
        <f ca="1">MAX($A$1:B7)+0.1</f>
        <v>1.1000000000000001</v>
      </c>
      <c r="C8" s="26" t="s">
        <v>72</v>
      </c>
      <c r="E8" s="27"/>
      <c r="F8" s="28"/>
      <c r="G8" s="29"/>
      <c r="H8" s="30"/>
      <c r="I8" s="29"/>
      <c r="J8" s="108"/>
      <c r="K8" s="108"/>
      <c r="L8" s="108"/>
      <c r="M8" s="108"/>
    </row>
    <row r="9" spans="1:25" ht="12" customHeight="1" collapsed="1" x14ac:dyDescent="0.25">
      <c r="A9" s="845"/>
      <c r="B9" s="32"/>
      <c r="C9" s="33"/>
      <c r="D9" s="9" t="s">
        <v>107</v>
      </c>
      <c r="E9" s="6"/>
      <c r="F9" s="6"/>
      <c r="G9" s="34"/>
      <c r="H9" s="35"/>
      <c r="I9" s="34"/>
      <c r="J9" s="36">
        <f>'1.3.Historical BS'!O9</f>
        <v>2.3013631058554092</v>
      </c>
      <c r="K9" s="36">
        <f>'1.3.Historical BS'!P9</f>
        <v>1.1124214005193462</v>
      </c>
      <c r="L9" s="36">
        <f>'1.3.Historical BS'!Q9</f>
        <v>1.1904886468406277</v>
      </c>
      <c r="M9" s="228">
        <f>'2.1. Working LT assets'!M82+'2.1. Working LT assets'!M87</f>
        <v>1.1904886468406277</v>
      </c>
      <c r="N9" s="228">
        <f>'2.1. Working LT assets'!N82+'2.1. Working LT assets'!N87</f>
        <v>1.1904886468406277</v>
      </c>
      <c r="O9" s="228">
        <f>'2.1. Working LT assets'!O82+'2.1. Working LT assets'!O87</f>
        <v>1.1904886468406277</v>
      </c>
      <c r="P9" s="228">
        <f>'2.1. Working LT assets'!P82+'2.1. Working LT assets'!P87</f>
        <v>1.1904886468406277</v>
      </c>
      <c r="Q9" s="228">
        <f>'2.1. Working LT assets'!Q82+'2.1. Working LT assets'!Q87</f>
        <v>1.1904886468406277</v>
      </c>
      <c r="R9" s="228">
        <f>'2.1. Working LT assets'!R82+'2.1. Working LT assets'!R87</f>
        <v>1.1904886468406277</v>
      </c>
      <c r="S9" s="338"/>
      <c r="T9" s="338"/>
      <c r="V9" s="220">
        <f t="shared" ref="V9:V72" si="0">IF(ISERROR((($L9/$J9)^(1/($L$3-$J$3))-1)),0,(($L9/$J9)^(1/($L$3-$J$3))-1))</f>
        <v>-0.28076625435108604</v>
      </c>
      <c r="W9" s="220">
        <f t="shared" ref="W9:W72" si="1">IF(ISERROR($M9/$L9-1),0,$M9/$L9-1)</f>
        <v>0</v>
      </c>
      <c r="X9" s="220">
        <f t="shared" ref="X9:X72" si="2">IF(ISERROR((($P9/$M9)^(1/($P$3-$M$3))-1)),0,(($P9/$M9)^(1/($P$3-$M$3))-1))</f>
        <v>0</v>
      </c>
    </row>
    <row r="10" spans="1:25" ht="12" hidden="1" customHeight="1" outlineLevel="1" x14ac:dyDescent="0.25">
      <c r="A10" s="852"/>
      <c r="B10" s="37"/>
      <c r="C10" s="38"/>
      <c r="D10" s="39"/>
      <c r="E10" s="40" t="s">
        <v>105</v>
      </c>
      <c r="F10" s="13"/>
      <c r="G10" s="30"/>
      <c r="H10" s="30"/>
      <c r="I10" s="30"/>
      <c r="J10" s="128"/>
      <c r="K10" s="128"/>
      <c r="L10" s="128"/>
      <c r="M10" s="128"/>
      <c r="N10" s="128"/>
      <c r="O10" s="128"/>
      <c r="P10" s="128"/>
      <c r="Q10" s="128"/>
      <c r="R10" s="128"/>
      <c r="S10" s="338"/>
      <c r="T10" s="338"/>
      <c r="V10" s="220">
        <f t="shared" si="0"/>
        <v>0</v>
      </c>
      <c r="W10" s="220">
        <f t="shared" si="1"/>
        <v>0</v>
      </c>
      <c r="X10" s="220">
        <f t="shared" si="2"/>
        <v>0</v>
      </c>
    </row>
    <row r="11" spans="1:25" ht="12" hidden="1" customHeight="1" outlineLevel="1" x14ac:dyDescent="0.25">
      <c r="A11" s="852"/>
      <c r="B11" s="37"/>
      <c r="C11" s="38"/>
      <c r="D11" s="39"/>
      <c r="E11" s="40" t="s">
        <v>120</v>
      </c>
      <c r="F11" s="13"/>
      <c r="G11" s="30"/>
      <c r="H11" s="30"/>
      <c r="I11" s="30"/>
      <c r="J11" s="128"/>
      <c r="K11" s="128"/>
      <c r="L11" s="128"/>
      <c r="M11" s="128"/>
      <c r="N11" s="128"/>
      <c r="O11" s="128"/>
      <c r="P11" s="128"/>
      <c r="Q11" s="128"/>
      <c r="R11" s="128"/>
      <c r="S11" s="338"/>
      <c r="T11" s="338"/>
      <c r="V11" s="220">
        <f t="shared" si="0"/>
        <v>0</v>
      </c>
      <c r="W11" s="220">
        <f t="shared" si="1"/>
        <v>0</v>
      </c>
      <c r="X11" s="220">
        <f t="shared" si="2"/>
        <v>0</v>
      </c>
    </row>
    <row r="12" spans="1:25" ht="12" hidden="1" customHeight="1" outlineLevel="1" x14ac:dyDescent="0.25">
      <c r="A12" s="852"/>
      <c r="B12" s="37"/>
      <c r="C12" s="38"/>
      <c r="D12" s="39"/>
      <c r="E12" s="40" t="s">
        <v>45</v>
      </c>
      <c r="F12" s="13"/>
      <c r="G12" s="30"/>
      <c r="H12" s="30"/>
      <c r="I12" s="30"/>
      <c r="J12" s="128"/>
      <c r="K12" s="128"/>
      <c r="L12" s="128"/>
      <c r="M12" s="128"/>
      <c r="N12" s="128"/>
      <c r="O12" s="128"/>
      <c r="P12" s="128"/>
      <c r="Q12" s="128"/>
      <c r="R12" s="128"/>
      <c r="S12" s="338"/>
      <c r="T12" s="338"/>
      <c r="V12" s="220">
        <f t="shared" si="0"/>
        <v>0</v>
      </c>
      <c r="W12" s="220">
        <f t="shared" si="1"/>
        <v>0</v>
      </c>
      <c r="X12" s="220">
        <f t="shared" si="2"/>
        <v>0</v>
      </c>
    </row>
    <row r="13" spans="1:25" ht="12" customHeight="1" x14ac:dyDescent="0.25">
      <c r="A13" s="39"/>
      <c r="B13" s="32"/>
      <c r="C13" s="33"/>
      <c r="D13" s="39" t="s">
        <v>108</v>
      </c>
      <c r="E13" s="6"/>
      <c r="F13" s="6"/>
      <c r="G13" s="34"/>
      <c r="H13" s="35"/>
      <c r="I13" s="34"/>
      <c r="J13" s="228">
        <f t="shared" ref="J13:R13" si="3">SUM(J14:J23)</f>
        <v>177.9672480236066</v>
      </c>
      <c r="K13" s="228">
        <f t="shared" si="3"/>
        <v>118.66187952014081</v>
      </c>
      <c r="L13" s="228">
        <f t="shared" si="3"/>
        <v>82.404457642745285</v>
      </c>
      <c r="M13" s="228">
        <f t="shared" ca="1" si="3"/>
        <v>47.646898518407262</v>
      </c>
      <c r="N13" s="228">
        <f t="shared" ca="1" si="3"/>
        <v>33.465220211756353</v>
      </c>
      <c r="O13" s="228">
        <f t="shared" ca="1" si="3"/>
        <v>30.976027131279295</v>
      </c>
      <c r="P13" s="228">
        <f t="shared" ca="1" si="3"/>
        <v>30.460804180811905</v>
      </c>
      <c r="Q13" s="228">
        <f t="shared" ca="1" si="3"/>
        <v>30.337434673989083</v>
      </c>
      <c r="R13" s="228">
        <f t="shared" ca="1" si="3"/>
        <v>30.337434673989083</v>
      </c>
      <c r="S13" s="338"/>
      <c r="T13" s="338"/>
      <c r="V13" s="220">
        <f t="shared" si="0"/>
        <v>-0.31953575479504681</v>
      </c>
      <c r="W13" s="220">
        <f t="shared" ca="1" si="1"/>
        <v>-0.42179221996733818</v>
      </c>
      <c r="X13" s="220">
        <f t="shared" ca="1" si="2"/>
        <v>-0.13853908875865506</v>
      </c>
    </row>
    <row r="14" spans="1:25" ht="12" customHeight="1" x14ac:dyDescent="0.25">
      <c r="A14" s="853"/>
      <c r="B14" s="41"/>
      <c r="C14" s="42"/>
      <c r="D14" s="39"/>
      <c r="E14" s="40" t="s">
        <v>212</v>
      </c>
      <c r="F14" s="12"/>
      <c r="G14" s="29"/>
      <c r="H14" s="30"/>
      <c r="I14" s="29"/>
      <c r="J14" s="221">
        <f>'1.3.Historical BS'!O14</f>
        <v>4.4042192420338679</v>
      </c>
      <c r="K14" s="221">
        <f>'1.3.Historical BS'!P14</f>
        <v>4.2921218104169796</v>
      </c>
      <c r="L14" s="221">
        <f>'1.3.Historical BS'!Q14</f>
        <v>4.288256609275499</v>
      </c>
      <c r="M14" s="221">
        <f t="shared" ref="M14:P15" si="4">L14</f>
        <v>4.288256609275499</v>
      </c>
      <c r="N14" s="221">
        <f t="shared" si="4"/>
        <v>4.288256609275499</v>
      </c>
      <c r="O14" s="221">
        <f t="shared" si="4"/>
        <v>4.288256609275499</v>
      </c>
      <c r="P14" s="221">
        <f t="shared" si="4"/>
        <v>4.288256609275499</v>
      </c>
      <c r="Q14" s="221">
        <f t="shared" ref="Q14:Q15" si="5">P14</f>
        <v>4.288256609275499</v>
      </c>
      <c r="R14" s="221">
        <f t="shared" ref="R14:R15" si="6">Q14</f>
        <v>4.288256609275499</v>
      </c>
      <c r="S14" s="338"/>
      <c r="T14" s="338"/>
      <c r="V14" s="220">
        <f t="shared" si="0"/>
        <v>-1.3252765689688584E-2</v>
      </c>
      <c r="W14" s="220">
        <f t="shared" si="1"/>
        <v>0</v>
      </c>
      <c r="X14" s="220">
        <f t="shared" si="2"/>
        <v>0</v>
      </c>
    </row>
    <row r="15" spans="1:25" ht="12" customHeight="1" x14ac:dyDescent="0.25">
      <c r="A15" s="853"/>
      <c r="B15" s="41"/>
      <c r="C15" s="42"/>
      <c r="D15" s="39"/>
      <c r="E15" s="40" t="s">
        <v>213</v>
      </c>
      <c r="F15" s="12"/>
      <c r="G15" s="29"/>
      <c r="H15" s="30"/>
      <c r="I15" s="29"/>
      <c r="J15" s="221">
        <f>'1.3.Historical BS'!O15</f>
        <v>0</v>
      </c>
      <c r="K15" s="221">
        <f>'1.3.Historical BS'!P15</f>
        <v>0</v>
      </c>
      <c r="L15" s="221">
        <f>'1.3.Historical BS'!Q15</f>
        <v>0</v>
      </c>
      <c r="M15" s="221">
        <f t="shared" si="4"/>
        <v>0</v>
      </c>
      <c r="N15" s="221">
        <f t="shared" ref="N15" si="7">M15</f>
        <v>0</v>
      </c>
      <c r="O15" s="221">
        <f t="shared" ref="O15" si="8">N15</f>
        <v>0</v>
      </c>
      <c r="P15" s="221">
        <f t="shared" ref="P15" si="9">O15</f>
        <v>0</v>
      </c>
      <c r="Q15" s="221">
        <f t="shared" si="5"/>
        <v>0</v>
      </c>
      <c r="R15" s="221">
        <f t="shared" si="6"/>
        <v>0</v>
      </c>
      <c r="S15" s="338"/>
      <c r="T15" s="338"/>
      <c r="V15" s="220">
        <f t="shared" si="0"/>
        <v>0</v>
      </c>
      <c r="W15" s="220">
        <f t="shared" si="1"/>
        <v>0</v>
      </c>
      <c r="X15" s="220">
        <f t="shared" si="2"/>
        <v>0</v>
      </c>
    </row>
    <row r="16" spans="1:25" ht="12" customHeight="1" collapsed="1" x14ac:dyDescent="0.25">
      <c r="A16" s="853"/>
      <c r="B16" s="41"/>
      <c r="C16" s="42"/>
      <c r="D16" s="39"/>
      <c r="E16" s="40" t="s">
        <v>238</v>
      </c>
      <c r="F16" s="12"/>
      <c r="G16" s="29"/>
      <c r="H16" s="30"/>
      <c r="I16" s="29"/>
      <c r="J16" s="221">
        <f>'1.3.Historical BS'!O16</f>
        <v>117.98994076325121</v>
      </c>
      <c r="K16" s="221">
        <f>'1.3.Historical BS'!P16</f>
        <v>66.778404189110901</v>
      </c>
      <c r="L16" s="221">
        <f>'1.3.Historical BS'!Q16</f>
        <v>33.480228992902873</v>
      </c>
      <c r="M16" s="854">
        <f ca="1">'2.1. Working LT assets'!M83+'2.1. Working LT assets'!M88</f>
        <v>0.71337721649256025</v>
      </c>
      <c r="N16" s="854">
        <f ca="1">'2.1. Working LT assets'!N83+'2.1. Working LT assets'!N88</f>
        <v>-12.17133536543502</v>
      </c>
      <c r="O16" s="854">
        <f ca="1">'2.1. Working LT assets'!O83+'2.1. Working LT assets'!O88</f>
        <v>-14.455095975728348</v>
      </c>
      <c r="P16" s="854">
        <f ca="1">'2.1. Working LT assets'!P83+'2.1. Working LT assets'!P88</f>
        <v>-14.970318926195738</v>
      </c>
      <c r="Q16" s="854">
        <f ca="1">'2.1. Working LT assets'!Q83+'2.1. Working LT assets'!Q88</f>
        <v>-15.093688433018558</v>
      </c>
      <c r="R16" s="854">
        <f ca="1">'2.1. Working LT assets'!R83+'2.1. Working LT assets'!R88</f>
        <v>-15.093688433018558</v>
      </c>
      <c r="S16" s="338"/>
      <c r="T16" s="338"/>
      <c r="V16" s="220">
        <f t="shared" si="0"/>
        <v>-0.46731346586097322</v>
      </c>
      <c r="W16" s="220">
        <f t="shared" ca="1" si="1"/>
        <v>-0.9786925825195586</v>
      </c>
      <c r="X16" s="220">
        <f t="shared" ca="1" si="2"/>
        <v>-3.7582731543774814</v>
      </c>
    </row>
    <row r="17" spans="1:24" ht="12" hidden="1" customHeight="1" outlineLevel="1" x14ac:dyDescent="0.25">
      <c r="A17" s="853"/>
      <c r="B17" s="41"/>
      <c r="C17" s="42"/>
      <c r="D17" s="39"/>
      <c r="E17" s="432" t="s">
        <v>167</v>
      </c>
      <c r="F17" s="12"/>
      <c r="G17" s="29"/>
      <c r="H17" s="30"/>
      <c r="I17" s="29"/>
      <c r="J17" s="128"/>
      <c r="K17" s="128"/>
      <c r="L17" s="128"/>
      <c r="M17" s="128"/>
      <c r="N17" s="128"/>
      <c r="O17" s="128"/>
      <c r="P17" s="128"/>
      <c r="Q17" s="338"/>
      <c r="R17" s="338"/>
      <c r="S17" s="338"/>
      <c r="T17" s="338"/>
      <c r="V17" s="220">
        <f t="shared" si="0"/>
        <v>0</v>
      </c>
      <c r="W17" s="220">
        <f t="shared" si="1"/>
        <v>0</v>
      </c>
      <c r="X17" s="220">
        <f t="shared" si="2"/>
        <v>0</v>
      </c>
    </row>
    <row r="18" spans="1:24" ht="12" hidden="1" customHeight="1" outlineLevel="1" x14ac:dyDescent="0.25">
      <c r="A18" s="853"/>
      <c r="B18" s="41"/>
      <c r="C18" s="42"/>
      <c r="D18" s="39"/>
      <c r="E18" s="432" t="s">
        <v>214</v>
      </c>
      <c r="F18" s="12"/>
      <c r="G18" s="29"/>
      <c r="H18" s="30"/>
      <c r="I18" s="29"/>
      <c r="J18" s="128"/>
      <c r="K18" s="128"/>
      <c r="L18" s="128"/>
      <c r="M18" s="128"/>
      <c r="N18" s="128"/>
      <c r="O18" s="128"/>
      <c r="P18" s="128"/>
      <c r="Q18" s="338"/>
      <c r="R18" s="338"/>
      <c r="S18" s="338"/>
      <c r="T18" s="338"/>
      <c r="V18" s="220">
        <f t="shared" si="0"/>
        <v>0</v>
      </c>
      <c r="W18" s="220">
        <f t="shared" si="1"/>
        <v>0</v>
      </c>
      <c r="X18" s="220">
        <f t="shared" si="2"/>
        <v>0</v>
      </c>
    </row>
    <row r="19" spans="1:24" ht="12" hidden="1" customHeight="1" outlineLevel="1" x14ac:dyDescent="0.25">
      <c r="A19" s="853"/>
      <c r="B19" s="41"/>
      <c r="C19" s="42"/>
      <c r="D19" s="39"/>
      <c r="E19" s="432" t="s">
        <v>215</v>
      </c>
      <c r="F19" s="12"/>
      <c r="G19" s="29"/>
      <c r="H19" s="30"/>
      <c r="I19" s="29"/>
      <c r="J19" s="128"/>
      <c r="K19" s="128"/>
      <c r="L19" s="128"/>
      <c r="M19" s="128"/>
      <c r="N19" s="128"/>
      <c r="O19" s="128"/>
      <c r="P19" s="128"/>
      <c r="Q19" s="338"/>
      <c r="R19" s="338"/>
      <c r="S19" s="338"/>
      <c r="T19" s="338"/>
      <c r="V19" s="220">
        <f t="shared" si="0"/>
        <v>0</v>
      </c>
      <c r="W19" s="220">
        <f t="shared" si="1"/>
        <v>0</v>
      </c>
      <c r="X19" s="220">
        <f t="shared" si="2"/>
        <v>0</v>
      </c>
    </row>
    <row r="20" spans="1:24" ht="12" hidden="1" customHeight="1" outlineLevel="1" x14ac:dyDescent="0.25">
      <c r="A20" s="853"/>
      <c r="B20" s="41"/>
      <c r="C20" s="42"/>
      <c r="D20" s="39"/>
      <c r="E20" s="432" t="s">
        <v>277</v>
      </c>
      <c r="F20" s="12"/>
      <c r="G20" s="29"/>
      <c r="H20" s="30"/>
      <c r="I20" s="29"/>
      <c r="J20" s="128"/>
      <c r="K20" s="128"/>
      <c r="L20" s="128"/>
      <c r="M20" s="128"/>
      <c r="N20" s="128"/>
      <c r="O20" s="128"/>
      <c r="P20" s="128"/>
      <c r="Q20" s="338"/>
      <c r="R20" s="338"/>
      <c r="S20" s="338"/>
      <c r="T20" s="338"/>
      <c r="V20" s="220">
        <f t="shared" si="0"/>
        <v>0</v>
      </c>
      <c r="W20" s="220">
        <f t="shared" si="1"/>
        <v>0</v>
      </c>
      <c r="X20" s="220">
        <f t="shared" si="2"/>
        <v>0</v>
      </c>
    </row>
    <row r="21" spans="1:24" ht="12" customHeight="1" x14ac:dyDescent="0.25">
      <c r="A21" s="853"/>
      <c r="B21" s="41"/>
      <c r="C21" s="42"/>
      <c r="D21" s="39"/>
      <c r="E21" s="40" t="s">
        <v>44</v>
      </c>
      <c r="F21" s="12"/>
      <c r="G21" s="29"/>
      <c r="H21" s="30"/>
      <c r="I21" s="29"/>
      <c r="J21" s="221">
        <f>'1.3.Historical BS'!O21</f>
        <v>45.672398758010175</v>
      </c>
      <c r="K21" s="221">
        <f>'1.3.Historical BS'!P21</f>
        <v>44.509931969869307</v>
      </c>
      <c r="L21" s="221">
        <f>'1.3.Historical BS'!Q21</f>
        <v>44.635972040566905</v>
      </c>
      <c r="M21" s="221">
        <f>'2.1. Working LT assets'!M84+'2.1. Working LT assets'!M89</f>
        <v>42.645264692639202</v>
      </c>
      <c r="N21" s="221">
        <f>'2.1. Working LT assets'!N84+'2.1. Working LT assets'!N89</f>
        <v>41.348298967915873</v>
      </c>
      <c r="O21" s="221">
        <f>'2.1. Working LT assets'!O84+'2.1. Working LT assets'!O89</f>
        <v>41.142866497732143</v>
      </c>
      <c r="P21" s="221">
        <f>'2.1. Working LT assets'!P84+'2.1. Working LT assets'!P89</f>
        <v>41.142866497732143</v>
      </c>
      <c r="Q21" s="221">
        <f>'2.1. Working LT assets'!Q84+'2.1. Working LT assets'!Q89</f>
        <v>41.142866497732143</v>
      </c>
      <c r="R21" s="221">
        <f>'2.1. Working LT assets'!R84+'2.1. Working LT assets'!R89</f>
        <v>41.142866497732143</v>
      </c>
      <c r="S21" s="338"/>
      <c r="T21" s="338"/>
      <c r="V21" s="220">
        <f t="shared" si="0"/>
        <v>-1.1411423887697669E-2</v>
      </c>
      <c r="W21" s="220">
        <f t="shared" si="1"/>
        <v>-4.459872288920852E-2</v>
      </c>
      <c r="X21" s="220">
        <f t="shared" si="2"/>
        <v>-1.1884047602031322E-2</v>
      </c>
    </row>
    <row r="22" spans="1:24" ht="12" customHeight="1" x14ac:dyDescent="0.25">
      <c r="A22" s="853"/>
      <c r="B22" s="41"/>
      <c r="C22" s="42"/>
      <c r="D22" s="39"/>
      <c r="E22" s="40" t="s">
        <v>46</v>
      </c>
      <c r="F22" s="12"/>
      <c r="G22" s="29"/>
      <c r="H22" s="30"/>
      <c r="I22" s="29"/>
      <c r="J22" s="221">
        <f>'1.3.Historical BS'!O22</f>
        <v>0</v>
      </c>
      <c r="K22" s="221">
        <f>'1.3.Historical BS'!P22</f>
        <v>0</v>
      </c>
      <c r="L22" s="221">
        <f>'1.3.Historical BS'!Q22</f>
        <v>0</v>
      </c>
      <c r="M22" s="221">
        <f t="shared" ref="M22" si="10">L22</f>
        <v>0</v>
      </c>
      <c r="N22" s="221">
        <f t="shared" ref="N22" si="11">M22</f>
        <v>0</v>
      </c>
      <c r="O22" s="221">
        <f t="shared" ref="O22" si="12">N22</f>
        <v>0</v>
      </c>
      <c r="P22" s="221">
        <f t="shared" ref="P22" si="13">O22</f>
        <v>0</v>
      </c>
      <c r="Q22" s="221">
        <f t="shared" ref="Q22" si="14">P22</f>
        <v>0</v>
      </c>
      <c r="R22" s="221">
        <f t="shared" ref="R22" si="15">Q22</f>
        <v>0</v>
      </c>
      <c r="S22" s="338"/>
      <c r="T22" s="338"/>
      <c r="V22" s="220">
        <f t="shared" si="0"/>
        <v>0</v>
      </c>
      <c r="W22" s="220">
        <f t="shared" si="1"/>
        <v>0</v>
      </c>
      <c r="X22" s="220">
        <f t="shared" si="2"/>
        <v>0</v>
      </c>
    </row>
    <row r="23" spans="1:24" ht="12" customHeight="1" x14ac:dyDescent="0.25">
      <c r="A23" s="853"/>
      <c r="B23" s="41"/>
      <c r="C23" s="42"/>
      <c r="D23" s="39"/>
      <c r="E23" s="40" t="s">
        <v>279</v>
      </c>
      <c r="F23" s="12"/>
      <c r="G23" s="29"/>
      <c r="H23" s="30"/>
      <c r="I23" s="29"/>
      <c r="J23" s="221">
        <f>'1.3.Historical BS'!O23</f>
        <v>9.9006892603113794</v>
      </c>
      <c r="K23" s="221">
        <f>'1.3.Historical BS'!P23</f>
        <v>3.08142155074361</v>
      </c>
      <c r="L23" s="221">
        <f>'1.3.Historical BS'!Q23</f>
        <v>0</v>
      </c>
      <c r="M23" s="221">
        <f>'2.1. Working LT assets'!M85+'2.1. Working LT assets'!M90</f>
        <v>0</v>
      </c>
      <c r="N23" s="221">
        <f>'2.1. Working LT assets'!N85+'2.1. Working LT assets'!N90</f>
        <v>0</v>
      </c>
      <c r="O23" s="221">
        <f>'2.1. Working LT assets'!O85+'2.1. Working LT assets'!O90</f>
        <v>0</v>
      </c>
      <c r="P23" s="221">
        <f>'2.1. Working LT assets'!P85+'2.1. Working LT assets'!P90</f>
        <v>0</v>
      </c>
      <c r="Q23" s="221">
        <f>'2.1. Working LT assets'!Q85+'2.1. Working LT assets'!Q90</f>
        <v>0</v>
      </c>
      <c r="R23" s="221">
        <f>'2.1. Working LT assets'!R85+'2.1. Working LT assets'!R90</f>
        <v>0</v>
      </c>
      <c r="S23" s="338"/>
      <c r="T23" s="338"/>
      <c r="V23" s="220">
        <f t="shared" si="0"/>
        <v>-1</v>
      </c>
      <c r="W23" s="220">
        <f t="shared" si="1"/>
        <v>0</v>
      </c>
      <c r="X23" s="220">
        <f t="shared" si="2"/>
        <v>0</v>
      </c>
    </row>
    <row r="24" spans="1:24" ht="12" customHeight="1" x14ac:dyDescent="0.25">
      <c r="A24" s="850"/>
      <c r="B24" s="44"/>
      <c r="C24" s="45"/>
      <c r="D24" s="39" t="s">
        <v>106</v>
      </c>
      <c r="E24" s="46"/>
      <c r="F24" s="46"/>
      <c r="G24" s="43"/>
      <c r="H24" s="35"/>
      <c r="I24" s="35"/>
      <c r="J24" s="228">
        <f>'1.3.Historical BS'!O24</f>
        <v>0</v>
      </c>
      <c r="K24" s="228">
        <f>'1.3.Historical BS'!P24</f>
        <v>0</v>
      </c>
      <c r="L24" s="228">
        <f>'1.3.Historical BS'!Q24</f>
        <v>0</v>
      </c>
      <c r="M24" s="228">
        <f t="shared" ref="M24:P24" si="16">SUM(M25:M27)</f>
        <v>0</v>
      </c>
      <c r="N24" s="228">
        <f t="shared" si="16"/>
        <v>0</v>
      </c>
      <c r="O24" s="228">
        <f t="shared" si="16"/>
        <v>0</v>
      </c>
      <c r="P24" s="228">
        <f t="shared" si="16"/>
        <v>0</v>
      </c>
      <c r="Q24" s="228">
        <f t="shared" ref="Q24:R24" si="17">SUM(Q25:Q27)</f>
        <v>0</v>
      </c>
      <c r="R24" s="228">
        <f t="shared" si="17"/>
        <v>0</v>
      </c>
      <c r="S24" s="338"/>
      <c r="T24" s="338"/>
      <c r="V24" s="220">
        <f t="shared" si="0"/>
        <v>0</v>
      </c>
      <c r="W24" s="220">
        <f t="shared" si="1"/>
        <v>0</v>
      </c>
      <c r="X24" s="220">
        <f t="shared" si="2"/>
        <v>0</v>
      </c>
    </row>
    <row r="25" spans="1:24" ht="12" customHeight="1" x14ac:dyDescent="0.25">
      <c r="A25" s="852"/>
      <c r="B25" s="37"/>
      <c r="C25" s="47"/>
      <c r="D25" s="48"/>
      <c r="E25" s="40" t="s">
        <v>149</v>
      </c>
      <c r="F25" s="13"/>
      <c r="G25" s="11"/>
      <c r="H25" s="30"/>
      <c r="I25" s="30"/>
      <c r="J25" s="221">
        <f>'1.3.Historical BS'!O25</f>
        <v>0</v>
      </c>
      <c r="K25" s="221">
        <f>'1.3.Historical BS'!P25</f>
        <v>0</v>
      </c>
      <c r="L25" s="221">
        <f>'1.3.Historical BS'!Q25</f>
        <v>0</v>
      </c>
      <c r="M25" s="502">
        <f t="shared" ref="M25:P27" si="18">L25</f>
        <v>0</v>
      </c>
      <c r="N25" s="502">
        <f t="shared" si="18"/>
        <v>0</v>
      </c>
      <c r="O25" s="502">
        <f t="shared" si="18"/>
        <v>0</v>
      </c>
      <c r="P25" s="502">
        <f t="shared" si="18"/>
        <v>0</v>
      </c>
      <c r="Q25" s="502">
        <f t="shared" ref="Q25:Q27" si="19">P25</f>
        <v>0</v>
      </c>
      <c r="R25" s="502">
        <f t="shared" ref="R25:R27" si="20">Q25</f>
        <v>0</v>
      </c>
      <c r="S25" s="338"/>
      <c r="T25" s="338"/>
      <c r="V25" s="220">
        <f t="shared" si="0"/>
        <v>0</v>
      </c>
      <c r="W25" s="220">
        <f t="shared" si="1"/>
        <v>0</v>
      </c>
      <c r="X25" s="220">
        <f t="shared" si="2"/>
        <v>0</v>
      </c>
    </row>
    <row r="26" spans="1:24" ht="12" customHeight="1" x14ac:dyDescent="0.25">
      <c r="A26" s="852"/>
      <c r="B26" s="37"/>
      <c r="C26" s="47"/>
      <c r="D26" s="48"/>
      <c r="E26" s="40" t="s">
        <v>148</v>
      </c>
      <c r="F26" s="13"/>
      <c r="G26" s="11"/>
      <c r="H26" s="30"/>
      <c r="I26" s="30"/>
      <c r="J26" s="221">
        <f>'1.3.Historical BS'!O26</f>
        <v>0</v>
      </c>
      <c r="K26" s="221">
        <f>'1.3.Historical BS'!P26</f>
        <v>0</v>
      </c>
      <c r="L26" s="221">
        <f>'1.3.Historical BS'!Q26</f>
        <v>0</v>
      </c>
      <c r="M26" s="502">
        <f t="shared" si="18"/>
        <v>0</v>
      </c>
      <c r="N26" s="502">
        <f t="shared" ref="N26:P27" si="21">M26</f>
        <v>0</v>
      </c>
      <c r="O26" s="502">
        <f t="shared" si="21"/>
        <v>0</v>
      </c>
      <c r="P26" s="502">
        <f t="shared" si="21"/>
        <v>0</v>
      </c>
      <c r="Q26" s="502">
        <f t="shared" si="19"/>
        <v>0</v>
      </c>
      <c r="R26" s="502">
        <f t="shared" si="20"/>
        <v>0</v>
      </c>
      <c r="S26" s="338"/>
      <c r="T26" s="338"/>
      <c r="V26" s="220">
        <f t="shared" si="0"/>
        <v>0</v>
      </c>
      <c r="W26" s="220">
        <f t="shared" si="1"/>
        <v>0</v>
      </c>
      <c r="X26" s="220">
        <f t="shared" si="2"/>
        <v>0</v>
      </c>
    </row>
    <row r="27" spans="1:24" ht="12" customHeight="1" x14ac:dyDescent="0.25">
      <c r="A27" s="852"/>
      <c r="B27" s="37"/>
      <c r="C27" s="47"/>
      <c r="D27" s="43"/>
      <c r="E27" s="40" t="s">
        <v>150</v>
      </c>
      <c r="F27" s="13"/>
      <c r="G27" s="11"/>
      <c r="H27" s="30"/>
      <c r="I27" s="30"/>
      <c r="J27" s="221">
        <f>'1.3.Historical BS'!O27</f>
        <v>0</v>
      </c>
      <c r="K27" s="221">
        <f>'1.3.Historical BS'!P27</f>
        <v>0</v>
      </c>
      <c r="L27" s="221">
        <f>'1.3.Historical BS'!Q27</f>
        <v>0</v>
      </c>
      <c r="M27" s="502">
        <f t="shared" si="18"/>
        <v>0</v>
      </c>
      <c r="N27" s="502">
        <f t="shared" si="21"/>
        <v>0</v>
      </c>
      <c r="O27" s="502">
        <f t="shared" si="21"/>
        <v>0</v>
      </c>
      <c r="P27" s="502">
        <f t="shared" si="21"/>
        <v>0</v>
      </c>
      <c r="Q27" s="502">
        <f t="shared" si="19"/>
        <v>0</v>
      </c>
      <c r="R27" s="502">
        <f t="shared" si="20"/>
        <v>0</v>
      </c>
      <c r="S27" s="338"/>
      <c r="T27" s="338"/>
      <c r="V27" s="220">
        <f t="shared" si="0"/>
        <v>0</v>
      </c>
      <c r="W27" s="220">
        <f t="shared" si="1"/>
        <v>0</v>
      </c>
      <c r="X27" s="220">
        <f t="shared" si="2"/>
        <v>0</v>
      </c>
    </row>
    <row r="28" spans="1:24" ht="12" customHeight="1" x14ac:dyDescent="0.25">
      <c r="A28" s="39"/>
      <c r="B28" s="32"/>
      <c r="C28" s="49" t="str">
        <f>"Total "&amp;LOWER(C8)</f>
        <v>Total non-current assets</v>
      </c>
      <c r="D28" s="50"/>
      <c r="E28" s="50"/>
      <c r="F28" s="50"/>
      <c r="G28" s="50"/>
      <c r="H28" s="51"/>
      <c r="I28" s="52"/>
      <c r="J28" s="227">
        <f t="shared" ref="J28:R28" si="22">J9+J13+J24</f>
        <v>180.26861112946202</v>
      </c>
      <c r="K28" s="227">
        <f t="shared" si="22"/>
        <v>119.77430092066017</v>
      </c>
      <c r="L28" s="227">
        <f t="shared" si="22"/>
        <v>83.59494628958592</v>
      </c>
      <c r="M28" s="227">
        <f t="shared" ca="1" si="22"/>
        <v>48.83738716524789</v>
      </c>
      <c r="N28" s="227">
        <f t="shared" ca="1" si="22"/>
        <v>34.655708858596981</v>
      </c>
      <c r="O28" s="227">
        <f t="shared" ca="1" si="22"/>
        <v>32.166515778119923</v>
      </c>
      <c r="P28" s="227">
        <f t="shared" ca="1" si="22"/>
        <v>31.651292827652533</v>
      </c>
      <c r="Q28" s="227">
        <f t="shared" ca="1" si="22"/>
        <v>31.527923320829711</v>
      </c>
      <c r="R28" s="227">
        <f t="shared" ca="1" si="22"/>
        <v>31.527923320829711</v>
      </c>
      <c r="S28" s="338"/>
      <c r="T28" s="338"/>
      <c r="V28" s="220">
        <f t="shared" si="0"/>
        <v>-0.31902690228721342</v>
      </c>
      <c r="W28" s="220">
        <f t="shared" ca="1" si="1"/>
        <v>-0.4157854112847017</v>
      </c>
      <c r="X28" s="220">
        <f t="shared" ca="1" si="2"/>
        <v>-0.13460773116095814</v>
      </c>
    </row>
    <row r="29" spans="1:24" ht="12" customHeight="1" x14ac:dyDescent="0.25">
      <c r="A29" s="39"/>
      <c r="B29" s="25">
        <f ca="1">MAX($A$1:B28)+0.1</f>
        <v>1.2000000000000002</v>
      </c>
      <c r="C29" s="26" t="s">
        <v>71</v>
      </c>
      <c r="E29" s="27"/>
      <c r="F29" s="28"/>
      <c r="G29" s="29"/>
      <c r="H29" s="30"/>
      <c r="I29" s="29"/>
      <c r="J29" s="108"/>
      <c r="K29" s="108"/>
      <c r="L29" s="108"/>
      <c r="M29" s="108"/>
      <c r="N29" s="108"/>
      <c r="O29" s="108"/>
      <c r="P29" s="108"/>
      <c r="Q29" s="108"/>
      <c r="R29" s="108"/>
      <c r="S29" s="338"/>
      <c r="T29" s="338"/>
      <c r="V29" s="220">
        <f t="shared" si="0"/>
        <v>0</v>
      </c>
      <c r="W29" s="220">
        <f t="shared" si="1"/>
        <v>0</v>
      </c>
      <c r="X29" s="220">
        <f t="shared" si="2"/>
        <v>0</v>
      </c>
    </row>
    <row r="30" spans="1:24" ht="12" customHeight="1" x14ac:dyDescent="0.25">
      <c r="A30" s="845"/>
      <c r="B30" s="25"/>
      <c r="C30" s="26"/>
      <c r="D30" s="9" t="s">
        <v>109</v>
      </c>
      <c r="E30" s="28"/>
      <c r="F30" s="28"/>
      <c r="H30" s="29"/>
      <c r="I30" s="29"/>
      <c r="J30" s="36">
        <f>'1.3.Historical BS'!O30</f>
        <v>1336.6398449714827</v>
      </c>
      <c r="K30" s="36">
        <f>'1.3.Historical BS'!P30</f>
        <v>1324.025630405391</v>
      </c>
      <c r="L30" s="36">
        <f>'1.3.Historical BS'!Q30</f>
        <v>1801.7587341066494</v>
      </c>
      <c r="M30" s="36">
        <f>SUM(M31:M33)</f>
        <v>2628.146953517381</v>
      </c>
      <c r="N30" s="36">
        <f>SUM(N31:N33)</f>
        <v>2752.0145353429962</v>
      </c>
      <c r="O30" s="36">
        <f t="shared" ref="O30:R30" si="23">SUM(O31:O33)</f>
        <v>2897.5320162529129</v>
      </c>
      <c r="P30" s="36">
        <f t="shared" si="23"/>
        <v>3042.4086170655587</v>
      </c>
      <c r="Q30" s="36">
        <f t="shared" si="23"/>
        <v>3194.5290479188366</v>
      </c>
      <c r="R30" s="36">
        <f t="shared" si="23"/>
        <v>3345.090867800257</v>
      </c>
      <c r="S30" s="338"/>
      <c r="T30" s="338"/>
      <c r="V30" s="220">
        <f t="shared" si="0"/>
        <v>0.16102378367969039</v>
      </c>
      <c r="W30" s="220">
        <f t="shared" si="1"/>
        <v>0.45865642484062796</v>
      </c>
      <c r="X30" s="220">
        <f t="shared" si="2"/>
        <v>5.0000000000000044E-2</v>
      </c>
    </row>
    <row r="31" spans="1:24" ht="12" customHeight="1" x14ac:dyDescent="0.25">
      <c r="A31" s="845"/>
      <c r="B31" s="25"/>
      <c r="C31" s="26"/>
      <c r="D31" s="40" t="s">
        <v>1191</v>
      </c>
      <c r="F31" s="28"/>
      <c r="H31" s="29"/>
      <c r="I31" s="29"/>
      <c r="J31" s="221">
        <f>'1.3.Historical BS'!O31</f>
        <v>830.17515800136528</v>
      </c>
      <c r="K31" s="221">
        <f>'1.3.Historical BS'!P31</f>
        <v>880.10040560551101</v>
      </c>
      <c r="L31" s="221">
        <f>'1.3.Historical BS'!Q31</f>
        <v>818.26755076223765</v>
      </c>
      <c r="M31" s="221">
        <f>'2.3. Working Capital'!M302</f>
        <v>1497.6596951428053</v>
      </c>
      <c r="N31" s="221">
        <f>'2.3. Working Capital'!N302</f>
        <v>1568.2461152007656</v>
      </c>
      <c r="O31" s="221">
        <f>'2.3. Working Capital'!O302</f>
        <v>1651.169813894943</v>
      </c>
      <c r="P31" s="221">
        <f>'2.3. Working Capital'!P302</f>
        <v>1733.7283045896902</v>
      </c>
      <c r="Q31" s="221">
        <f>'2.3. Working Capital'!Q302</f>
        <v>1820.4147198191749</v>
      </c>
      <c r="R31" s="221">
        <f>'2.3. Working Capital'!R302</f>
        <v>1906.2129545647506</v>
      </c>
      <c r="S31" s="338"/>
      <c r="T31" s="338"/>
      <c r="V31" s="220">
        <f t="shared" si="0"/>
        <v>-7.1976469538933552E-3</v>
      </c>
      <c r="W31" s="220">
        <f t="shared" si="1"/>
        <v>0.83028117606239671</v>
      </c>
      <c r="X31" s="220">
        <f t="shared" si="2"/>
        <v>5.0000000000000044E-2</v>
      </c>
    </row>
    <row r="32" spans="1:24" ht="12" customHeight="1" x14ac:dyDescent="0.25">
      <c r="A32" s="845"/>
      <c r="B32" s="25"/>
      <c r="C32" s="26"/>
      <c r="D32" s="40" t="s">
        <v>280</v>
      </c>
      <c r="F32" s="28"/>
      <c r="H32" s="29"/>
      <c r="I32" s="29"/>
      <c r="J32" s="221">
        <f>'1.3.Historical BS'!O32</f>
        <v>380.07874303582832</v>
      </c>
      <c r="K32" s="221">
        <f>'1.3.Historical BS'!P32</f>
        <v>273.7363456874906</v>
      </c>
      <c r="L32" s="221">
        <f>'1.3.Historical BS'!Q32</f>
        <v>790.14065481678426</v>
      </c>
      <c r="M32" s="221">
        <f>'2.3. Working Capital'!M303</f>
        <v>852.68340417454704</v>
      </c>
      <c r="N32" s="221">
        <f>'2.3. Working Capital'!N303</f>
        <v>892.87135150244603</v>
      </c>
      <c r="O32" s="221">
        <f>'2.3. Working Capital'!O303</f>
        <v>940.08345310243817</v>
      </c>
      <c r="P32" s="221">
        <f>'2.3. Working Capital'!P303</f>
        <v>987.0876257575602</v>
      </c>
      <c r="Q32" s="221">
        <f>'2.3. Working Capital'!Q303</f>
        <v>1036.4420070454382</v>
      </c>
      <c r="R32" s="221">
        <f>'2.3. Working Capital'!R303</f>
        <v>1085.2907081971698</v>
      </c>
      <c r="S32" s="338"/>
      <c r="T32" s="338"/>
      <c r="V32" s="220">
        <f t="shared" si="0"/>
        <v>0.4418345012012439</v>
      </c>
      <c r="W32" s="220">
        <f t="shared" si="1"/>
        <v>7.915394427118172E-2</v>
      </c>
      <c r="X32" s="220">
        <f t="shared" si="2"/>
        <v>5.0000000000000044E-2</v>
      </c>
    </row>
    <row r="33" spans="1:24" ht="12" customHeight="1" x14ac:dyDescent="0.25">
      <c r="A33" s="845"/>
      <c r="B33" s="25"/>
      <c r="C33" s="26"/>
      <c r="D33" s="40" t="s">
        <v>281</v>
      </c>
      <c r="F33" s="28"/>
      <c r="H33" s="29"/>
      <c r="I33" s="29"/>
      <c r="J33" s="221">
        <f>'1.3.Historical BS'!O33</f>
        <v>126.38594393428903</v>
      </c>
      <c r="K33" s="221">
        <f>'1.3.Historical BS'!P33</f>
        <v>170.18887911238923</v>
      </c>
      <c r="L33" s="221">
        <f>'1.3.Historical BS'!Q33</f>
        <v>193.35052852762712</v>
      </c>
      <c r="M33" s="221">
        <f>'2.3. Working Capital'!M304</f>
        <v>277.80385420002875</v>
      </c>
      <c r="N33" s="221">
        <f>'2.3. Working Capital'!N304</f>
        <v>290.89706863978427</v>
      </c>
      <c r="O33" s="221">
        <f>'2.3. Working Capital'!O304</f>
        <v>306.27874925553169</v>
      </c>
      <c r="P33" s="221">
        <f>'2.3. Working Capital'!P304</f>
        <v>321.59268671830836</v>
      </c>
      <c r="Q33" s="221">
        <f>'2.3. Working Capital'!Q304</f>
        <v>337.67232105422374</v>
      </c>
      <c r="R33" s="221">
        <f>'2.3. Working Capital'!R304</f>
        <v>353.58720503833678</v>
      </c>
      <c r="S33" s="338"/>
      <c r="T33" s="338"/>
      <c r="V33" s="220">
        <f t="shared" si="0"/>
        <v>0.23686782883623603</v>
      </c>
      <c r="W33" s="220">
        <f t="shared" si="1"/>
        <v>0.43678869830621858</v>
      </c>
      <c r="X33" s="220">
        <f t="shared" si="2"/>
        <v>5.0000000000000044E-2</v>
      </c>
    </row>
    <row r="34" spans="1:24" ht="12" customHeight="1" x14ac:dyDescent="0.25">
      <c r="A34" s="845"/>
      <c r="B34" s="25"/>
      <c r="C34" s="53"/>
      <c r="D34" s="9" t="s">
        <v>232</v>
      </c>
      <c r="E34" s="28"/>
      <c r="F34" s="28"/>
      <c r="H34" s="29"/>
      <c r="I34" s="29"/>
      <c r="J34" s="36">
        <f>'1.3.Historical BS'!O34</f>
        <v>1315.0645526414303</v>
      </c>
      <c r="K34" s="36">
        <f>'1.3.Historical BS'!P34</f>
        <v>2094.181704830783</v>
      </c>
      <c r="L34" s="36">
        <f>'1.3.Historical BS'!Q34</f>
        <v>1181.2725251399042</v>
      </c>
      <c r="M34" s="36">
        <f>'2.3. Working Capital'!M305</f>
        <v>2519.2859041075876</v>
      </c>
      <c r="N34" s="36">
        <f ca="1">'2.3. Working Capital'!N305</f>
        <v>2638.022739752003</v>
      </c>
      <c r="O34" s="36">
        <f ca="1">'2.3. Working Capital'!O305</f>
        <v>2777.5127092786151</v>
      </c>
      <c r="P34" s="36">
        <f ca="1">'2.3. Working Capital'!P305</f>
        <v>2916.388344742546</v>
      </c>
      <c r="Q34" s="36">
        <f ca="1">'2.3. Working Capital'!Q305</f>
        <v>3062.2077619796737</v>
      </c>
      <c r="R34" s="36">
        <f ca="1">'2.3. Working Capital'!R305</f>
        <v>3206.5331278106828</v>
      </c>
      <c r="S34" s="338"/>
      <c r="T34" s="338"/>
      <c r="V34" s="220">
        <f t="shared" si="0"/>
        <v>-5.2233147039815186E-2</v>
      </c>
      <c r="W34" s="220">
        <f t="shared" si="1"/>
        <v>1.1326881396900479</v>
      </c>
      <c r="X34" s="220">
        <f t="shared" ca="1" si="2"/>
        <v>5.0000000000000044E-2</v>
      </c>
    </row>
    <row r="35" spans="1:24" ht="12" customHeight="1" x14ac:dyDescent="0.25">
      <c r="A35" s="845"/>
      <c r="B35" s="25"/>
      <c r="C35" s="26"/>
      <c r="D35" s="9" t="s">
        <v>143</v>
      </c>
      <c r="E35" s="28"/>
      <c r="F35" s="28"/>
      <c r="H35" s="29"/>
      <c r="I35" s="29"/>
      <c r="J35" s="36">
        <f>'1.3.Historical BS'!O35</f>
        <v>73.341375437669285</v>
      </c>
      <c r="K35" s="36">
        <f>'1.3.Historical BS'!P35</f>
        <v>317.8685644998605</v>
      </c>
      <c r="L35" s="36">
        <f>'1.3.Historical BS'!Q35</f>
        <v>-15.974013164947786</v>
      </c>
      <c r="M35" s="36">
        <f>'2.3. Working Capital'!M306</f>
        <v>180.14829337204424</v>
      </c>
      <c r="N35" s="36">
        <f ca="1">'2.3. Working Capital'!N306</f>
        <v>188.63888916621846</v>
      </c>
      <c r="O35" s="36">
        <f ca="1">'2.3. Working Capital'!O306</f>
        <v>198.61349344267876</v>
      </c>
      <c r="P35" s="36">
        <f ca="1">'2.3. Working Capital'!P306</f>
        <v>208.54416811481269</v>
      </c>
      <c r="Q35" s="36">
        <f ca="1">'2.3. Working Capital'!Q306</f>
        <v>218.97137652055335</v>
      </c>
      <c r="R35" s="36">
        <f ca="1">'2.3. Working Capital'!R306</f>
        <v>229.29174877459582</v>
      </c>
      <c r="S35" s="338"/>
      <c r="T35" s="338"/>
      <c r="V35" s="220">
        <f t="shared" si="0"/>
        <v>0</v>
      </c>
      <c r="W35" s="220">
        <f t="shared" si="1"/>
        <v>-12.277585132291524</v>
      </c>
      <c r="X35" s="220">
        <f t="shared" ca="1" si="2"/>
        <v>5.0000000000000044E-2</v>
      </c>
    </row>
    <row r="36" spans="1:24" ht="12" customHeight="1" x14ac:dyDescent="0.25">
      <c r="A36" s="845"/>
      <c r="B36" s="25"/>
      <c r="C36" s="26"/>
      <c r="D36" s="9" t="s">
        <v>151</v>
      </c>
      <c r="E36" s="28"/>
      <c r="F36" s="28"/>
      <c r="H36" s="29"/>
      <c r="I36" s="29"/>
      <c r="J36" s="36">
        <f>'1.3.Historical BS'!O36</f>
        <v>0</v>
      </c>
      <c r="K36" s="36">
        <f>'1.3.Historical BS'!P36</f>
        <v>0</v>
      </c>
      <c r="L36" s="36">
        <f>'1.3.Historical BS'!Q36</f>
        <v>0</v>
      </c>
      <c r="M36" s="36">
        <f>'2.3. Working Capital'!M307</f>
        <v>0</v>
      </c>
      <c r="N36" s="36">
        <f ca="1">'2.3. Working Capital'!N307</f>
        <v>0</v>
      </c>
      <c r="O36" s="36">
        <f ca="1">'2.3. Working Capital'!O307</f>
        <v>0</v>
      </c>
      <c r="P36" s="36">
        <f ca="1">'2.3. Working Capital'!P307</f>
        <v>0</v>
      </c>
      <c r="Q36" s="36">
        <f ca="1">'2.3. Working Capital'!Q307</f>
        <v>0</v>
      </c>
      <c r="R36" s="36">
        <f ca="1">'2.3. Working Capital'!R307</f>
        <v>0</v>
      </c>
      <c r="S36" s="338"/>
      <c r="T36" s="338"/>
      <c r="V36" s="220">
        <f t="shared" si="0"/>
        <v>0</v>
      </c>
      <c r="W36" s="220">
        <f t="shared" si="1"/>
        <v>0</v>
      </c>
      <c r="X36" s="220">
        <f t="shared" ca="1" si="2"/>
        <v>0</v>
      </c>
    </row>
    <row r="37" spans="1:24" ht="12" customHeight="1" x14ac:dyDescent="0.25">
      <c r="A37" s="845"/>
      <c r="B37" s="25"/>
      <c r="C37" s="26"/>
      <c r="D37" s="9" t="s">
        <v>152</v>
      </c>
      <c r="E37" s="28"/>
      <c r="F37" s="28"/>
      <c r="H37" s="29"/>
      <c r="I37" s="29"/>
      <c r="J37" s="36">
        <f>'1.3.Historical BS'!O37</f>
        <v>224.25346281737905</v>
      </c>
      <c r="K37" s="36">
        <f>'1.3.Historical BS'!P37</f>
        <v>713.12222675279531</v>
      </c>
      <c r="L37" s="36">
        <f>'1.3.Historical BS'!Q37</f>
        <v>386.49156285512123</v>
      </c>
      <c r="M37" s="36">
        <f>'2.3. Working Capital'!M308</f>
        <v>672.26699645175506</v>
      </c>
      <c r="N37" s="36">
        <f ca="1">'2.3. Working Capital'!N308</f>
        <v>703.95171144845665</v>
      </c>
      <c r="O37" s="36">
        <f ca="1">'2.3. Working Capital'!O308</f>
        <v>741.17436358805992</v>
      </c>
      <c r="P37" s="36">
        <f ca="1">'2.3. Working Capital'!P308</f>
        <v>778.23308176746298</v>
      </c>
      <c r="Q37" s="36">
        <f ca="1">'2.3. Working Capital'!Q308</f>
        <v>817.14473585583619</v>
      </c>
      <c r="R37" s="36">
        <f ca="1">'2.3. Working Capital'!R308</f>
        <v>855.6577049637956</v>
      </c>
      <c r="S37" s="338"/>
      <c r="T37" s="338"/>
      <c r="V37" s="220">
        <f t="shared" si="0"/>
        <v>0.31280562798462164</v>
      </c>
      <c r="W37" s="220">
        <f t="shared" si="1"/>
        <v>0.73940924217214676</v>
      </c>
      <c r="X37" s="220">
        <f t="shared" ca="1" si="2"/>
        <v>5.0000000000000044E-2</v>
      </c>
    </row>
    <row r="38" spans="1:24" ht="12" customHeight="1" x14ac:dyDescent="0.25">
      <c r="A38" s="845"/>
      <c r="B38" s="25"/>
      <c r="C38" s="26"/>
      <c r="D38" s="9" t="s">
        <v>113</v>
      </c>
      <c r="E38" s="28"/>
      <c r="F38" s="28"/>
      <c r="H38" s="29"/>
      <c r="I38" s="29"/>
      <c r="J38" s="36">
        <f>'1.3.Historical BS'!O38</f>
        <v>0</v>
      </c>
      <c r="K38" s="36">
        <f>'1.3.Historical BS'!P38</f>
        <v>0</v>
      </c>
      <c r="L38" s="36">
        <f>'1.3.Historical BS'!Q38</f>
        <v>0</v>
      </c>
      <c r="M38" s="36">
        <f>'2.3. Working Capital'!M309</f>
        <v>0</v>
      </c>
      <c r="N38" s="36">
        <f ca="1">'2.3. Working Capital'!N309</f>
        <v>0</v>
      </c>
      <c r="O38" s="36">
        <f ca="1">'2.3. Working Capital'!O309</f>
        <v>0</v>
      </c>
      <c r="P38" s="36">
        <f ca="1">'2.3. Working Capital'!P309</f>
        <v>0</v>
      </c>
      <c r="Q38" s="36">
        <f ca="1">'2.3. Working Capital'!Q309</f>
        <v>0</v>
      </c>
      <c r="R38" s="36">
        <f ca="1">'2.3. Working Capital'!R309</f>
        <v>0</v>
      </c>
      <c r="S38" s="338"/>
      <c r="T38" s="338"/>
      <c r="V38" s="220">
        <f t="shared" si="0"/>
        <v>0</v>
      </c>
      <c r="W38" s="220">
        <f t="shared" si="1"/>
        <v>0</v>
      </c>
      <c r="X38" s="220">
        <f t="shared" ca="1" si="2"/>
        <v>0</v>
      </c>
    </row>
    <row r="39" spans="1:24" ht="12" customHeight="1" x14ac:dyDescent="0.25">
      <c r="A39" s="845"/>
      <c r="B39" s="25"/>
      <c r="C39" s="26"/>
      <c r="D39" s="9" t="s">
        <v>41</v>
      </c>
      <c r="E39" s="28"/>
      <c r="F39" s="28"/>
      <c r="H39" s="29"/>
      <c r="I39" s="29"/>
      <c r="J39" s="36">
        <f>'1.3.Historical BS'!O39</f>
        <v>476.97958864592289</v>
      </c>
      <c r="K39" s="36">
        <f>'1.3.Historical BS'!P39</f>
        <v>1115.3888254608667</v>
      </c>
      <c r="L39" s="36">
        <f>'1.3.Historical BS'!Q39</f>
        <v>1409.0683505220952</v>
      </c>
      <c r="M39" s="36">
        <f ca="1">'3.2. Cash Flow'!M45</f>
        <v>1419.3636002193971</v>
      </c>
      <c r="N39" s="36">
        <f ca="1">'3.2. Cash Flow'!N45</f>
        <v>1702.969858507156</v>
      </c>
      <c r="O39" s="36">
        <f ca="1">'3.2. Cash Flow'!O45</f>
        <v>2381.4340852068431</v>
      </c>
      <c r="P39" s="36">
        <f ca="1">'3.2. Cash Flow'!P45</f>
        <v>3039.7447724879676</v>
      </c>
      <c r="Q39" s="36">
        <f ca="1">'3.2. Cash Flow'!Q45</f>
        <v>3788.7092529106762</v>
      </c>
      <c r="R39" s="36">
        <f ca="1">'3.2. Cash Flow'!R45</f>
        <v>4577.9537615030385</v>
      </c>
      <c r="S39" s="338"/>
      <c r="T39" s="338"/>
      <c r="V39" s="220">
        <f t="shared" si="0"/>
        <v>0.71876354116879559</v>
      </c>
      <c r="W39" s="220">
        <f t="shared" ca="1" si="1"/>
        <v>7.3064232075663593E-3</v>
      </c>
      <c r="X39" s="220">
        <f t="shared" ca="1" si="2"/>
        <v>0.28898486779086974</v>
      </c>
    </row>
    <row r="40" spans="1:24" ht="12" customHeight="1" x14ac:dyDescent="0.25">
      <c r="A40" s="845"/>
      <c r="B40" s="32"/>
      <c r="C40" s="49" t="str">
        <f>"Total "&amp;LOWER(C29)</f>
        <v>Total current assets</v>
      </c>
      <c r="D40" s="50"/>
      <c r="E40" s="50"/>
      <c r="F40" s="50"/>
      <c r="G40" s="50"/>
      <c r="H40" s="51"/>
      <c r="I40" s="52"/>
      <c r="J40" s="227">
        <f>SUM(J31:J39)</f>
        <v>3426.278824513884</v>
      </c>
      <c r="K40" s="227">
        <f t="shared" ref="K40:R40" si="24">SUM(K31:K39)</f>
        <v>5564.5869519496964</v>
      </c>
      <c r="L40" s="227">
        <f t="shared" si="24"/>
        <v>4762.6171594588222</v>
      </c>
      <c r="M40" s="227">
        <f t="shared" ca="1" si="24"/>
        <v>7419.2117476681651</v>
      </c>
      <c r="N40" s="227">
        <f t="shared" ca="1" si="24"/>
        <v>7985.5977342168298</v>
      </c>
      <c r="O40" s="227">
        <f t="shared" ca="1" si="24"/>
        <v>8996.2666677691104</v>
      </c>
      <c r="P40" s="227">
        <f t="shared" ca="1" si="24"/>
        <v>9985.3189841783478</v>
      </c>
      <c r="Q40" s="227">
        <f t="shared" ca="1" si="24"/>
        <v>11081.562175185576</v>
      </c>
      <c r="R40" s="227">
        <f t="shared" ca="1" si="24"/>
        <v>12214.527210852371</v>
      </c>
      <c r="S40" s="338"/>
      <c r="T40" s="338"/>
      <c r="V40" s="220">
        <f t="shared" si="0"/>
        <v>0.17899370180207441</v>
      </c>
      <c r="W40" s="220">
        <f t="shared" ca="1" si="1"/>
        <v>0.55780141448766218</v>
      </c>
      <c r="X40" s="220">
        <f t="shared" ca="1" si="2"/>
        <v>0.10408215944778032</v>
      </c>
    </row>
    <row r="41" spans="1:24" ht="12" customHeight="1" x14ac:dyDescent="0.25">
      <c r="A41" s="845"/>
      <c r="B41" s="32"/>
      <c r="C41" s="49" t="s">
        <v>70</v>
      </c>
      <c r="D41" s="50"/>
      <c r="E41" s="50"/>
      <c r="F41" s="50"/>
      <c r="G41" s="50"/>
      <c r="H41" s="51"/>
      <c r="I41" s="52"/>
      <c r="J41" s="227">
        <f>J28+J40</f>
        <v>3606.547435643346</v>
      </c>
      <c r="K41" s="227">
        <f>K28+K40</f>
        <v>5684.361252870357</v>
      </c>
      <c r="L41" s="227">
        <f>L28+L40</f>
        <v>4846.2121057484082</v>
      </c>
      <c r="M41" s="227">
        <f ca="1">M28+M40</f>
        <v>7468.0491348334126</v>
      </c>
      <c r="N41" s="227">
        <f t="shared" ref="N41:P41" ca="1" si="25">N28+N40</f>
        <v>8020.2534430754267</v>
      </c>
      <c r="O41" s="227">
        <f t="shared" ca="1" si="25"/>
        <v>9028.4331835472312</v>
      </c>
      <c r="P41" s="227">
        <f t="shared" ca="1" si="25"/>
        <v>10016.970277006001</v>
      </c>
      <c r="Q41" s="227">
        <f t="shared" ref="Q41:R41" ca="1" si="26">Q28+Q40</f>
        <v>11113.090098506405</v>
      </c>
      <c r="R41" s="227">
        <f t="shared" ca="1" si="26"/>
        <v>12246.055134173201</v>
      </c>
      <c r="S41" s="338"/>
      <c r="T41" s="338"/>
      <c r="V41" s="220">
        <f t="shared" si="0"/>
        <v>0.15919202527371712</v>
      </c>
      <c r="W41" s="220">
        <f t="shared" ca="1" si="1"/>
        <v>0.54100748623343842</v>
      </c>
      <c r="X41" s="220">
        <f t="shared" ca="1" si="2"/>
        <v>0.10283296569418621</v>
      </c>
    </row>
    <row r="42" spans="1:24" ht="12" customHeight="1" x14ac:dyDescent="0.25">
      <c r="A42" s="39"/>
      <c r="B42" s="25"/>
      <c r="C42" s="27"/>
      <c r="E42" s="27"/>
      <c r="F42" s="28"/>
      <c r="G42" s="29"/>
      <c r="H42" s="30"/>
      <c r="I42" s="29"/>
      <c r="J42" s="108"/>
      <c r="K42" s="108"/>
      <c r="L42" s="108"/>
      <c r="M42" s="108"/>
      <c r="N42" s="108"/>
      <c r="O42" s="108"/>
      <c r="P42" s="108"/>
      <c r="Q42" s="108"/>
      <c r="R42" s="108"/>
      <c r="S42" s="338"/>
      <c r="T42" s="338"/>
      <c r="V42" s="220">
        <f t="shared" si="0"/>
        <v>0</v>
      </c>
      <c r="W42" s="220">
        <f t="shared" si="1"/>
        <v>0</v>
      </c>
      <c r="X42" s="220">
        <f t="shared" si="2"/>
        <v>0</v>
      </c>
    </row>
    <row r="43" spans="1:24" ht="12" customHeight="1" x14ac:dyDescent="0.25">
      <c r="A43" s="39"/>
      <c r="B43" s="25">
        <f ca="1">MAX($A$1:B42)+0.1</f>
        <v>1.3000000000000003</v>
      </c>
      <c r="C43" s="26" t="s">
        <v>69</v>
      </c>
      <c r="E43" s="27"/>
      <c r="F43" s="28"/>
      <c r="G43" s="29"/>
      <c r="H43" s="30"/>
      <c r="I43" s="29"/>
      <c r="J43" s="108"/>
      <c r="K43" s="108"/>
      <c r="L43" s="108"/>
      <c r="M43" s="108"/>
      <c r="N43" s="108"/>
      <c r="O43" s="108"/>
      <c r="P43" s="108"/>
      <c r="Q43" s="108"/>
      <c r="R43" s="108"/>
      <c r="S43" s="338"/>
      <c r="T43" s="338"/>
      <c r="V43" s="220">
        <f t="shared" si="0"/>
        <v>0</v>
      </c>
      <c r="W43" s="220">
        <f t="shared" si="1"/>
        <v>0</v>
      </c>
      <c r="X43" s="220">
        <f t="shared" si="2"/>
        <v>0</v>
      </c>
    </row>
    <row r="44" spans="1:24" ht="12" customHeight="1" x14ac:dyDescent="0.25">
      <c r="A44" s="845"/>
      <c r="B44" s="25"/>
      <c r="C44" s="26"/>
      <c r="D44" s="9" t="s">
        <v>51</v>
      </c>
      <c r="E44" s="27"/>
      <c r="F44" s="28"/>
      <c r="H44" s="30"/>
      <c r="I44" s="29"/>
      <c r="J44" s="36">
        <f>'1.3.Historical BS'!O44</f>
        <v>44.042192420338687</v>
      </c>
      <c r="K44" s="36">
        <f>'1.3.Historical BS'!P44</f>
        <v>42.921218104169796</v>
      </c>
      <c r="L44" s="36">
        <f>'1.3.Historical BS'!Q44</f>
        <v>42.882566092754992</v>
      </c>
      <c r="M44" s="325">
        <f t="shared" ref="M44:P44" si="27">L44</f>
        <v>42.882566092754992</v>
      </c>
      <c r="N44" s="325">
        <f t="shared" si="27"/>
        <v>42.882566092754992</v>
      </c>
      <c r="O44" s="325">
        <f t="shared" si="27"/>
        <v>42.882566092754992</v>
      </c>
      <c r="P44" s="325">
        <f t="shared" si="27"/>
        <v>42.882566092754992</v>
      </c>
      <c r="Q44" s="325">
        <f t="shared" ref="Q44:Q48" si="28">P44</f>
        <v>42.882566092754992</v>
      </c>
      <c r="R44" s="325">
        <f t="shared" ref="R44:R48" si="29">Q44</f>
        <v>42.882566092754992</v>
      </c>
      <c r="S44" s="338"/>
      <c r="T44" s="338"/>
      <c r="V44" s="220">
        <f t="shared" si="0"/>
        <v>-1.3252765689688695E-2</v>
      </c>
      <c r="W44" s="220">
        <f t="shared" si="1"/>
        <v>0</v>
      </c>
      <c r="X44" s="220">
        <f t="shared" si="2"/>
        <v>0</v>
      </c>
    </row>
    <row r="45" spans="1:24" ht="12" customHeight="1" x14ac:dyDescent="0.25">
      <c r="A45" s="845"/>
      <c r="B45" s="25"/>
      <c r="C45" s="26"/>
      <c r="D45" s="9" t="s">
        <v>50</v>
      </c>
      <c r="E45" s="27"/>
      <c r="F45" s="28"/>
      <c r="H45" s="30"/>
      <c r="I45" s="29"/>
      <c r="J45" s="36">
        <f>'1.3.Historical BS'!O45</f>
        <v>0</v>
      </c>
      <c r="K45" s="36">
        <f>'1.3.Historical BS'!P45</f>
        <v>0</v>
      </c>
      <c r="L45" s="36">
        <f>'1.3.Historical BS'!Q45</f>
        <v>0</v>
      </c>
      <c r="M45" s="325">
        <f t="shared" ref="M45:P45" si="30">L45</f>
        <v>0</v>
      </c>
      <c r="N45" s="325">
        <f t="shared" si="30"/>
        <v>0</v>
      </c>
      <c r="O45" s="325">
        <f t="shared" si="30"/>
        <v>0</v>
      </c>
      <c r="P45" s="325">
        <f t="shared" si="30"/>
        <v>0</v>
      </c>
      <c r="Q45" s="325">
        <f t="shared" si="28"/>
        <v>0</v>
      </c>
      <c r="R45" s="325">
        <f t="shared" si="29"/>
        <v>0</v>
      </c>
      <c r="S45" s="338"/>
      <c r="T45" s="338"/>
      <c r="V45" s="220">
        <f t="shared" si="0"/>
        <v>0</v>
      </c>
      <c r="W45" s="220">
        <f t="shared" si="1"/>
        <v>0</v>
      </c>
      <c r="X45" s="220">
        <f t="shared" si="2"/>
        <v>0</v>
      </c>
    </row>
    <row r="46" spans="1:24" ht="12" customHeight="1" x14ac:dyDescent="0.25">
      <c r="A46" s="845"/>
      <c r="B46" s="25"/>
      <c r="C46" s="26"/>
      <c r="D46" s="9" t="s">
        <v>49</v>
      </c>
      <c r="E46" s="27"/>
      <c r="F46" s="28"/>
      <c r="H46" s="35"/>
      <c r="I46" s="34"/>
      <c r="J46" s="36">
        <f>'1.3.Historical BS'!O46</f>
        <v>8.8084384840677359</v>
      </c>
      <c r="K46" s="36">
        <f>'1.3.Historical BS'!P46</f>
        <v>8.5842436208339592</v>
      </c>
      <c r="L46" s="36">
        <f>'1.3.Historical BS'!Q46</f>
        <v>8.576513218550998</v>
      </c>
      <c r="M46" s="325">
        <f t="shared" ref="M46:P46" si="31">L46</f>
        <v>8.576513218550998</v>
      </c>
      <c r="N46" s="325">
        <f t="shared" si="31"/>
        <v>8.576513218550998</v>
      </c>
      <c r="O46" s="325">
        <f t="shared" si="31"/>
        <v>8.576513218550998</v>
      </c>
      <c r="P46" s="325">
        <f t="shared" si="31"/>
        <v>8.576513218550998</v>
      </c>
      <c r="Q46" s="325">
        <f t="shared" si="28"/>
        <v>8.576513218550998</v>
      </c>
      <c r="R46" s="325">
        <f t="shared" si="29"/>
        <v>8.576513218550998</v>
      </c>
      <c r="S46" s="338"/>
      <c r="T46" s="338"/>
      <c r="V46" s="220">
        <f t="shared" si="0"/>
        <v>-1.3252765689688584E-2</v>
      </c>
      <c r="W46" s="220">
        <f t="shared" si="1"/>
        <v>0</v>
      </c>
      <c r="X46" s="220">
        <f t="shared" si="2"/>
        <v>0</v>
      </c>
    </row>
    <row r="47" spans="1:24" ht="12" customHeight="1" x14ac:dyDescent="0.25">
      <c r="A47" s="845"/>
      <c r="B47" s="25"/>
      <c r="C47" s="26"/>
      <c r="D47" s="9" t="s">
        <v>153</v>
      </c>
      <c r="E47" s="27"/>
      <c r="F47" s="28"/>
      <c r="H47" s="35"/>
      <c r="I47" s="34"/>
      <c r="J47" s="36">
        <f>'1.3.Historical BS'!O47</f>
        <v>0</v>
      </c>
      <c r="K47" s="36">
        <f>'1.3.Historical BS'!P47</f>
        <v>0</v>
      </c>
      <c r="L47" s="36">
        <f>'1.3.Historical BS'!Q47</f>
        <v>0</v>
      </c>
      <c r="M47" s="325">
        <f t="shared" ref="M47:P47" si="32">L47</f>
        <v>0</v>
      </c>
      <c r="N47" s="325">
        <f t="shared" si="32"/>
        <v>0</v>
      </c>
      <c r="O47" s="325">
        <f t="shared" si="32"/>
        <v>0</v>
      </c>
      <c r="P47" s="325">
        <f t="shared" si="32"/>
        <v>0</v>
      </c>
      <c r="Q47" s="325">
        <f t="shared" si="28"/>
        <v>0</v>
      </c>
      <c r="R47" s="325">
        <f t="shared" si="29"/>
        <v>0</v>
      </c>
      <c r="S47" s="338"/>
      <c r="T47" s="338"/>
      <c r="V47" s="220">
        <f t="shared" si="0"/>
        <v>0</v>
      </c>
      <c r="W47" s="220">
        <f t="shared" si="1"/>
        <v>0</v>
      </c>
      <c r="X47" s="220">
        <f t="shared" si="2"/>
        <v>0</v>
      </c>
    </row>
    <row r="48" spans="1:24" ht="12" customHeight="1" x14ac:dyDescent="0.25">
      <c r="A48" s="845"/>
      <c r="B48" s="25"/>
      <c r="C48" s="26"/>
      <c r="D48" s="9" t="s">
        <v>115</v>
      </c>
      <c r="E48" s="27"/>
      <c r="F48" s="28"/>
      <c r="H48" s="35"/>
      <c r="I48" s="34"/>
      <c r="J48" s="36">
        <f>'1.3.Historical BS'!O48</f>
        <v>122.31689238290281</v>
      </c>
      <c r="K48" s="36">
        <f>'1.3.Historical BS'!P48</f>
        <v>119.20364830353884</v>
      </c>
      <c r="L48" s="36">
        <f>'1.3.Historical BS'!Q48</f>
        <v>119.09630137867448</v>
      </c>
      <c r="M48" s="325">
        <f t="shared" ref="M48:P48" si="33">L48</f>
        <v>119.09630137867448</v>
      </c>
      <c r="N48" s="325">
        <f t="shared" si="33"/>
        <v>119.09630137867448</v>
      </c>
      <c r="O48" s="325">
        <f t="shared" si="33"/>
        <v>119.09630137867448</v>
      </c>
      <c r="P48" s="325">
        <f t="shared" si="33"/>
        <v>119.09630137867448</v>
      </c>
      <c r="Q48" s="325">
        <f t="shared" si="28"/>
        <v>119.09630137867448</v>
      </c>
      <c r="R48" s="325">
        <f t="shared" si="29"/>
        <v>119.09630137867448</v>
      </c>
      <c r="S48" s="338"/>
      <c r="T48" s="338"/>
      <c r="V48" s="220">
        <f t="shared" si="0"/>
        <v>-1.3252765689688695E-2</v>
      </c>
      <c r="W48" s="220">
        <f t="shared" si="1"/>
        <v>0</v>
      </c>
      <c r="X48" s="220">
        <f t="shared" si="2"/>
        <v>0</v>
      </c>
    </row>
    <row r="49" spans="1:24" ht="12" customHeight="1" x14ac:dyDescent="0.25">
      <c r="A49" s="845"/>
      <c r="B49" s="25"/>
      <c r="C49" s="26"/>
      <c r="D49" s="9" t="s">
        <v>48</v>
      </c>
      <c r="E49" s="27"/>
      <c r="F49" s="28"/>
      <c r="H49" s="35"/>
      <c r="I49" s="34"/>
      <c r="J49" s="36">
        <f>'1.3.Historical BS'!O49</f>
        <v>732.25082248794342</v>
      </c>
      <c r="K49" s="36">
        <f>'1.3.Historical BS'!P49</f>
        <v>240.18620082837955</v>
      </c>
      <c r="L49" s="36">
        <f>'1.3.Historical BS'!Q49</f>
        <v>550.42923733356213</v>
      </c>
      <c r="M49" s="325">
        <f t="shared" ref="M49:P49" si="34">L49+L50</f>
        <v>996.04982954179991</v>
      </c>
      <c r="N49" s="325">
        <f t="shared" ca="1" si="34"/>
        <v>1625.5238920006236</v>
      </c>
      <c r="O49" s="325">
        <f t="shared" ca="1" si="34"/>
        <v>2301.3194690896153</v>
      </c>
      <c r="P49" s="325">
        <f t="shared" ca="1" si="34"/>
        <v>3021.4894785533497</v>
      </c>
      <c r="Q49" s="325">
        <f t="shared" ref="Q49" ca="1" si="35">P49+P50</f>
        <v>3779.4306756012261</v>
      </c>
      <c r="R49" s="325">
        <f t="shared" ref="R49" ca="1" si="36">Q49+Q50</f>
        <v>4575.6197311164124</v>
      </c>
      <c r="S49" s="338"/>
      <c r="T49" s="338"/>
      <c r="V49" s="220">
        <f t="shared" si="0"/>
        <v>-0.13299657498518547</v>
      </c>
      <c r="W49" s="220">
        <f t="shared" si="1"/>
        <v>0.80958743101466113</v>
      </c>
      <c r="X49" s="220">
        <f t="shared" ca="1" si="2"/>
        <v>0.44759366410338686</v>
      </c>
    </row>
    <row r="50" spans="1:24" ht="12" customHeight="1" x14ac:dyDescent="0.25">
      <c r="A50" s="845"/>
      <c r="B50" s="25"/>
      <c r="C50" s="26"/>
      <c r="D50" s="9" t="s">
        <v>230</v>
      </c>
      <c r="E50" s="27"/>
      <c r="F50" s="28"/>
      <c r="H50" s="30"/>
      <c r="I50" s="29"/>
      <c r="J50" s="36">
        <f>'1.3.Historical BS'!O50</f>
        <v>248.15535883376276</v>
      </c>
      <c r="K50" s="36">
        <f>'1.3.Historical BS'!P50</f>
        <v>428.94419812434279</v>
      </c>
      <c r="L50" s="36">
        <f>'1.3.Historical BS'!Q50</f>
        <v>445.62059220823778</v>
      </c>
      <c r="M50" s="325">
        <f ca="1">'3.1. Income Statement'!M54</f>
        <v>629.4740624588236</v>
      </c>
      <c r="N50" s="325">
        <f ca="1">'3.1. Income Statement'!N54</f>
        <v>675.79557708899142</v>
      </c>
      <c r="O50" s="325">
        <f ca="1">'3.1. Income Statement'!O54</f>
        <v>720.17000946373446</v>
      </c>
      <c r="P50" s="325">
        <f ca="1">'3.1. Income Statement'!P54</f>
        <v>757.94119704787624</v>
      </c>
      <c r="Q50" s="325">
        <f ca="1">'3.1. Income Statement'!Q54</f>
        <v>796.18905551518651</v>
      </c>
      <c r="R50" s="325">
        <f ca="1">'3.1. Income Statement'!R54</f>
        <v>836.10733080847751</v>
      </c>
      <c r="S50" s="338"/>
      <c r="T50" s="338"/>
      <c r="V50" s="220">
        <f t="shared" si="0"/>
        <v>0.34004936315707934</v>
      </c>
      <c r="W50" s="220">
        <f t="shared" ca="1" si="1"/>
        <v>0.41257848821463661</v>
      </c>
      <c r="X50" s="220">
        <f t="shared" ca="1" si="2"/>
        <v>6.3863456486968673E-2</v>
      </c>
    </row>
    <row r="51" spans="1:24" ht="12" customHeight="1" x14ac:dyDescent="0.25">
      <c r="A51" s="845"/>
      <c r="B51" s="25"/>
      <c r="C51" s="27"/>
      <c r="D51" s="9" t="s">
        <v>47</v>
      </c>
      <c r="E51" s="27"/>
      <c r="F51" s="28"/>
      <c r="H51" s="30"/>
      <c r="I51" s="29"/>
      <c r="J51" s="36">
        <f>'1.3.Historical BS'!O51</f>
        <v>0</v>
      </c>
      <c r="K51" s="36">
        <f>'1.3.Historical BS'!P51</f>
        <v>0</v>
      </c>
      <c r="L51" s="36">
        <f>'1.3.Historical BS'!Q51</f>
        <v>0</v>
      </c>
      <c r="M51" s="325">
        <f t="shared" ref="M51:P51" si="37">L51</f>
        <v>0</v>
      </c>
      <c r="N51" s="325">
        <f t="shared" si="37"/>
        <v>0</v>
      </c>
      <c r="O51" s="325">
        <f t="shared" si="37"/>
        <v>0</v>
      </c>
      <c r="P51" s="325">
        <f t="shared" si="37"/>
        <v>0</v>
      </c>
      <c r="Q51" s="325">
        <f t="shared" ref="Q51" si="38">P51</f>
        <v>0</v>
      </c>
      <c r="R51" s="325">
        <f t="shared" ref="R51" si="39">Q51</f>
        <v>0</v>
      </c>
      <c r="S51" s="338"/>
      <c r="T51" s="338"/>
      <c r="V51" s="220">
        <f t="shared" si="0"/>
        <v>0</v>
      </c>
      <c r="W51" s="220">
        <f t="shared" si="1"/>
        <v>0</v>
      </c>
      <c r="X51" s="220">
        <f t="shared" si="2"/>
        <v>0</v>
      </c>
    </row>
    <row r="52" spans="1:24" ht="12" customHeight="1" x14ac:dyDescent="0.25">
      <c r="A52" s="845"/>
      <c r="B52" s="25"/>
      <c r="C52" s="49" t="str">
        <f>"Total "&amp;LOWER(C43)</f>
        <v>Total equity</v>
      </c>
      <c r="D52" s="50"/>
      <c r="E52" s="50"/>
      <c r="F52" s="50"/>
      <c r="G52" s="50"/>
      <c r="H52" s="51"/>
      <c r="I52" s="52"/>
      <c r="J52" s="227">
        <f>SUM(J44:J51)</f>
        <v>1155.5737046090153</v>
      </c>
      <c r="K52" s="227">
        <f>SUM(K44:K51)</f>
        <v>839.839508981265</v>
      </c>
      <c r="L52" s="227">
        <f>SUM(L44:L51)</f>
        <v>1166.6052102317803</v>
      </c>
      <c r="M52" s="227">
        <f ca="1">SUM(M44:M51)</f>
        <v>1796.0792726906038</v>
      </c>
      <c r="N52" s="227">
        <f ca="1">SUM(N44:N51)</f>
        <v>2471.8748497795955</v>
      </c>
      <c r="O52" s="227">
        <f t="shared" ref="O52:P52" ca="1" si="40">SUM(O44:O51)</f>
        <v>3192.0448592433304</v>
      </c>
      <c r="P52" s="227">
        <f t="shared" ca="1" si="40"/>
        <v>3949.9860562912068</v>
      </c>
      <c r="Q52" s="227">
        <f t="shared" ref="Q52:R52" ca="1" si="41">SUM(Q44:Q51)</f>
        <v>4746.175111806393</v>
      </c>
      <c r="R52" s="227">
        <f t="shared" ca="1" si="41"/>
        <v>5582.2824426148709</v>
      </c>
      <c r="S52" s="338"/>
      <c r="T52" s="338"/>
      <c r="V52" s="220">
        <f t="shared" si="0"/>
        <v>4.7618351213454257E-3</v>
      </c>
      <c r="W52" s="220">
        <f t="shared" ca="1" si="1"/>
        <v>0.53957761969343521</v>
      </c>
      <c r="X52" s="220">
        <f t="shared" ca="1" si="2"/>
        <v>0.30043910497531701</v>
      </c>
    </row>
    <row r="53" spans="1:24" ht="12" customHeight="1" x14ac:dyDescent="0.25">
      <c r="A53" s="39"/>
      <c r="B53" s="32">
        <f ca="1">MAX($A$1:B52)+0.1</f>
        <v>1.4000000000000004</v>
      </c>
      <c r="C53" s="26" t="s">
        <v>68</v>
      </c>
      <c r="D53" s="39"/>
      <c r="E53" s="27"/>
      <c r="F53" s="28"/>
      <c r="G53" s="29"/>
      <c r="H53" s="30"/>
      <c r="I53" s="29"/>
      <c r="J53" s="108"/>
      <c r="K53" s="108"/>
      <c r="L53" s="108"/>
      <c r="M53" s="108"/>
      <c r="N53" s="108"/>
      <c r="O53" s="108"/>
      <c r="P53" s="108"/>
      <c r="Q53" s="108"/>
      <c r="R53" s="108"/>
      <c r="S53" s="338"/>
      <c r="T53" s="338"/>
      <c r="V53" s="220">
        <f t="shared" si="0"/>
        <v>0</v>
      </c>
      <c r="W53" s="220">
        <f t="shared" si="1"/>
        <v>0</v>
      </c>
      <c r="X53" s="220">
        <f t="shared" si="2"/>
        <v>0</v>
      </c>
    </row>
    <row r="54" spans="1:24" ht="12" customHeight="1" x14ac:dyDescent="0.25">
      <c r="A54" s="39"/>
      <c r="B54" s="32"/>
      <c r="C54" s="33"/>
      <c r="D54" s="39" t="s">
        <v>112</v>
      </c>
      <c r="E54" s="6"/>
      <c r="F54" s="27"/>
      <c r="G54" s="34"/>
      <c r="H54" s="35"/>
      <c r="I54" s="34"/>
      <c r="J54" s="216">
        <f>SUM(J55:J57)</f>
        <v>0</v>
      </c>
      <c r="K54" s="216">
        <f>SUM(K55:K57)</f>
        <v>673.21651179260471</v>
      </c>
      <c r="L54" s="216">
        <f>SUM(L55:L57)</f>
        <v>554.33967923840567</v>
      </c>
      <c r="M54" s="216">
        <f>SUM(M55:M57)</f>
        <v>364.33967923840567</v>
      </c>
      <c r="N54" s="216">
        <f t="shared" ref="N54:P54" si="42">SUM(N55:N57)</f>
        <v>4.6792384056857372E-3</v>
      </c>
      <c r="O54" s="216">
        <f t="shared" si="42"/>
        <v>4.6792384056857372E-3</v>
      </c>
      <c r="P54" s="216">
        <f t="shared" si="42"/>
        <v>4.6792384056857372E-3</v>
      </c>
      <c r="Q54" s="216">
        <f t="shared" ref="Q54:R54" si="43">SUM(Q55:Q57)</f>
        <v>4.6792384056857372E-3</v>
      </c>
      <c r="R54" s="216">
        <f t="shared" si="43"/>
        <v>4.6792384056857372E-3</v>
      </c>
      <c r="S54" s="338"/>
      <c r="T54" s="338"/>
      <c r="V54" s="220">
        <f t="shared" si="0"/>
        <v>0</v>
      </c>
      <c r="W54" s="220">
        <f t="shared" si="1"/>
        <v>-0.34275013518973885</v>
      </c>
      <c r="X54" s="220">
        <f t="shared" si="2"/>
        <v>-0.9765816531664514</v>
      </c>
    </row>
    <row r="55" spans="1:24" ht="12" customHeight="1" x14ac:dyDescent="0.25">
      <c r="A55" s="850"/>
      <c r="B55" s="44"/>
      <c r="C55" s="47"/>
      <c r="D55" s="48"/>
      <c r="E55" s="40" t="s">
        <v>161</v>
      </c>
      <c r="F55" s="40"/>
      <c r="G55" s="11"/>
      <c r="H55" s="30"/>
      <c r="I55" s="30"/>
      <c r="J55" s="221">
        <f>'1.3.Historical BS'!O55</f>
        <v>0</v>
      </c>
      <c r="K55" s="221">
        <f>'1.3.Historical BS'!P55</f>
        <v>673.21651179260471</v>
      </c>
      <c r="L55" s="221">
        <f>'1.3.Historical BS'!Q55</f>
        <v>554.33967923840567</v>
      </c>
      <c r="M55" s="502">
        <f>L55+'3.2. Cash Flow'!M31</f>
        <v>364.33967923840567</v>
      </c>
      <c r="N55" s="502">
        <f>M55+'3.2. Cash Flow'!N31</f>
        <v>4.6792384056857372E-3</v>
      </c>
      <c r="O55" s="502">
        <f>N55+'3.2. Cash Flow'!O31</f>
        <v>4.6792384056857372E-3</v>
      </c>
      <c r="P55" s="502">
        <f>O55+'3.2. Cash Flow'!P31</f>
        <v>4.6792384056857372E-3</v>
      </c>
      <c r="Q55" s="502">
        <f>P55+'3.2. Cash Flow'!Q31</f>
        <v>4.6792384056857372E-3</v>
      </c>
      <c r="R55" s="502">
        <f>Q55+'3.2. Cash Flow'!R31</f>
        <v>4.6792384056857372E-3</v>
      </c>
      <c r="S55" s="338"/>
      <c r="T55" s="338"/>
      <c r="V55" s="220">
        <f t="shared" si="0"/>
        <v>0</v>
      </c>
      <c r="W55" s="220">
        <f t="shared" si="1"/>
        <v>-0.34275013518973885</v>
      </c>
      <c r="X55" s="220">
        <f t="shared" si="2"/>
        <v>-0.9765816531664514</v>
      </c>
    </row>
    <row r="56" spans="1:24" ht="12" customHeight="1" x14ac:dyDescent="0.25">
      <c r="A56" s="850"/>
      <c r="B56" s="44"/>
      <c r="C56" s="47"/>
      <c r="D56" s="48"/>
      <c r="E56" s="40" t="s">
        <v>155</v>
      </c>
      <c r="F56" s="40"/>
      <c r="G56" s="11"/>
      <c r="H56" s="30"/>
      <c r="I56" s="30"/>
      <c r="J56" s="221">
        <f>'1.3.Historical BS'!O56</f>
        <v>0</v>
      </c>
      <c r="K56" s="221">
        <f>'1.3.Historical BS'!P56</f>
        <v>0</v>
      </c>
      <c r="L56" s="221">
        <f>'1.3.Historical BS'!Q56</f>
        <v>0</v>
      </c>
      <c r="M56" s="502">
        <f t="shared" ref="M56:P57" si="44">L56</f>
        <v>0</v>
      </c>
      <c r="N56" s="502">
        <f t="shared" si="44"/>
        <v>0</v>
      </c>
      <c r="O56" s="502">
        <f t="shared" si="44"/>
        <v>0</v>
      </c>
      <c r="P56" s="502">
        <f t="shared" si="44"/>
        <v>0</v>
      </c>
      <c r="Q56" s="502">
        <f t="shared" ref="Q56:Q58" si="45">P56</f>
        <v>0</v>
      </c>
      <c r="R56" s="502">
        <f t="shared" ref="R56:R58" si="46">Q56</f>
        <v>0</v>
      </c>
      <c r="S56" s="338"/>
      <c r="T56" s="338"/>
      <c r="V56" s="220">
        <f t="shared" si="0"/>
        <v>0</v>
      </c>
      <c r="W56" s="220">
        <f t="shared" si="1"/>
        <v>0</v>
      </c>
      <c r="X56" s="220">
        <f t="shared" si="2"/>
        <v>0</v>
      </c>
    </row>
    <row r="57" spans="1:24" ht="12" customHeight="1" x14ac:dyDescent="0.25">
      <c r="A57" s="850"/>
      <c r="B57" s="44"/>
      <c r="C57" s="47"/>
      <c r="D57" s="48"/>
      <c r="E57" s="40" t="s">
        <v>154</v>
      </c>
      <c r="F57" s="55"/>
      <c r="G57" s="11"/>
      <c r="H57" s="30"/>
      <c r="I57" s="30"/>
      <c r="J57" s="221">
        <f>'1.3.Historical BS'!O57</f>
        <v>0</v>
      </c>
      <c r="K57" s="221">
        <f>'1.3.Historical BS'!P57</f>
        <v>0</v>
      </c>
      <c r="L57" s="221">
        <f>'1.3.Historical BS'!Q57</f>
        <v>0</v>
      </c>
      <c r="M57" s="502">
        <f t="shared" si="44"/>
        <v>0</v>
      </c>
      <c r="N57" s="502">
        <f t="shared" si="44"/>
        <v>0</v>
      </c>
      <c r="O57" s="502">
        <f t="shared" si="44"/>
        <v>0</v>
      </c>
      <c r="P57" s="502">
        <f t="shared" si="44"/>
        <v>0</v>
      </c>
      <c r="Q57" s="502">
        <f t="shared" si="45"/>
        <v>0</v>
      </c>
      <c r="R57" s="502">
        <f t="shared" si="46"/>
        <v>0</v>
      </c>
      <c r="S57" s="338"/>
      <c r="T57" s="338"/>
      <c r="V57" s="220">
        <f t="shared" si="0"/>
        <v>0</v>
      </c>
      <c r="W57" s="220">
        <f t="shared" si="1"/>
        <v>0</v>
      </c>
      <c r="X57" s="220">
        <f t="shared" si="2"/>
        <v>0</v>
      </c>
    </row>
    <row r="58" spans="1:24" ht="12" customHeight="1" x14ac:dyDescent="0.25">
      <c r="A58" s="845"/>
      <c r="B58" s="32"/>
      <c r="C58" s="33"/>
      <c r="D58" s="39" t="s">
        <v>38</v>
      </c>
      <c r="E58" s="6"/>
      <c r="F58" s="27"/>
      <c r="G58" s="9"/>
      <c r="H58" s="35"/>
      <c r="I58" s="34"/>
      <c r="J58" s="36">
        <f>'1.3.Historical BS'!O58</f>
        <v>0</v>
      </c>
      <c r="K58" s="36">
        <f>'1.3.Historical BS'!P58</f>
        <v>0</v>
      </c>
      <c r="L58" s="36">
        <f>'1.3.Historical BS'!Q58</f>
        <v>0</v>
      </c>
      <c r="M58" s="325">
        <f t="shared" ref="M58:P58" si="47">L58</f>
        <v>0</v>
      </c>
      <c r="N58" s="325">
        <f t="shared" si="47"/>
        <v>0</v>
      </c>
      <c r="O58" s="325">
        <f t="shared" si="47"/>
        <v>0</v>
      </c>
      <c r="P58" s="325">
        <f t="shared" si="47"/>
        <v>0</v>
      </c>
      <c r="Q58" s="325">
        <f t="shared" si="45"/>
        <v>0</v>
      </c>
      <c r="R58" s="325">
        <f t="shared" si="46"/>
        <v>0</v>
      </c>
      <c r="S58" s="338"/>
      <c r="T58" s="338"/>
      <c r="V58" s="220">
        <f t="shared" si="0"/>
        <v>0</v>
      </c>
      <c r="W58" s="220">
        <f t="shared" si="1"/>
        <v>0</v>
      </c>
      <c r="X58" s="220">
        <f t="shared" si="2"/>
        <v>0</v>
      </c>
    </row>
    <row r="59" spans="1:24" ht="12" customHeight="1" x14ac:dyDescent="0.25">
      <c r="A59" s="845"/>
      <c r="B59" s="32"/>
      <c r="C59" s="39"/>
      <c r="D59" s="39" t="s">
        <v>237</v>
      </c>
      <c r="F59" s="27"/>
      <c r="G59" s="9"/>
      <c r="H59" s="35"/>
      <c r="I59" s="34"/>
      <c r="J59" s="216">
        <f>SUM(J60:J67)</f>
        <v>2371.6953381339326</v>
      </c>
      <c r="K59" s="216">
        <f>SUM(K60:K67)</f>
        <v>3941.5484129879605</v>
      </c>
      <c r="L59" s="216">
        <f>SUM(L60:L67)</f>
        <v>3103.8466369347543</v>
      </c>
      <c r="M59" s="216">
        <f>SUM(M60:M67)</f>
        <v>5299.6608742817916</v>
      </c>
      <c r="N59" s="216">
        <f t="shared" ref="N59:P59" si="48">SUM(N60:N67)</f>
        <v>5546.4536454348145</v>
      </c>
      <c r="O59" s="216">
        <f t="shared" si="48"/>
        <v>5836.381500937191</v>
      </c>
      <c r="P59" s="216">
        <f t="shared" si="48"/>
        <v>6066.9773973480842</v>
      </c>
      <c r="Q59" s="216">
        <f t="shared" ref="Q59:R59" si="49">SUM(Q60:Q67)</f>
        <v>6366.9081633333026</v>
      </c>
      <c r="R59" s="216">
        <f t="shared" si="49"/>
        <v>6663.76586819162</v>
      </c>
      <c r="S59" s="338"/>
      <c r="T59" s="338"/>
      <c r="V59" s="220">
        <f t="shared" si="0"/>
        <v>0.14398591459615195</v>
      </c>
      <c r="W59" s="220">
        <f t="shared" si="1"/>
        <v>0.7074493343896473</v>
      </c>
      <c r="X59" s="220">
        <f t="shared" si="2"/>
        <v>4.6103766251672118E-2</v>
      </c>
    </row>
    <row r="60" spans="1:24" ht="12" customHeight="1" x14ac:dyDescent="0.25">
      <c r="A60" s="850"/>
      <c r="B60" s="44"/>
      <c r="C60" s="47"/>
      <c r="D60" s="48"/>
      <c r="E60" s="40" t="s">
        <v>110</v>
      </c>
      <c r="F60" s="40"/>
      <c r="G60" s="11"/>
      <c r="H60" s="30"/>
      <c r="I60" s="30"/>
      <c r="J60" s="221">
        <f>'1.3.Historical BS'!O60</f>
        <v>971.91871572966897</v>
      </c>
      <c r="K60" s="221">
        <f>'1.3.Historical BS'!P60</f>
        <v>2154.4197888276071</v>
      </c>
      <c r="L60" s="221">
        <f>'1.3.Historical BS'!Q60</f>
        <v>1936.53413452261</v>
      </c>
      <c r="M60" s="221">
        <f>'2.3. Working Capital'!M311</f>
        <v>2918.7616906968419</v>
      </c>
      <c r="N60" s="221">
        <f>'2.3. Working Capital'!N311</f>
        <v>3056.3262785780457</v>
      </c>
      <c r="O60" s="221">
        <f>'2.3. Working Capital'!O311</f>
        <v>3217.9347639932676</v>
      </c>
      <c r="P60" s="221">
        <f>'2.3. Working Capital'!P311</f>
        <v>3378.8315021929316</v>
      </c>
      <c r="Q60" s="221">
        <f>'2.3. Working Capital'!Q311</f>
        <v>3547.7730773025787</v>
      </c>
      <c r="R60" s="221">
        <f>'2.3. Working Capital'!R311</f>
        <v>3714.9836936508555</v>
      </c>
      <c r="S60" s="338"/>
      <c r="T60" s="338"/>
      <c r="V60" s="220">
        <f t="shared" si="0"/>
        <v>0.41155435305692345</v>
      </c>
      <c r="W60" s="220">
        <f t="shared" si="1"/>
        <v>0.50720900740351182</v>
      </c>
      <c r="X60" s="220">
        <f t="shared" si="2"/>
        <v>5.0000000000000044E-2</v>
      </c>
    </row>
    <row r="61" spans="1:24" ht="12" customHeight="1" x14ac:dyDescent="0.25">
      <c r="A61" s="850"/>
      <c r="B61" s="44"/>
      <c r="C61" s="47"/>
      <c r="D61" s="48"/>
      <c r="E61" s="40" t="s">
        <v>43</v>
      </c>
      <c r="F61" s="40"/>
      <c r="G61" s="11"/>
      <c r="H61" s="30"/>
      <c r="I61" s="30"/>
      <c r="J61" s="221">
        <f>'1.3.Historical BS'!O61</f>
        <v>1342.1991499856865</v>
      </c>
      <c r="K61" s="221">
        <f>'1.3.Historical BS'!P61</f>
        <v>1686.1100907783762</v>
      </c>
      <c r="L61" s="221">
        <f>'1.3.Historical BS'!Q61</f>
        <v>1102.3144557130299</v>
      </c>
      <c r="M61" s="221">
        <f>'2.3. Working Capital'!M312</f>
        <v>2263.0677615906752</v>
      </c>
      <c r="N61" s="221">
        <f>'2.3. Working Capital'!N312</f>
        <v>2369.7287421574488</v>
      </c>
      <c r="O61" s="221">
        <f>'2.3. Working Capital'!O312</f>
        <v>2495.0322071537189</v>
      </c>
      <c r="P61" s="221">
        <f>'2.3. Working Capital'!P312</f>
        <v>2619.7838175114052</v>
      </c>
      <c r="Q61" s="221">
        <f>'2.3. Working Capital'!Q312</f>
        <v>2750.773008386976</v>
      </c>
      <c r="R61" s="221">
        <f>'2.3. Working Capital'!R312</f>
        <v>2880.4200968970172</v>
      </c>
      <c r="S61" s="338"/>
      <c r="T61" s="338"/>
      <c r="V61" s="220">
        <f t="shared" si="0"/>
        <v>-9.3757820803171743E-2</v>
      </c>
      <c r="W61" s="220">
        <f t="shared" si="1"/>
        <v>1.0530146818466735</v>
      </c>
      <c r="X61" s="220">
        <f t="shared" si="2"/>
        <v>5.0000000000000044E-2</v>
      </c>
    </row>
    <row r="62" spans="1:24" ht="12" customHeight="1" x14ac:dyDescent="0.25">
      <c r="A62" s="850"/>
      <c r="B62" s="44"/>
      <c r="C62" s="47"/>
      <c r="D62" s="48"/>
      <c r="E62" s="40" t="s">
        <v>219</v>
      </c>
      <c r="F62" s="40"/>
      <c r="G62" s="11"/>
      <c r="H62" s="30"/>
      <c r="I62" s="30"/>
      <c r="J62" s="221">
        <f>'1.3.Historical BS'!O62</f>
        <v>0</v>
      </c>
      <c r="K62" s="221">
        <f>'1.3.Historical BS'!P62</f>
        <v>0</v>
      </c>
      <c r="L62" s="221">
        <f>'1.3.Historical BS'!Q62</f>
        <v>0</v>
      </c>
      <c r="M62" s="221">
        <f>'2.3. Working Capital'!M313</f>
        <v>0</v>
      </c>
      <c r="N62" s="221">
        <f>'2.3. Working Capital'!N313</f>
        <v>0</v>
      </c>
      <c r="O62" s="221">
        <f>'2.3. Working Capital'!O313</f>
        <v>0</v>
      </c>
      <c r="P62" s="221">
        <f>'2.3. Working Capital'!P313</f>
        <v>0</v>
      </c>
      <c r="Q62" s="221">
        <f>'2.3. Working Capital'!Q313</f>
        <v>0</v>
      </c>
      <c r="R62" s="221">
        <f>'2.3. Working Capital'!R313</f>
        <v>0</v>
      </c>
      <c r="S62" s="338"/>
      <c r="T62" s="338"/>
      <c r="V62" s="220">
        <f t="shared" si="0"/>
        <v>0</v>
      </c>
      <c r="W62" s="220">
        <f t="shared" si="1"/>
        <v>0</v>
      </c>
      <c r="X62" s="220">
        <f t="shared" si="2"/>
        <v>0</v>
      </c>
    </row>
    <row r="63" spans="1:24" ht="12" customHeight="1" x14ac:dyDescent="0.25">
      <c r="A63" s="850"/>
      <c r="B63" s="44"/>
      <c r="C63" s="47"/>
      <c r="D63" s="48"/>
      <c r="E63" s="40" t="s">
        <v>248</v>
      </c>
      <c r="F63" s="40"/>
      <c r="G63" s="11"/>
      <c r="H63" s="30"/>
      <c r="I63" s="30"/>
      <c r="J63" s="221">
        <f>'1.3.Historical BS'!O63</f>
        <v>0</v>
      </c>
      <c r="K63" s="221">
        <f>'1.3.Historical BS'!P63</f>
        <v>0</v>
      </c>
      <c r="L63" s="221">
        <f>'1.3.Historical BS'!Q63</f>
        <v>0</v>
      </c>
      <c r="M63" s="221">
        <f>'2.3. Working Capital'!M314</f>
        <v>0</v>
      </c>
      <c r="N63" s="221">
        <f>'2.3. Working Capital'!N314</f>
        <v>0</v>
      </c>
      <c r="O63" s="221">
        <f>'2.3. Working Capital'!O314</f>
        <v>0</v>
      </c>
      <c r="P63" s="221">
        <f>'2.3. Working Capital'!P314</f>
        <v>0</v>
      </c>
      <c r="Q63" s="221">
        <f>'2.3. Working Capital'!Q314</f>
        <v>0</v>
      </c>
      <c r="R63" s="221">
        <f>'2.3. Working Capital'!R314</f>
        <v>0</v>
      </c>
      <c r="S63" s="338"/>
      <c r="T63" s="338"/>
      <c r="V63" s="220">
        <f t="shared" si="0"/>
        <v>0</v>
      </c>
      <c r="W63" s="220">
        <f t="shared" si="1"/>
        <v>0</v>
      </c>
      <c r="X63" s="220">
        <f t="shared" si="2"/>
        <v>0</v>
      </c>
    </row>
    <row r="64" spans="1:24" ht="12" customHeight="1" x14ac:dyDescent="0.25">
      <c r="A64" s="850"/>
      <c r="B64" s="44"/>
      <c r="C64" s="47"/>
      <c r="D64" s="48"/>
      <c r="E64" s="40" t="s">
        <v>220</v>
      </c>
      <c r="F64" s="40"/>
      <c r="G64" s="11"/>
      <c r="H64" s="30"/>
      <c r="I64" s="30"/>
      <c r="J64" s="221">
        <f>'1.3.Historical BS'!O64</f>
        <v>0</v>
      </c>
      <c r="K64" s="221">
        <f>'1.3.Historical BS'!P64</f>
        <v>0</v>
      </c>
      <c r="L64" s="221">
        <f>'1.3.Historical BS'!Q64</f>
        <v>0</v>
      </c>
      <c r="M64" s="221">
        <f>'2.3. Working Capital'!M315</f>
        <v>0</v>
      </c>
      <c r="N64" s="221">
        <f>'2.3. Working Capital'!N315</f>
        <v>0</v>
      </c>
      <c r="O64" s="221">
        <f>'2.3. Working Capital'!O315</f>
        <v>0</v>
      </c>
      <c r="P64" s="221">
        <f>'2.3. Working Capital'!P315</f>
        <v>0</v>
      </c>
      <c r="Q64" s="221">
        <f>'2.3. Working Capital'!Q315</f>
        <v>0</v>
      </c>
      <c r="R64" s="221">
        <f>'2.3. Working Capital'!R315</f>
        <v>0</v>
      </c>
      <c r="S64" s="338"/>
      <c r="T64" s="338"/>
      <c r="V64" s="220">
        <f t="shared" si="0"/>
        <v>0</v>
      </c>
      <c r="W64" s="220">
        <f t="shared" si="1"/>
        <v>0</v>
      </c>
      <c r="X64" s="220">
        <f t="shared" si="2"/>
        <v>0</v>
      </c>
    </row>
    <row r="65" spans="1:24" ht="12" customHeight="1" x14ac:dyDescent="0.25">
      <c r="A65" s="850"/>
      <c r="B65" s="44"/>
      <c r="C65" s="47"/>
      <c r="D65" s="48"/>
      <c r="E65" s="40" t="s">
        <v>221</v>
      </c>
      <c r="F65" s="40"/>
      <c r="G65" s="11"/>
      <c r="H65" s="30"/>
      <c r="I65" s="30"/>
      <c r="J65" s="221">
        <f>'1.3.Historical BS'!O65</f>
        <v>0</v>
      </c>
      <c r="K65" s="221">
        <f>'1.3.Historical BS'!P65</f>
        <v>0</v>
      </c>
      <c r="L65" s="221">
        <f>'1.3.Historical BS'!Q65</f>
        <v>0</v>
      </c>
      <c r="M65" s="221">
        <f>'2.3. Working Capital'!M316</f>
        <v>0</v>
      </c>
      <c r="N65" s="221">
        <f>'2.3. Working Capital'!N316</f>
        <v>0</v>
      </c>
      <c r="O65" s="221">
        <f>'2.3. Working Capital'!O316</f>
        <v>0</v>
      </c>
      <c r="P65" s="221">
        <f>'2.3. Working Capital'!P316</f>
        <v>0</v>
      </c>
      <c r="Q65" s="221">
        <f>'2.3. Working Capital'!Q316</f>
        <v>0</v>
      </c>
      <c r="R65" s="221">
        <f>'2.3. Working Capital'!R316</f>
        <v>0</v>
      </c>
      <c r="S65" s="338"/>
      <c r="T65" s="338"/>
      <c r="V65" s="220">
        <f t="shared" si="0"/>
        <v>0</v>
      </c>
      <c r="W65" s="220">
        <f t="shared" si="1"/>
        <v>0</v>
      </c>
      <c r="X65" s="220">
        <f t="shared" si="2"/>
        <v>0</v>
      </c>
    </row>
    <row r="66" spans="1:24" ht="12" customHeight="1" x14ac:dyDescent="0.25">
      <c r="A66" s="850"/>
      <c r="B66" s="44"/>
      <c r="C66" s="47"/>
      <c r="D66" s="48"/>
      <c r="E66" s="40" t="s">
        <v>222</v>
      </c>
      <c r="F66" s="40"/>
      <c r="G66" s="11"/>
      <c r="H66" s="30"/>
      <c r="I66" s="30"/>
      <c r="J66" s="221">
        <f>'1.3.Historical BS'!O66</f>
        <v>30.829534694237079</v>
      </c>
      <c r="K66" s="221">
        <f>'1.3.Historical BS'!P66</f>
        <v>56.474021932742446</v>
      </c>
      <c r="L66" s="221">
        <f>'1.3.Historical BS'!Q66</f>
        <v>33.379397071120742</v>
      </c>
      <c r="M66" s="221">
        <f>'2.3. Working Capital'!M317</f>
        <v>63.362077643747547</v>
      </c>
      <c r="N66" s="221">
        <f>'2.3. Working Capital'!N317</f>
        <v>63.362077643747547</v>
      </c>
      <c r="O66" s="221">
        <f>'2.3. Working Capital'!O317</f>
        <v>63.362077643747547</v>
      </c>
      <c r="P66" s="221">
        <f>'2.3. Working Capital'!P317</f>
        <v>63.362077643747547</v>
      </c>
      <c r="Q66" s="221">
        <f>'2.3. Working Capital'!Q317</f>
        <v>63.362077643747547</v>
      </c>
      <c r="R66" s="221">
        <f>'2.3. Working Capital'!R317</f>
        <v>63.362077643747547</v>
      </c>
      <c r="S66" s="338"/>
      <c r="T66" s="338"/>
      <c r="V66" s="220">
        <f t="shared" si="0"/>
        <v>4.0532762028548497E-2</v>
      </c>
      <c r="W66" s="220">
        <f t="shared" si="1"/>
        <v>0.89823912962667873</v>
      </c>
      <c r="X66" s="220">
        <f t="shared" si="2"/>
        <v>0</v>
      </c>
    </row>
    <row r="67" spans="1:24" ht="12" customHeight="1" x14ac:dyDescent="0.25">
      <c r="A67" s="850"/>
      <c r="B67" s="44"/>
      <c r="C67" s="47"/>
      <c r="D67" s="48"/>
      <c r="E67" s="40" t="s">
        <v>42</v>
      </c>
      <c r="F67" s="40"/>
      <c r="G67" s="11"/>
      <c r="H67" s="30"/>
      <c r="I67" s="30"/>
      <c r="J67" s="221">
        <f>'1.3.Historical BS'!O67</f>
        <v>26.747937724339916</v>
      </c>
      <c r="K67" s="221">
        <f>'1.3.Historical BS'!P67</f>
        <v>44.544511449234925</v>
      </c>
      <c r="L67" s="221">
        <f>'1.3.Historical BS'!Q67</f>
        <v>31.618649627993733</v>
      </c>
      <c r="M67" s="221">
        <f>'2.3. Working Capital'!M318</f>
        <v>54.469344350527372</v>
      </c>
      <c r="N67" s="221">
        <f>'2.3. Working Capital'!N318</f>
        <v>57.036547055572726</v>
      </c>
      <c r="O67" s="221">
        <f>'2.3. Working Capital'!O318</f>
        <v>60.052452146456417</v>
      </c>
      <c r="P67" s="221">
        <f>'2.3. Working Capital'!P318</f>
        <v>5</v>
      </c>
      <c r="Q67" s="221">
        <f>'2.3. Working Capital'!Q318</f>
        <v>5</v>
      </c>
      <c r="R67" s="221">
        <f>'2.3. Working Capital'!R318</f>
        <v>5</v>
      </c>
      <c r="S67" s="338"/>
      <c r="T67" s="338"/>
      <c r="V67" s="220">
        <f t="shared" si="0"/>
        <v>8.7242717440807693E-2</v>
      </c>
      <c r="W67" s="220">
        <f t="shared" si="1"/>
        <v>0.72269673092878262</v>
      </c>
      <c r="X67" s="220">
        <f t="shared" si="2"/>
        <v>-0.54890021627146979</v>
      </c>
    </row>
    <row r="68" spans="1:24" ht="12" customHeight="1" x14ac:dyDescent="0.25">
      <c r="A68" s="850"/>
      <c r="B68" s="44"/>
      <c r="C68" s="47"/>
      <c r="D68" s="39" t="s">
        <v>1192</v>
      </c>
      <c r="E68" s="40"/>
      <c r="F68" s="40"/>
      <c r="G68" s="11"/>
      <c r="H68" s="30"/>
      <c r="I68" s="30"/>
      <c r="J68" s="36">
        <f>'1.3.Historical BS'!O68</f>
        <v>11.111021558653189</v>
      </c>
      <c r="K68" s="36">
        <f>'1.3.Historical BS'!P68</f>
        <v>203.59915874412516</v>
      </c>
      <c r="L68" s="36">
        <f>'1.3.Historical BS'!Q68</f>
        <v>2.1441283046377494E-3</v>
      </c>
      <c r="M68" s="325">
        <f>L68</f>
        <v>2.1441283046377494E-3</v>
      </c>
      <c r="N68" s="325">
        <f t="shared" ref="N68:R68" si="50">M68</f>
        <v>2.1441283046377494E-3</v>
      </c>
      <c r="O68" s="325">
        <f t="shared" si="50"/>
        <v>2.1441283046377494E-3</v>
      </c>
      <c r="P68" s="325">
        <f t="shared" si="50"/>
        <v>2.1441283046377494E-3</v>
      </c>
      <c r="Q68" s="325">
        <f t="shared" si="50"/>
        <v>2.1441283046377494E-3</v>
      </c>
      <c r="R68" s="325">
        <f t="shared" si="50"/>
        <v>2.1441283046377494E-3</v>
      </c>
      <c r="S68" s="338"/>
      <c r="T68" s="338"/>
      <c r="V68" s="220"/>
      <c r="W68" s="220"/>
      <c r="X68" s="220"/>
    </row>
    <row r="69" spans="1:24" ht="12" customHeight="1" x14ac:dyDescent="0.25">
      <c r="A69" s="845"/>
      <c r="B69" s="25"/>
      <c r="C69" s="39"/>
      <c r="D69" s="9" t="s">
        <v>111</v>
      </c>
      <c r="F69" s="27"/>
      <c r="G69" s="9"/>
      <c r="H69" s="35"/>
      <c r="I69" s="34"/>
      <c r="J69" s="216">
        <f>SUM(J70:J71)</f>
        <v>9.5782717843694254</v>
      </c>
      <c r="K69" s="216">
        <f>SUM(K70:K71)</f>
        <v>5.2338262119878971</v>
      </c>
      <c r="L69" s="216">
        <f>SUM(L70:L71)</f>
        <v>3.2024207208559359</v>
      </c>
      <c r="M69" s="216">
        <f ca="1">SUM(M70:M71)</f>
        <v>0</v>
      </c>
      <c r="N69" s="216">
        <f t="shared" ref="N69:P69" ca="1" si="51">SUM(N70:N71)</f>
        <v>0</v>
      </c>
      <c r="O69" s="216">
        <f t="shared" ca="1" si="51"/>
        <v>0</v>
      </c>
      <c r="P69" s="216">
        <f t="shared" ca="1" si="51"/>
        <v>0</v>
      </c>
      <c r="Q69" s="216">
        <f t="shared" ref="Q69:R69" ca="1" si="52">SUM(Q70:Q71)</f>
        <v>0</v>
      </c>
      <c r="R69" s="216">
        <f t="shared" ca="1" si="52"/>
        <v>0</v>
      </c>
      <c r="S69" s="338"/>
      <c r="T69" s="338"/>
      <c r="V69" s="220">
        <f t="shared" si="0"/>
        <v>-0.42177666324061025</v>
      </c>
      <c r="W69" s="220">
        <f t="shared" ca="1" si="1"/>
        <v>-1</v>
      </c>
      <c r="X69" s="220">
        <f t="shared" ca="1" si="2"/>
        <v>0</v>
      </c>
    </row>
    <row r="70" spans="1:24" ht="12" customHeight="1" x14ac:dyDescent="0.25">
      <c r="A70" s="48"/>
      <c r="B70" s="56"/>
      <c r="C70" s="40"/>
      <c r="D70" s="43"/>
      <c r="E70" s="40" t="s">
        <v>282</v>
      </c>
      <c r="F70" s="40"/>
      <c r="G70" s="11"/>
      <c r="H70" s="30"/>
      <c r="I70" s="30"/>
      <c r="J70" s="221">
        <f>'1.3.Historical BS'!O70</f>
        <v>9.5782717843694254</v>
      </c>
      <c r="K70" s="221">
        <f>'1.3.Historical BS'!P70</f>
        <v>5.2338262119878971</v>
      </c>
      <c r="L70" s="221">
        <f>'1.3.Historical BS'!Q70</f>
        <v>3.2024207208559359</v>
      </c>
      <c r="M70" s="502">
        <f ca="1">'2.1. Working LT assets'!M63</f>
        <v>0</v>
      </c>
      <c r="N70" s="502">
        <f ca="1">'2.1. Working LT assets'!N63</f>
        <v>0</v>
      </c>
      <c r="O70" s="502">
        <f ca="1">'2.1. Working LT assets'!O63</f>
        <v>0</v>
      </c>
      <c r="P70" s="502">
        <f ca="1">'2.1. Working LT assets'!P63</f>
        <v>0</v>
      </c>
      <c r="Q70" s="502">
        <f ca="1">'2.1. Working LT assets'!Q63</f>
        <v>0</v>
      </c>
      <c r="R70" s="502">
        <f ca="1">'2.1. Working LT assets'!R63</f>
        <v>0</v>
      </c>
      <c r="S70" s="338"/>
      <c r="T70" s="338"/>
      <c r="V70" s="220">
        <f t="shared" si="0"/>
        <v>-0.42177666324061025</v>
      </c>
      <c r="W70" s="220">
        <f t="shared" ca="1" si="1"/>
        <v>-1</v>
      </c>
      <c r="X70" s="220">
        <f t="shared" ca="1" si="2"/>
        <v>0</v>
      </c>
    </row>
    <row r="71" spans="1:24" ht="12" customHeight="1" x14ac:dyDescent="0.25">
      <c r="A71" s="850"/>
      <c r="B71" s="56"/>
      <c r="C71" s="40"/>
      <c r="D71" s="43"/>
      <c r="E71" s="40" t="s">
        <v>114</v>
      </c>
      <c r="F71" s="40"/>
      <c r="G71" s="11"/>
      <c r="H71" s="30"/>
      <c r="I71" s="30"/>
      <c r="J71" s="221">
        <f>'1.3.Historical BS'!O71</f>
        <v>0</v>
      </c>
      <c r="K71" s="221">
        <f>'1.3.Historical BS'!P71</f>
        <v>0</v>
      </c>
      <c r="L71" s="221">
        <f>'1.3.Historical BS'!Q71</f>
        <v>0</v>
      </c>
      <c r="M71" s="221">
        <f>'1.3.Historical BS'!R71</f>
        <v>0</v>
      </c>
      <c r="N71" s="221">
        <f t="shared" ref="N71:P71" si="53">M71</f>
        <v>0</v>
      </c>
      <c r="O71" s="221">
        <f t="shared" si="53"/>
        <v>0</v>
      </c>
      <c r="P71" s="221">
        <f t="shared" si="53"/>
        <v>0</v>
      </c>
      <c r="Q71" s="221">
        <f t="shared" ref="Q71" si="54">P71</f>
        <v>0</v>
      </c>
      <c r="R71" s="221">
        <f t="shared" ref="R71" si="55">Q71</f>
        <v>0</v>
      </c>
      <c r="S71" s="338"/>
      <c r="T71" s="338"/>
      <c r="V71" s="220">
        <f t="shared" si="0"/>
        <v>0</v>
      </c>
      <c r="W71" s="220">
        <f t="shared" si="1"/>
        <v>0</v>
      </c>
      <c r="X71" s="220">
        <f t="shared" si="2"/>
        <v>0</v>
      </c>
    </row>
    <row r="72" spans="1:24" ht="12" customHeight="1" x14ac:dyDescent="0.25">
      <c r="A72" s="845"/>
      <c r="B72" s="32"/>
      <c r="C72" s="49" t="str">
        <f>"Total "&amp;LOWER(C53)</f>
        <v>Total short term liabilities</v>
      </c>
      <c r="D72" s="50"/>
      <c r="E72" s="50"/>
      <c r="F72" s="50"/>
      <c r="G72" s="50"/>
      <c r="H72" s="51"/>
      <c r="I72" s="52"/>
      <c r="J72" s="227">
        <f>J54+J58+J59+J69+J68</f>
        <v>2392.3846314769553</v>
      </c>
      <c r="K72" s="227">
        <f t="shared" ref="K72:R72" si="56">K54+K58+K59+K69+K68</f>
        <v>4823.597909736679</v>
      </c>
      <c r="L72" s="227">
        <f t="shared" si="56"/>
        <v>3661.3908810223206</v>
      </c>
      <c r="M72" s="227">
        <f t="shared" ca="1" si="56"/>
        <v>5664.0026976485015</v>
      </c>
      <c r="N72" s="227">
        <f t="shared" ca="1" si="56"/>
        <v>5546.4604688015243</v>
      </c>
      <c r="O72" s="227">
        <f t="shared" ca="1" si="56"/>
        <v>5836.3883243039008</v>
      </c>
      <c r="P72" s="227">
        <f t="shared" ca="1" si="56"/>
        <v>6066.984220714794</v>
      </c>
      <c r="Q72" s="227">
        <f t="shared" ca="1" si="56"/>
        <v>6366.9149867000124</v>
      </c>
      <c r="R72" s="227">
        <f t="shared" ca="1" si="56"/>
        <v>6663.7726915583298</v>
      </c>
      <c r="S72" s="338"/>
      <c r="T72" s="338"/>
      <c r="V72" s="220">
        <f t="shared" si="0"/>
        <v>0.23710780198939929</v>
      </c>
      <c r="W72" s="220">
        <f t="shared" ca="1" si="1"/>
        <v>0.54695384396298552</v>
      </c>
      <c r="X72" s="220">
        <f t="shared" ca="1" si="2"/>
        <v>2.3174727817833585E-2</v>
      </c>
    </row>
    <row r="73" spans="1:24" ht="12" customHeight="1" x14ac:dyDescent="0.25">
      <c r="A73" s="845"/>
      <c r="B73" s="25">
        <f ca="1">MAX($A$1:B72)+0.1</f>
        <v>1.5000000000000004</v>
      </c>
      <c r="C73" s="26" t="s">
        <v>67</v>
      </c>
      <c r="E73" s="27"/>
      <c r="F73" s="28"/>
      <c r="G73" s="29"/>
      <c r="H73" s="35"/>
      <c r="I73" s="34"/>
      <c r="J73" s="108"/>
      <c r="K73" s="108"/>
      <c r="L73" s="108"/>
      <c r="M73" s="108"/>
      <c r="N73" s="108"/>
      <c r="O73" s="108"/>
      <c r="P73" s="108"/>
      <c r="Q73" s="108"/>
      <c r="R73" s="108"/>
      <c r="S73" s="338"/>
      <c r="T73" s="338"/>
      <c r="V73" s="220">
        <f t="shared" ref="V73:V81" si="57">IF(ISERROR((($L73/$J73)^(1/($L$3-$J$3))-1)),0,(($L73/$J73)^(1/($L$3-$J$3))-1))</f>
        <v>0</v>
      </c>
      <c r="W73" s="220">
        <f t="shared" ref="W73:W81" si="58">IF(ISERROR($M73/$L73-1),0,$M73/$L73-1)</f>
        <v>0</v>
      </c>
      <c r="X73" s="220">
        <f t="shared" ref="X73:X81" si="59">IF(ISERROR((($P73/$M73)^(1/($P$3-$M$3))-1)),0,(($P73/$M73)^(1/($P$3-$M$3))-1))</f>
        <v>0</v>
      </c>
    </row>
    <row r="74" spans="1:24" ht="12" customHeight="1" x14ac:dyDescent="0.25">
      <c r="A74" s="845"/>
      <c r="B74" s="25"/>
      <c r="C74" s="26"/>
      <c r="D74" s="9" t="s">
        <v>231</v>
      </c>
      <c r="E74" s="27"/>
      <c r="F74" s="28"/>
      <c r="H74" s="34"/>
      <c r="I74" s="34"/>
      <c r="J74" s="36">
        <f>'1.3.Historical BS'!O74</f>
        <v>0</v>
      </c>
      <c r="K74" s="36">
        <f>'1.3.Historical BS'!P74</f>
        <v>0</v>
      </c>
      <c r="L74" s="36">
        <f>'1.3.Historical BS'!Q74</f>
        <v>0</v>
      </c>
      <c r="M74" s="325">
        <f t="shared" ref="M74:P74" si="60">L74</f>
        <v>0</v>
      </c>
      <c r="N74" s="325">
        <f t="shared" si="60"/>
        <v>0</v>
      </c>
      <c r="O74" s="325">
        <f t="shared" si="60"/>
        <v>0</v>
      </c>
      <c r="P74" s="325">
        <f t="shared" si="60"/>
        <v>0</v>
      </c>
      <c r="Q74" s="325">
        <f t="shared" ref="Q74:Q78" si="61">P74</f>
        <v>0</v>
      </c>
      <c r="R74" s="325">
        <f t="shared" ref="R74:R78" si="62">Q74</f>
        <v>0</v>
      </c>
      <c r="S74" s="338"/>
      <c r="T74" s="338"/>
      <c r="V74" s="220">
        <f t="shared" si="57"/>
        <v>0</v>
      </c>
      <c r="W74" s="220">
        <f t="shared" si="58"/>
        <v>0</v>
      </c>
      <c r="X74" s="220">
        <f t="shared" si="59"/>
        <v>0</v>
      </c>
    </row>
    <row r="75" spans="1:24" ht="12" customHeight="1" x14ac:dyDescent="0.25">
      <c r="A75" s="845"/>
      <c r="B75" s="25"/>
      <c r="C75" s="26"/>
      <c r="D75" s="9" t="s">
        <v>156</v>
      </c>
      <c r="E75" s="27"/>
      <c r="F75" s="28"/>
      <c r="H75" s="29"/>
      <c r="I75" s="29"/>
      <c r="J75" s="36">
        <f>'1.3.Historical BS'!O75</f>
        <v>58.589125982691414</v>
      </c>
      <c r="K75" s="36">
        <f>'1.3.Historical BS'!P75</f>
        <v>20.923834152413249</v>
      </c>
      <c r="L75" s="36">
        <f>'1.3.Historical BS'!Q75</f>
        <v>18.216014494307338</v>
      </c>
      <c r="M75" s="325">
        <f>L75-RMF_1218HRC!AC125/1000</f>
        <v>7.9671644943073385</v>
      </c>
      <c r="N75" s="325">
        <f>M75-RMF_1218HRC!AE125/1000</f>
        <v>1.9181244943073388</v>
      </c>
      <c r="O75" s="898">
        <v>0</v>
      </c>
      <c r="P75" s="325">
        <f t="shared" ref="M75:P78" si="63">O75</f>
        <v>0</v>
      </c>
      <c r="Q75" s="325">
        <f t="shared" si="61"/>
        <v>0</v>
      </c>
      <c r="R75" s="325">
        <f t="shared" si="62"/>
        <v>0</v>
      </c>
      <c r="S75" s="338"/>
      <c r="T75" s="338"/>
      <c r="V75" s="220">
        <f t="shared" si="57"/>
        <v>-0.44240589725929247</v>
      </c>
      <c r="W75" s="220">
        <f t="shared" si="58"/>
        <v>-0.56262855978748005</v>
      </c>
      <c r="X75" s="220">
        <f t="shared" si="59"/>
        <v>-1</v>
      </c>
    </row>
    <row r="76" spans="1:24" ht="12" customHeight="1" x14ac:dyDescent="0.25">
      <c r="A76" s="845"/>
      <c r="B76" s="25"/>
      <c r="C76" s="27"/>
      <c r="D76" s="9" t="s">
        <v>119</v>
      </c>
      <c r="E76" s="27"/>
      <c r="F76" s="58"/>
      <c r="H76" s="29"/>
      <c r="I76" s="29"/>
      <c r="J76" s="36">
        <f>'1.3.Historical BS'!O76</f>
        <v>0</v>
      </c>
      <c r="K76" s="36">
        <f>'1.3.Historical BS'!P76</f>
        <v>0</v>
      </c>
      <c r="L76" s="36">
        <f>'1.3.Historical BS'!Q76</f>
        <v>0</v>
      </c>
      <c r="M76" s="325">
        <f t="shared" si="63"/>
        <v>0</v>
      </c>
      <c r="N76" s="325">
        <f t="shared" si="63"/>
        <v>0</v>
      </c>
      <c r="O76" s="325">
        <f t="shared" si="63"/>
        <v>0</v>
      </c>
      <c r="P76" s="325">
        <f t="shared" si="63"/>
        <v>0</v>
      </c>
      <c r="Q76" s="325">
        <f t="shared" si="61"/>
        <v>0</v>
      </c>
      <c r="R76" s="325">
        <f t="shared" si="62"/>
        <v>0</v>
      </c>
      <c r="S76" s="338"/>
      <c r="T76" s="338"/>
      <c r="V76" s="220">
        <f t="shared" si="57"/>
        <v>0</v>
      </c>
      <c r="W76" s="220">
        <f t="shared" si="58"/>
        <v>0</v>
      </c>
      <c r="X76" s="220">
        <f t="shared" si="59"/>
        <v>0</v>
      </c>
    </row>
    <row r="77" spans="1:24" ht="12" customHeight="1" x14ac:dyDescent="0.25">
      <c r="A77" s="845"/>
      <c r="B77" s="25"/>
      <c r="C77" s="28"/>
      <c r="D77" s="9" t="s">
        <v>111</v>
      </c>
      <c r="E77" s="28"/>
      <c r="F77" s="28"/>
      <c r="H77" s="29"/>
      <c r="I77" s="29"/>
      <c r="J77" s="36">
        <f>'1.3.Historical BS'!O77</f>
        <v>0</v>
      </c>
      <c r="K77" s="36">
        <f>'1.3.Historical BS'!P77</f>
        <v>0</v>
      </c>
      <c r="L77" s="36">
        <f>'1.3.Historical BS'!Q77</f>
        <v>0</v>
      </c>
      <c r="M77" s="325">
        <f t="shared" si="63"/>
        <v>0</v>
      </c>
      <c r="N77" s="325">
        <f t="shared" si="63"/>
        <v>0</v>
      </c>
      <c r="O77" s="325">
        <f t="shared" si="63"/>
        <v>0</v>
      </c>
      <c r="P77" s="325">
        <f t="shared" si="63"/>
        <v>0</v>
      </c>
      <c r="Q77" s="325">
        <f t="shared" si="61"/>
        <v>0</v>
      </c>
      <c r="R77" s="325">
        <f t="shared" si="62"/>
        <v>0</v>
      </c>
      <c r="S77" s="338"/>
      <c r="T77" s="338"/>
      <c r="V77" s="220">
        <f t="shared" si="57"/>
        <v>0</v>
      </c>
      <c r="W77" s="220">
        <f t="shared" si="58"/>
        <v>0</v>
      </c>
      <c r="X77" s="220">
        <f t="shared" si="59"/>
        <v>0</v>
      </c>
    </row>
    <row r="78" spans="1:24" ht="12" customHeight="1" x14ac:dyDescent="0.25">
      <c r="A78" s="845"/>
      <c r="B78" s="25"/>
      <c r="C78" s="27"/>
      <c r="D78" s="9" t="s">
        <v>66</v>
      </c>
      <c r="E78" s="27"/>
      <c r="F78" s="58"/>
      <c r="H78" s="29"/>
      <c r="I78" s="29"/>
      <c r="J78" s="36">
        <f>'1.3.Historical BS'!O78</f>
        <v>0</v>
      </c>
      <c r="K78" s="36">
        <f>'1.3.Historical BS'!P78</f>
        <v>0</v>
      </c>
      <c r="L78" s="36">
        <f>'1.3.Historical BS'!Q78</f>
        <v>0</v>
      </c>
      <c r="M78" s="325">
        <f t="shared" si="63"/>
        <v>0</v>
      </c>
      <c r="N78" s="325">
        <f t="shared" si="63"/>
        <v>0</v>
      </c>
      <c r="O78" s="325">
        <f t="shared" si="63"/>
        <v>0</v>
      </c>
      <c r="P78" s="325">
        <f t="shared" si="63"/>
        <v>0</v>
      </c>
      <c r="Q78" s="325">
        <f t="shared" si="61"/>
        <v>0</v>
      </c>
      <c r="R78" s="325">
        <f t="shared" si="62"/>
        <v>0</v>
      </c>
      <c r="S78" s="338"/>
      <c r="T78" s="338"/>
      <c r="V78" s="220">
        <f t="shared" si="57"/>
        <v>0</v>
      </c>
      <c r="W78" s="220">
        <f t="shared" si="58"/>
        <v>0</v>
      </c>
      <c r="X78" s="220">
        <f t="shared" si="59"/>
        <v>0</v>
      </c>
    </row>
    <row r="79" spans="1:24" ht="12" customHeight="1" x14ac:dyDescent="0.25">
      <c r="A79" s="845"/>
      <c r="B79" s="25"/>
      <c r="C79" s="49" t="str">
        <f>"Total "&amp;LOWER(C73)</f>
        <v>Total long term liabilities</v>
      </c>
      <c r="D79" s="50"/>
      <c r="E79" s="50"/>
      <c r="F79" s="50"/>
      <c r="G79" s="50"/>
      <c r="H79" s="51"/>
      <c r="I79" s="52"/>
      <c r="J79" s="227">
        <f>SUM(J74:J78)</f>
        <v>58.589125982691414</v>
      </c>
      <c r="K79" s="227">
        <f>SUM(K74:K78)</f>
        <v>20.923834152413249</v>
      </c>
      <c r="L79" s="227">
        <f>SUM(L74:L78)</f>
        <v>18.216014494307338</v>
      </c>
      <c r="M79" s="227">
        <f>SUM(M74:M78)</f>
        <v>7.9671644943073385</v>
      </c>
      <c r="N79" s="227">
        <f t="shared" ref="N79:P79" si="64">SUM(N74:N78)</f>
        <v>1.9181244943073388</v>
      </c>
      <c r="O79" s="227">
        <f t="shared" si="64"/>
        <v>0</v>
      </c>
      <c r="P79" s="227">
        <f t="shared" si="64"/>
        <v>0</v>
      </c>
      <c r="Q79" s="227">
        <f t="shared" ref="Q79:R79" si="65">SUM(Q74:Q78)</f>
        <v>0</v>
      </c>
      <c r="R79" s="227">
        <f t="shared" si="65"/>
        <v>0</v>
      </c>
      <c r="S79" s="338"/>
      <c r="T79" s="338"/>
      <c r="V79" s="220">
        <f t="shared" si="57"/>
        <v>-0.44240589725929247</v>
      </c>
      <c r="W79" s="220">
        <f t="shared" si="58"/>
        <v>-0.56262855978748005</v>
      </c>
      <c r="X79" s="220">
        <f t="shared" si="59"/>
        <v>-1</v>
      </c>
    </row>
    <row r="80" spans="1:24" ht="12" customHeight="1" x14ac:dyDescent="0.25">
      <c r="A80" s="845"/>
      <c r="B80" s="25"/>
      <c r="C80" s="49" t="s">
        <v>65</v>
      </c>
      <c r="D80" s="50"/>
      <c r="E80" s="50"/>
      <c r="F80" s="50"/>
      <c r="G80" s="50"/>
      <c r="H80" s="51"/>
      <c r="I80" s="52"/>
      <c r="J80" s="227">
        <f>J72+J79</f>
        <v>2450.9737574596465</v>
      </c>
      <c r="K80" s="227">
        <f>K72+K79</f>
        <v>4844.5217438890922</v>
      </c>
      <c r="L80" s="227">
        <f>L72+L79</f>
        <v>3679.6068955166279</v>
      </c>
      <c r="M80" s="227">
        <f ca="1">M72+M79</f>
        <v>5671.9698621428088</v>
      </c>
      <c r="N80" s="227">
        <f t="shared" ref="N80:P80" ca="1" si="66">N72+N79</f>
        <v>5548.3785932958317</v>
      </c>
      <c r="O80" s="227">
        <f t="shared" ca="1" si="66"/>
        <v>5836.3883243039008</v>
      </c>
      <c r="P80" s="227">
        <f t="shared" ca="1" si="66"/>
        <v>6066.984220714794</v>
      </c>
      <c r="Q80" s="227">
        <f t="shared" ref="Q80:R80" ca="1" si="67">Q72+Q79</f>
        <v>6366.9149867000124</v>
      </c>
      <c r="R80" s="227">
        <f t="shared" ca="1" si="67"/>
        <v>6663.7726915583298</v>
      </c>
      <c r="S80" s="338"/>
      <c r="T80" s="338"/>
      <c r="V80" s="220">
        <f t="shared" si="57"/>
        <v>0.22526881837429413</v>
      </c>
      <c r="W80" s="220">
        <f t="shared" ca="1" si="58"/>
        <v>0.54146081991903849</v>
      </c>
      <c r="X80" s="220">
        <f t="shared" ca="1" si="59"/>
        <v>2.2695433947151678E-2</v>
      </c>
    </row>
    <row r="81" spans="1:25" ht="12" customHeight="1" x14ac:dyDescent="0.25">
      <c r="A81" s="845"/>
      <c r="B81" s="25"/>
      <c r="C81" s="49" t="s">
        <v>64</v>
      </c>
      <c r="D81" s="50"/>
      <c r="E81" s="50"/>
      <c r="F81" s="50"/>
      <c r="G81" s="50"/>
      <c r="H81" s="51"/>
      <c r="I81" s="52"/>
      <c r="J81" s="227">
        <f>J52+J80</f>
        <v>3606.5474620686618</v>
      </c>
      <c r="K81" s="227">
        <f>K52+K80</f>
        <v>5684.361252870357</v>
      </c>
      <c r="L81" s="227">
        <f>L52+L80</f>
        <v>4846.2121057484082</v>
      </c>
      <c r="M81" s="227">
        <f ca="1">M52+M80</f>
        <v>7468.0491348334126</v>
      </c>
      <c r="N81" s="227">
        <f t="shared" ref="N81:P81" ca="1" si="68">N52+N80</f>
        <v>8020.2534430754276</v>
      </c>
      <c r="O81" s="227">
        <f t="shared" ca="1" si="68"/>
        <v>9028.4331835472312</v>
      </c>
      <c r="P81" s="227">
        <f t="shared" ca="1" si="68"/>
        <v>10016.970277006001</v>
      </c>
      <c r="Q81" s="227">
        <f t="shared" ref="Q81:R81" ca="1" si="69">Q52+Q80</f>
        <v>11113.090098506405</v>
      </c>
      <c r="R81" s="227">
        <f t="shared" ca="1" si="69"/>
        <v>12246.055134173201</v>
      </c>
      <c r="S81" s="338"/>
      <c r="T81" s="338"/>
      <c r="V81" s="220">
        <f t="shared" si="57"/>
        <v>0.15919202102699415</v>
      </c>
      <c r="W81" s="220">
        <f t="shared" ca="1" si="58"/>
        <v>0.54100748623343842</v>
      </c>
      <c r="X81" s="220">
        <f t="shared" ca="1" si="59"/>
        <v>0.10283296569418621</v>
      </c>
    </row>
    <row r="82" spans="1:25" ht="12" customHeight="1" x14ac:dyDescent="0.25">
      <c r="A82" s="845"/>
      <c r="B82" s="25"/>
      <c r="H82" s="22"/>
      <c r="J82" s="108"/>
      <c r="K82" s="108"/>
      <c r="L82" s="108"/>
      <c r="M82" s="108"/>
      <c r="N82" s="108"/>
      <c r="O82" s="108"/>
      <c r="P82" s="108"/>
      <c r="Q82" s="108"/>
      <c r="R82" s="108"/>
    </row>
    <row r="83" spans="1:25" ht="12" customHeight="1" x14ac:dyDescent="0.25">
      <c r="B83" s="25"/>
      <c r="C83" s="59" t="s">
        <v>52</v>
      </c>
      <c r="D83" s="60"/>
      <c r="E83" s="61"/>
      <c r="F83" s="61"/>
      <c r="G83" s="61"/>
      <c r="H83" s="61"/>
      <c r="I83" s="62"/>
      <c r="J83" s="234">
        <f>J41-J81</f>
        <v>-2.6425315809319727E-5</v>
      </c>
      <c r="K83" s="234">
        <f>K41-K81</f>
        <v>0</v>
      </c>
      <c r="L83" s="234">
        <f>L41-L81</f>
        <v>0</v>
      </c>
      <c r="M83" s="234">
        <f t="shared" ref="M83:P83" ca="1" si="70">M41-M81</f>
        <v>0</v>
      </c>
      <c r="N83" s="234">
        <f t="shared" ca="1" si="70"/>
        <v>0</v>
      </c>
      <c r="O83" s="234">
        <f t="shared" ca="1" si="70"/>
        <v>0</v>
      </c>
      <c r="P83" s="234">
        <f t="shared" ca="1" si="70"/>
        <v>0</v>
      </c>
      <c r="Q83" s="234">
        <f t="shared" ref="Q83:R83" ca="1" si="71">Q41-Q81</f>
        <v>0</v>
      </c>
      <c r="R83" s="234">
        <f t="shared" ca="1" si="71"/>
        <v>0</v>
      </c>
    </row>
    <row r="84" spans="1:25" ht="12" customHeight="1" x14ac:dyDescent="0.25">
      <c r="M84" s="57"/>
      <c r="N84" s="57"/>
      <c r="O84" s="57"/>
      <c r="P84" s="57"/>
      <c r="Q84" s="57"/>
      <c r="R84" s="57"/>
      <c r="S84" s="57"/>
    </row>
    <row r="85" spans="1:25" s="98" customFormat="1" ht="12" customHeight="1" x14ac:dyDescent="0.25">
      <c r="A85" s="96" t="s">
        <v>0</v>
      </c>
      <c r="B85" s="64"/>
      <c r="C85" s="64"/>
      <c r="D85" s="64"/>
      <c r="E85" s="64"/>
      <c r="F85" s="81"/>
      <c r="G85" s="81"/>
      <c r="H85" s="97"/>
      <c r="I85" s="81"/>
      <c r="K85" s="99"/>
      <c r="L85" s="99"/>
      <c r="M85" s="99"/>
      <c r="N85" s="99"/>
      <c r="O85" s="99"/>
      <c r="P85" s="99"/>
      <c r="Q85" s="99"/>
      <c r="R85" s="99"/>
      <c r="S85" s="99"/>
      <c r="V85" s="100"/>
      <c r="W85" s="100"/>
      <c r="X85" s="100"/>
      <c r="Y85" s="81"/>
    </row>
    <row r="86" spans="1:25" ht="12" customHeight="1" x14ac:dyDescent="0.25">
      <c r="K86" s="24"/>
      <c r="L86" s="24"/>
      <c r="M86" s="499"/>
      <c r="N86" s="498"/>
      <c r="O86" s="498"/>
      <c r="P86" s="498"/>
      <c r="Q86" s="57"/>
      <c r="R86" s="57"/>
      <c r="S86" s="57"/>
    </row>
    <row r="87" spans="1:25" ht="12" customHeight="1" x14ac:dyDescent="0.25">
      <c r="N87" s="454"/>
      <c r="O87" s="454"/>
      <c r="P87" s="454"/>
    </row>
    <row r="88" spans="1:25" ht="12" customHeight="1" x14ac:dyDescent="0.25">
      <c r="M88" s="80"/>
    </row>
    <row r="90" spans="1:25" ht="12" customHeight="1" x14ac:dyDescent="0.25">
      <c r="M90" s="453"/>
    </row>
  </sheetData>
  <conditionalFormatting sqref="A3">
    <cfRule type="containsText" dxfId="3" priority="1" operator="containsText" text="OK">
      <formula>NOT(ISERROR(SEARCH("OK",A3)))</formula>
    </cfRule>
    <cfRule type="containsText" dxfId="2" priority="2" operator="containsText" text="Error">
      <formula>NOT(ISERROR(SEARCH("Error",A3)))</formula>
    </cfRule>
  </conditionalFormatting>
  <pageMargins left="0.7" right="0.7" top="0.75" bottom="0.75" header="0.3" footer="0.3"/>
  <pageSetup paperSize="9" orientation="portrait" r:id="rId1"/>
  <headerFooter>
    <oddFooter>&amp;C&amp;7&amp;B&amp;"Arial"Document Classification: KPMG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6241" r:id="rId4" name="Button 1">
              <controlPr defaultSize="0" autoFill="0" autoPict="0" macro="[0]!scenario1">
                <anchor moveWithCells="1" sizeWithCells="1">
                  <from>
                    <xdr:col>6</xdr:col>
                    <xdr:colOff>502920</xdr:colOff>
                    <xdr:row>1</xdr:row>
                    <xdr:rowOff>0</xdr:rowOff>
                  </from>
                  <to>
                    <xdr:col>7</xdr:col>
                    <xdr:colOff>68580</xdr:colOff>
                    <xdr:row>2</xdr:row>
                    <xdr:rowOff>91440</xdr:rowOff>
                  </to>
                </anchor>
              </controlPr>
            </control>
          </mc:Choice>
        </mc:AlternateContent>
        <mc:AlternateContent xmlns:mc="http://schemas.openxmlformats.org/markup-compatibility/2006">
          <mc:Choice Requires="x14">
            <control shapeId="1546242" r:id="rId5" name="Button 2">
              <controlPr defaultSize="0" autoFill="0" autoPict="0" macro="[0]!scenario2">
                <anchor moveWithCells="1" sizeWithCells="1">
                  <from>
                    <xdr:col>7</xdr:col>
                    <xdr:colOff>83820</xdr:colOff>
                    <xdr:row>1</xdr:row>
                    <xdr:rowOff>0</xdr:rowOff>
                  </from>
                  <to>
                    <xdr:col>7</xdr:col>
                    <xdr:colOff>388620</xdr:colOff>
                    <xdr:row>2</xdr:row>
                    <xdr:rowOff>91440</xdr:rowOff>
                  </to>
                </anchor>
              </controlPr>
            </control>
          </mc:Choice>
        </mc:AlternateContent>
        <mc:AlternateContent xmlns:mc="http://schemas.openxmlformats.org/markup-compatibility/2006">
          <mc:Choice Requires="x14">
            <control shapeId="1546243" r:id="rId6" name="Button 3">
              <controlPr defaultSize="0" autoFill="0" autoPict="0" macro="[0]!scenario3">
                <anchor moveWithCells="1" sizeWithCells="1">
                  <from>
                    <xdr:col>7</xdr:col>
                    <xdr:colOff>396240</xdr:colOff>
                    <xdr:row>1</xdr:row>
                    <xdr:rowOff>0</xdr:rowOff>
                  </from>
                  <to>
                    <xdr:col>7</xdr:col>
                    <xdr:colOff>708660</xdr:colOff>
                    <xdr:row>2</xdr:row>
                    <xdr:rowOff>91440</xdr:rowOff>
                  </to>
                </anchor>
              </controlPr>
            </control>
          </mc:Choice>
        </mc:AlternateContent>
        <mc:AlternateContent xmlns:mc="http://schemas.openxmlformats.org/markup-compatibility/2006">
          <mc:Choice Requires="x14">
            <control shapeId="1546244" r:id="rId7" name="Button 4">
              <controlPr defaultSize="0" print="0" autoFill="0" autoPict="0" macro="[0]!Module3.ModelMap">
                <anchor moveWithCells="1" sizeWithCells="1">
                  <from>
                    <xdr:col>5</xdr:col>
                    <xdr:colOff>2316480</xdr:colOff>
                    <xdr:row>1</xdr:row>
                    <xdr:rowOff>0</xdr:rowOff>
                  </from>
                  <to>
                    <xdr:col>6</xdr:col>
                    <xdr:colOff>495300</xdr:colOff>
                    <xdr:row>2</xdr:row>
                    <xdr:rowOff>91440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
  <sheetViews>
    <sheetView workbookViewId="0"/>
  </sheetViews>
  <sheetFormatPr defaultRowHeight="13.2" x14ac:dyDescent="0.25"/>
  <sheetData>
    <row r="1" spans="1:5" x14ac:dyDescent="0.25">
      <c r="A1" s="27" t="s">
        <v>1609</v>
      </c>
      <c r="B1" s="27" t="s">
        <v>1610</v>
      </c>
      <c r="C1" s="27" t="s">
        <v>1611</v>
      </c>
      <c r="D1" s="27" t="s">
        <v>1612</v>
      </c>
      <c r="E1" s="27" t="s">
        <v>1613</v>
      </c>
    </row>
    <row r="2" spans="1:5" x14ac:dyDescent="0.25">
      <c r="A2">
        <v>4</v>
      </c>
      <c r="B2">
        <v>498</v>
      </c>
      <c r="C2">
        <v>15</v>
      </c>
      <c r="D2">
        <v>512</v>
      </c>
      <c r="E2" t="s">
        <v>1614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FF00"/>
    <outlinePr summaryBelow="0" summaryRight="0"/>
  </sheetPr>
  <dimension ref="A1:AC767"/>
  <sheetViews>
    <sheetView showGridLines="0" zoomScaleNormal="100" workbookViewId="0">
      <pane xSplit="9" ySplit="4" topLeftCell="J488" activePane="bottomRight" state="frozen"/>
      <selection activeCell="L6" sqref="L6"/>
      <selection pane="topRight" activeCell="L6" sqref="L6"/>
      <selection pane="bottomLeft" activeCell="L6" sqref="L6"/>
      <selection pane="bottomRight" activeCell="Q503" sqref="Q503"/>
    </sheetView>
  </sheetViews>
  <sheetFormatPr defaultColWidth="0" defaultRowHeight="12" customHeight="1" outlineLevelRow="2" outlineLevelCol="1" x14ac:dyDescent="0.25"/>
  <cols>
    <col min="1" max="1" width="3.6640625" style="9" customWidth="1"/>
    <col min="2" max="3" width="5.6640625" style="9" customWidth="1"/>
    <col min="4" max="4" width="13.109375" style="9" customWidth="1" collapsed="1"/>
    <col min="5" max="5" width="2.6640625" style="9" hidden="1" customWidth="1" outlineLevel="1"/>
    <col min="6" max="6" width="40.6640625" style="10" hidden="1" customWidth="1" outlineLevel="1"/>
    <col min="7" max="7" width="10.6640625" style="10" hidden="1" customWidth="1" outlineLevel="1"/>
    <col min="8" max="8" width="10.6640625" style="11" hidden="1" customWidth="1" outlineLevel="1"/>
    <col min="9" max="9" width="1.88671875" style="10" customWidth="1" outlineLevel="1"/>
    <col min="10" max="13" width="7.5546875" style="12" customWidth="1"/>
    <col min="14" max="14" width="7.5546875" style="13" customWidth="1"/>
    <col min="15" max="15" width="8.44140625" style="13" customWidth="1"/>
    <col min="16" max="16" width="9.44140625" style="13" bestFit="1" customWidth="1"/>
    <col min="17" max="17" width="13.44140625" style="13" bestFit="1" customWidth="1"/>
    <col min="18" max="18" width="40.6640625" style="10" customWidth="1"/>
    <col min="19" max="19" width="2.6640625" style="12" hidden="1" customWidth="1"/>
    <col min="20" max="23" width="10.6640625" style="12" hidden="1" customWidth="1"/>
    <col min="24" max="24" width="2.6640625" style="12" hidden="1" customWidth="1"/>
    <col min="25" max="29" width="10.6640625" style="12" hidden="1" customWidth="1"/>
    <col min="30" max="16384" width="0" style="12" hidden="1"/>
  </cols>
  <sheetData>
    <row r="1" spans="1:18" s="6" customFormat="1" ht="12" customHeight="1" x14ac:dyDescent="0.25">
      <c r="A1" s="1" t="str">
        <f ca="1">MID(CELL("filename"),SEARCH("[",CELL("filename"))+1, SEARCH("]",CELL("filename"))-SEARCH("[",CELL("filename"))-1)</f>
        <v>Project Horeco_190409_1810.xlsm</v>
      </c>
      <c r="B1" s="1"/>
      <c r="C1" s="1"/>
      <c r="D1" s="1"/>
      <c r="E1" s="1"/>
      <c r="F1" s="1"/>
      <c r="G1" s="1"/>
      <c r="H1" s="2"/>
      <c r="I1" s="1"/>
      <c r="J1" s="3">
        <f>'1.0.Model timing'!J9</f>
        <v>42370</v>
      </c>
      <c r="K1" s="3">
        <f>'1.0.Model timing'!K9</f>
        <v>42736</v>
      </c>
      <c r="L1" s="3">
        <f>'1.0.Model timing'!L9</f>
        <v>43101</v>
      </c>
      <c r="M1" s="3">
        <f>'1.0.Model timing'!M9</f>
        <v>43466</v>
      </c>
      <c r="N1" s="5"/>
      <c r="O1" s="5"/>
      <c r="P1" s="5"/>
      <c r="Q1" s="5"/>
      <c r="R1" s="1" t="s">
        <v>11</v>
      </c>
    </row>
    <row r="2" spans="1:18" s="6" customFormat="1" ht="12" customHeight="1" x14ac:dyDescent="0.25">
      <c r="A2" s="1" t="str">
        <f ca="1">RIGHT(CELL("filename",A2),LEN(CELL("filename",A2))-FIND("]",CELL("filename",A2)))</f>
        <v>4.1.Summary</v>
      </c>
      <c r="B2" s="1"/>
      <c r="C2" s="1"/>
      <c r="D2" s="1"/>
      <c r="E2" s="1"/>
      <c r="F2" s="1"/>
      <c r="G2" s="1"/>
      <c r="H2" s="2"/>
      <c r="I2" s="1"/>
      <c r="J2" s="3">
        <f>'1.0.Model timing'!J10</f>
        <v>42735</v>
      </c>
      <c r="K2" s="3">
        <f>'1.0.Model timing'!K10</f>
        <v>43100</v>
      </c>
      <c r="L2" s="3">
        <f>'1.0.Model timing'!L10</f>
        <v>43465</v>
      </c>
      <c r="M2" s="3">
        <f>'0.2.Parameters'!H13</f>
        <v>43466</v>
      </c>
      <c r="N2" s="5" t="s">
        <v>9</v>
      </c>
      <c r="O2" s="5" t="s">
        <v>9</v>
      </c>
      <c r="P2" s="5" t="s">
        <v>9</v>
      </c>
      <c r="Q2" s="5"/>
      <c r="R2" s="1"/>
    </row>
    <row r="3" spans="1:18" s="6" customFormat="1" ht="12" customHeight="1" x14ac:dyDescent="0.25">
      <c r="A3" s="1"/>
      <c r="B3" s="1"/>
      <c r="C3" s="1"/>
      <c r="D3" s="1"/>
      <c r="E3" s="1"/>
      <c r="F3" s="1"/>
      <c r="G3" s="1"/>
      <c r="H3" s="2"/>
      <c r="I3" s="1"/>
      <c r="J3" s="7">
        <f>'1.0.Model timing'!J11</f>
        <v>2016</v>
      </c>
      <c r="K3" s="7">
        <f>'1.0.Model timing'!K11</f>
        <v>2017</v>
      </c>
      <c r="L3" s="7">
        <f>'1.0.Model timing'!L11</f>
        <v>2018</v>
      </c>
      <c r="M3" s="7">
        <f>'1.0.Model timing'!M11</f>
        <v>2019</v>
      </c>
      <c r="N3" s="7">
        <f>'1.0.Model timing'!N11</f>
        <v>2020</v>
      </c>
      <c r="O3" s="7">
        <f>'1.0.Model timing'!O11</f>
        <v>2021</v>
      </c>
      <c r="P3" s="7">
        <f>'1.0.Model timing'!P11</f>
        <v>2022</v>
      </c>
      <c r="Q3" s="5"/>
      <c r="R3" s="1"/>
    </row>
    <row r="4" spans="1:18" s="6" customFormat="1" ht="12" customHeight="1" x14ac:dyDescent="0.25">
      <c r="A4" s="1"/>
      <c r="B4" s="1"/>
      <c r="C4" s="1"/>
      <c r="D4" s="1"/>
      <c r="E4" s="1"/>
      <c r="F4" s="1"/>
      <c r="G4" s="1"/>
      <c r="H4" s="2" t="s">
        <v>7</v>
      </c>
      <c r="I4" s="1"/>
      <c r="J4" s="8" t="str">
        <f>'1.0.Model timing'!J15</f>
        <v>Actual</v>
      </c>
      <c r="K4" s="8" t="str">
        <f>'1.0.Model timing'!K15</f>
        <v>Actual</v>
      </c>
      <c r="L4" s="8" t="str">
        <f>'1.0.Model timing'!L15</f>
        <v>Actual</v>
      </c>
      <c r="M4" s="8" t="str">
        <f>'1.0.Model timing'!M15</f>
        <v>Forecast</v>
      </c>
      <c r="N4" s="5" t="s">
        <v>253</v>
      </c>
      <c r="O4" s="5" t="s">
        <v>378</v>
      </c>
      <c r="P4" s="5" t="s">
        <v>253</v>
      </c>
      <c r="Q4" s="5"/>
      <c r="R4" s="1"/>
    </row>
    <row r="6" spans="1:18" ht="12" customHeight="1" x14ac:dyDescent="0.25">
      <c r="H6" s="22"/>
      <c r="J6" s="23"/>
      <c r="K6" s="23"/>
      <c r="L6" s="23"/>
      <c r="M6" s="23"/>
    </row>
    <row r="7" spans="1:18" ht="19.5" customHeight="1" x14ac:dyDescent="0.25">
      <c r="D7" s="515" t="s">
        <v>386</v>
      </c>
      <c r="E7" s="513"/>
      <c r="F7" s="513"/>
      <c r="G7" s="513"/>
      <c r="H7" s="513"/>
      <c r="I7" s="513"/>
      <c r="J7" s="514"/>
      <c r="K7" s="514"/>
      <c r="L7" s="514"/>
      <c r="M7" s="514"/>
      <c r="N7" s="516"/>
    </row>
    <row r="8" spans="1:18" ht="20.399999999999999" x14ac:dyDescent="0.2">
      <c r="B8" s="25"/>
      <c r="C8" s="39"/>
      <c r="D8" s="517" t="s">
        <v>385</v>
      </c>
      <c r="E8" s="518"/>
      <c r="F8" s="518"/>
      <c r="G8" s="518"/>
      <c r="H8" s="518"/>
      <c r="I8" s="518"/>
      <c r="J8" s="519" t="s">
        <v>381</v>
      </c>
      <c r="K8" s="519" t="s">
        <v>382</v>
      </c>
      <c r="L8" s="519" t="s">
        <v>383</v>
      </c>
      <c r="M8" s="519" t="s">
        <v>384</v>
      </c>
      <c r="N8" s="535" t="s">
        <v>387</v>
      </c>
      <c r="O8" s="225"/>
      <c r="P8" s="225"/>
      <c r="Q8" s="225"/>
    </row>
    <row r="9" spans="1:18" s="6" customFormat="1" ht="12" customHeight="1" x14ac:dyDescent="0.25">
      <c r="A9" s="9"/>
      <c r="B9" s="25"/>
      <c r="C9" s="33"/>
      <c r="D9" s="520" t="s">
        <v>241</v>
      </c>
      <c r="E9" s="511"/>
      <c r="F9" s="511"/>
      <c r="G9" s="511"/>
      <c r="H9" s="511"/>
      <c r="I9" s="511"/>
      <c r="J9" s="589">
        <f>'1.2.Historical IS'!AD9</f>
        <v>4979.0619087913065</v>
      </c>
      <c r="K9" s="589">
        <f>'1.2.Historical IS'!AE9</f>
        <v>9683.1007377246551</v>
      </c>
      <c r="L9" s="589">
        <f>'1.2.Historical IS'!AF9</f>
        <v>7557.0960395401326</v>
      </c>
      <c r="M9" s="589">
        <f>'1.2.Historical IS'!AG9</f>
        <v>0</v>
      </c>
      <c r="N9" s="531">
        <f t="shared" ref="N9:N54" si="0">IF(ISERROR((($L9/$J9)^(1/($L$3-$J$3))-1)),0,(($L9/$J9)^(1/($L$3-$J$3))-1))</f>
        <v>0.23198014208023054</v>
      </c>
      <c r="O9" s="220">
        <f t="shared" ref="O9:O54" si="1">IF(ISERROR($M9/$L9-1),0,$M9/$L9-1)</f>
        <v>-1</v>
      </c>
      <c r="P9" s="608">
        <f>L9/J9-1</f>
        <v>0.51777507048002502</v>
      </c>
      <c r="Q9" s="220"/>
      <c r="R9" s="10" t="s">
        <v>240</v>
      </c>
    </row>
    <row r="10" spans="1:18" s="6" customFormat="1" ht="12" customHeight="1" x14ac:dyDescent="0.25">
      <c r="A10" s="9"/>
      <c r="B10" s="25"/>
      <c r="C10" s="33"/>
      <c r="D10" s="522" t="s">
        <v>283</v>
      </c>
      <c r="E10" s="511"/>
      <c r="F10" s="511"/>
      <c r="G10" s="511"/>
      <c r="H10" s="511"/>
      <c r="I10" s="511"/>
      <c r="J10" s="589">
        <f>'1.2.Historical IS'!AD10</f>
        <v>3581.311171728868</v>
      </c>
      <c r="K10" s="589">
        <f>'1.2.Historical IS'!AE10</f>
        <v>8365.4754405551539</v>
      </c>
      <c r="L10" s="589">
        <f>'1.2.Historical IS'!AF10</f>
        <v>6263.9606425271304</v>
      </c>
      <c r="M10" s="589">
        <f>'1.2.Historical IS'!AG10</f>
        <v>0</v>
      </c>
      <c r="N10" s="531">
        <f t="shared" si="0"/>
        <v>0.32252375469423566</v>
      </c>
      <c r="O10" s="220">
        <f t="shared" si="1"/>
        <v>-1</v>
      </c>
      <c r="P10" s="220"/>
      <c r="Q10" s="220"/>
      <c r="R10" s="10" t="s">
        <v>240</v>
      </c>
    </row>
    <row r="11" spans="1:18" s="13" customFormat="1" ht="12" customHeight="1" x14ac:dyDescent="0.25">
      <c r="A11" s="11"/>
      <c r="B11" s="72"/>
      <c r="C11" s="38"/>
      <c r="D11" s="522" t="s">
        <v>284</v>
      </c>
      <c r="E11" s="511"/>
      <c r="F11" s="511"/>
      <c r="G11" s="511"/>
      <c r="H11" s="511"/>
      <c r="I11" s="511"/>
      <c r="J11" s="589">
        <f>'1.2.Historical IS'!AD13</f>
        <v>379.61050146967131</v>
      </c>
      <c r="K11" s="589">
        <f>'1.2.Historical IS'!AE13</f>
        <v>691.0021080974584</v>
      </c>
      <c r="L11" s="589">
        <f>'1.2.Historical IS'!AF13</f>
        <v>416.49837756527342</v>
      </c>
      <c r="M11" s="589">
        <f>'1.2.Historical IS'!AG13</f>
        <v>0</v>
      </c>
      <c r="N11" s="531">
        <f t="shared" si="0"/>
        <v>4.7460242708311728E-2</v>
      </c>
      <c r="O11" s="220">
        <f t="shared" si="1"/>
        <v>-1</v>
      </c>
      <c r="P11" s="220"/>
      <c r="Q11" s="220"/>
      <c r="R11" s="10" t="s">
        <v>240</v>
      </c>
    </row>
    <row r="12" spans="1:18" s="13" customFormat="1" ht="12" customHeight="1" x14ac:dyDescent="0.25">
      <c r="A12" s="11"/>
      <c r="B12" s="72"/>
      <c r="C12" s="38"/>
      <c r="D12" s="522" t="s">
        <v>229</v>
      </c>
      <c r="E12" s="511"/>
      <c r="F12" s="511"/>
      <c r="G12" s="511"/>
      <c r="H12" s="511"/>
      <c r="I12" s="511"/>
      <c r="J12" s="589">
        <f>'1.2.Historical IS'!AD14</f>
        <v>1025.8539703393606</v>
      </c>
      <c r="K12" s="589">
        <f>'1.2.Historical IS'!AE14</f>
        <v>636.83500142291098</v>
      </c>
      <c r="L12" s="589">
        <f>'1.2.Historical IS'!AF14</f>
        <v>913.85854303212636</v>
      </c>
      <c r="M12" s="589">
        <f>'1.2.Historical IS'!AG14</f>
        <v>0</v>
      </c>
      <c r="N12" s="531">
        <f t="shared" si="0"/>
        <v>-5.6163613243395027E-2</v>
      </c>
      <c r="O12" s="220">
        <f t="shared" si="1"/>
        <v>-1</v>
      </c>
      <c r="P12" s="220"/>
      <c r="Q12" s="220"/>
      <c r="R12" s="10" t="s">
        <v>240</v>
      </c>
    </row>
    <row r="13" spans="1:18" s="13" customFormat="1" ht="12" customHeight="1" x14ac:dyDescent="0.25">
      <c r="A13" s="11"/>
      <c r="B13" s="72"/>
      <c r="C13" s="38"/>
      <c r="D13" s="520" t="s">
        <v>285</v>
      </c>
      <c r="E13" s="511"/>
      <c r="F13" s="511"/>
      <c r="G13" s="511"/>
      <c r="H13" s="511"/>
      <c r="I13" s="511"/>
      <c r="J13" s="589">
        <f>'1.2.Historical IS'!AD18</f>
        <v>339.79780885365636</v>
      </c>
      <c r="K13" s="589">
        <f>'1.2.Historical IS'!AE18</f>
        <v>-98.606860620389227</v>
      </c>
      <c r="L13" s="589">
        <f>'1.2.Historical IS'!AF18</f>
        <v>517.80552272483078</v>
      </c>
      <c r="M13" s="589">
        <f>'1.2.Historical IS'!AG18</f>
        <v>0</v>
      </c>
      <c r="N13" s="531">
        <f t="shared" si="0"/>
        <v>0.2344487153229049</v>
      </c>
      <c r="O13" s="220">
        <f t="shared" si="1"/>
        <v>-1</v>
      </c>
      <c r="P13" s="220"/>
      <c r="Q13" s="220"/>
      <c r="R13" s="10" t="s">
        <v>240</v>
      </c>
    </row>
    <row r="14" spans="1:18" s="6" customFormat="1" ht="12" customHeight="1" x14ac:dyDescent="0.25">
      <c r="A14" s="9"/>
      <c r="B14" s="25"/>
      <c r="C14" s="33"/>
      <c r="D14" s="520" t="s">
        <v>379</v>
      </c>
      <c r="E14" s="511"/>
      <c r="F14" s="511"/>
      <c r="G14" s="511"/>
      <c r="H14" s="511"/>
      <c r="I14" s="511"/>
      <c r="J14" s="589">
        <f>'1.2.Historical IS'!AD19</f>
        <v>59.596664291440284</v>
      </c>
      <c r="K14" s="589">
        <f>'1.2.Historical IS'!AE19</f>
        <v>42.926015192311901</v>
      </c>
      <c r="L14" s="589">
        <f>'1.2.Historical IS'!AF19</f>
        <v>40.90373697217148</v>
      </c>
      <c r="M14" s="589">
        <f>'1.2.Historical IS'!AG19</f>
        <v>0</v>
      </c>
      <c r="N14" s="531">
        <f t="shared" si="0"/>
        <v>-0.17154195940606887</v>
      </c>
      <c r="O14" s="220">
        <f t="shared" si="1"/>
        <v>-1</v>
      </c>
      <c r="P14" s="220"/>
      <c r="Q14" s="220"/>
      <c r="R14" s="10" t="s">
        <v>240</v>
      </c>
    </row>
    <row r="15" spans="1:18" s="6" customFormat="1" ht="20.399999999999999" x14ac:dyDescent="0.25">
      <c r="A15" s="9"/>
      <c r="B15" s="25"/>
      <c r="C15" s="33"/>
      <c r="D15" s="522" t="s">
        <v>295</v>
      </c>
      <c r="E15" s="511"/>
      <c r="F15" s="511"/>
      <c r="G15" s="511"/>
      <c r="H15" s="511"/>
      <c r="I15" s="511"/>
      <c r="J15" s="589">
        <f>'1.2.Historical IS'!AD20</f>
        <v>4.275743742762983</v>
      </c>
      <c r="K15" s="589">
        <f>'1.2.Historical IS'!AE20</f>
        <v>4.1828834745298922</v>
      </c>
      <c r="L15" s="589">
        <f>'1.2.Historical IS'!AF20</f>
        <v>2.0312216611152896</v>
      </c>
      <c r="M15" s="589">
        <f>'1.2.Historical IS'!AG20</f>
        <v>0</v>
      </c>
      <c r="N15" s="531">
        <f t="shared" si="0"/>
        <v>-0.31075626817229784</v>
      </c>
      <c r="O15" s="220">
        <f t="shared" si="1"/>
        <v>-1</v>
      </c>
      <c r="P15" s="220"/>
      <c r="Q15" s="220"/>
      <c r="R15" s="10" t="s">
        <v>240</v>
      </c>
    </row>
    <row r="16" spans="1:18" ht="12" customHeight="1" x14ac:dyDescent="0.25">
      <c r="B16" s="25"/>
      <c r="C16" s="39"/>
      <c r="D16" s="525" t="s">
        <v>61</v>
      </c>
      <c r="E16" s="526"/>
      <c r="F16" s="526"/>
      <c r="G16" s="526"/>
      <c r="H16" s="526"/>
      <c r="I16" s="526"/>
      <c r="J16" s="596">
        <f>'1.2.Historical IS'!AD21</f>
        <v>5378.456381936403</v>
      </c>
      <c r="K16" s="596">
        <f>'1.2.Historical IS'!AE21</f>
        <v>9627.419892296577</v>
      </c>
      <c r="L16" s="596">
        <f>'1.2.Historical IS'!AF21</f>
        <v>8115.8052992371349</v>
      </c>
      <c r="M16" s="596">
        <f>'1.2.Historical IS'!AG21</f>
        <v>0</v>
      </c>
      <c r="N16" s="532">
        <f t="shared" si="0"/>
        <v>0.22839201396015718</v>
      </c>
      <c r="O16" s="220">
        <f t="shared" si="1"/>
        <v>-1</v>
      </c>
      <c r="P16" s="220"/>
      <c r="Q16" s="220"/>
    </row>
    <row r="17" spans="1:18" ht="2.4" customHeight="1" x14ac:dyDescent="0.25">
      <c r="B17" s="25"/>
      <c r="D17" s="520"/>
      <c r="E17" s="511"/>
      <c r="F17" s="511"/>
      <c r="G17" s="511"/>
      <c r="H17" s="511"/>
      <c r="I17" s="511"/>
      <c r="J17" s="589">
        <f>'1.2.Historical IS'!AD22</f>
        <v>0</v>
      </c>
      <c r="K17" s="589">
        <f>'1.2.Historical IS'!AE22</f>
        <v>0</v>
      </c>
      <c r="L17" s="589">
        <f>'1.2.Historical IS'!AF22</f>
        <v>0</v>
      </c>
      <c r="M17" s="589">
        <f>'1.2.Historical IS'!AG22</f>
        <v>0</v>
      </c>
      <c r="N17" s="531">
        <f t="shared" si="0"/>
        <v>0</v>
      </c>
      <c r="O17" s="220">
        <f t="shared" si="1"/>
        <v>0</v>
      </c>
      <c r="P17" s="225"/>
      <c r="Q17" s="225"/>
    </row>
    <row r="18" spans="1:18" ht="12" customHeight="1" x14ac:dyDescent="0.25">
      <c r="B18" s="25"/>
      <c r="C18" s="39"/>
      <c r="D18" s="523" t="s">
        <v>144</v>
      </c>
      <c r="E18" s="524"/>
      <c r="F18" s="524"/>
      <c r="G18" s="524"/>
      <c r="H18" s="524"/>
      <c r="I18" s="524"/>
      <c r="J18" s="591">
        <f>'1.2.Historical IS'!AD23</f>
        <v>163.79968602476174</v>
      </c>
      <c r="K18" s="591">
        <f>'1.2.Historical IS'!AE23</f>
        <v>204.84446487598782</v>
      </c>
      <c r="L18" s="591">
        <f>'1.2.Historical IS'!AF23</f>
        <v>232.32738798753627</v>
      </c>
      <c r="M18" s="591">
        <f>'1.2.Historical IS'!AG23</f>
        <v>0</v>
      </c>
      <c r="N18" s="533">
        <f t="shared" si="0"/>
        <v>0.19095039391712287</v>
      </c>
      <c r="O18" s="527">
        <f t="shared" si="1"/>
        <v>-1</v>
      </c>
      <c r="P18" s="220" t="e">
        <f>M18/$M$34</f>
        <v>#DIV/0!</v>
      </c>
      <c r="Q18" s="220"/>
      <c r="R18" s="10" t="s">
        <v>240</v>
      </c>
    </row>
    <row r="19" spans="1:18" s="13" customFormat="1" ht="12" customHeight="1" x14ac:dyDescent="0.25">
      <c r="A19" s="11"/>
      <c r="B19" s="72"/>
      <c r="C19" s="76"/>
      <c r="D19" s="522" t="s">
        <v>103</v>
      </c>
      <c r="E19" s="511"/>
      <c r="F19" s="511"/>
      <c r="G19" s="511"/>
      <c r="H19" s="511"/>
      <c r="I19" s="511"/>
      <c r="J19" s="589">
        <f>'1.2.Historical IS'!AD24</f>
        <v>126.85824352008551</v>
      </c>
      <c r="K19" s="589">
        <f>'1.2.Historical IS'!AE24</f>
        <v>158.22355027254218</v>
      </c>
      <c r="L19" s="589">
        <f>'1.2.Historical IS'!AF24</f>
        <v>216.81959815192866</v>
      </c>
      <c r="M19" s="589">
        <f>'1.2.Historical IS'!AG24</f>
        <v>0</v>
      </c>
      <c r="N19" s="531">
        <f t="shared" si="0"/>
        <v>0.3073441282588425</v>
      </c>
      <c r="O19" s="220">
        <f t="shared" si="1"/>
        <v>-1</v>
      </c>
      <c r="P19" s="220" t="e">
        <f t="shared" ref="P19:P33" si="2">M19/$M$34</f>
        <v>#DIV/0!</v>
      </c>
      <c r="Q19" s="220"/>
      <c r="R19" s="10" t="s">
        <v>240</v>
      </c>
    </row>
    <row r="20" spans="1:18" s="13" customFormat="1" ht="12" customHeight="1" x14ac:dyDescent="0.25">
      <c r="A20" s="11"/>
      <c r="B20" s="72"/>
      <c r="C20" s="76"/>
      <c r="D20" s="522" t="s">
        <v>104</v>
      </c>
      <c r="E20" s="511"/>
      <c r="F20" s="511"/>
      <c r="G20" s="511"/>
      <c r="H20" s="511"/>
      <c r="I20" s="511"/>
      <c r="J20" s="589">
        <f>'1.2.Historical IS'!AD25</f>
        <v>8.057279326623318</v>
      </c>
      <c r="K20" s="589">
        <f>'1.2.Historical IS'!AE25</f>
        <v>10.57507497646724</v>
      </c>
      <c r="L20" s="589">
        <f>'1.2.Historical IS'!AF25</f>
        <v>10.629096379069518</v>
      </c>
      <c r="M20" s="589">
        <f>'1.2.Historical IS'!AG25</f>
        <v>0</v>
      </c>
      <c r="N20" s="531">
        <f t="shared" si="0"/>
        <v>0.1485607278349943</v>
      </c>
      <c r="O20" s="220">
        <f t="shared" si="1"/>
        <v>-1</v>
      </c>
      <c r="P20" s="220" t="e">
        <f t="shared" si="2"/>
        <v>#DIV/0!</v>
      </c>
      <c r="Q20" s="220"/>
      <c r="R20" s="10" t="s">
        <v>240</v>
      </c>
    </row>
    <row r="21" spans="1:18" s="13" customFormat="1" ht="12" customHeight="1" x14ac:dyDescent="0.25">
      <c r="A21" s="11"/>
      <c r="B21" s="72"/>
      <c r="C21" s="76"/>
      <c r="D21" s="522" t="s">
        <v>145</v>
      </c>
      <c r="E21" s="511"/>
      <c r="F21" s="511"/>
      <c r="G21" s="511"/>
      <c r="H21" s="511"/>
      <c r="I21" s="511"/>
      <c r="J21" s="589">
        <f>'1.2.Historical IS'!AD26</f>
        <v>28.884163178052905</v>
      </c>
      <c r="K21" s="589">
        <f>'1.2.Historical IS'!AE26</f>
        <v>36.045839626978392</v>
      </c>
      <c r="L21" s="589">
        <f>'1.2.Historical IS'!AF26</f>
        <v>4.8786934565380893</v>
      </c>
      <c r="M21" s="589">
        <f>'1.2.Historical IS'!AG26</f>
        <v>0</v>
      </c>
      <c r="N21" s="531">
        <f t="shared" si="0"/>
        <v>-0.58901888076789022</v>
      </c>
      <c r="O21" s="220">
        <f t="shared" si="1"/>
        <v>-1</v>
      </c>
      <c r="P21" s="220" t="e">
        <f t="shared" si="2"/>
        <v>#DIV/0!</v>
      </c>
      <c r="Q21" s="220"/>
      <c r="R21" s="10" t="s">
        <v>240</v>
      </c>
    </row>
    <row r="22" spans="1:18" s="6" customFormat="1" ht="12" customHeight="1" x14ac:dyDescent="0.25">
      <c r="A22" s="9"/>
      <c r="B22" s="25"/>
      <c r="C22" s="33"/>
      <c r="D22" s="523" t="s">
        <v>40</v>
      </c>
      <c r="E22" s="524"/>
      <c r="F22" s="524"/>
      <c r="G22" s="524"/>
      <c r="H22" s="524"/>
      <c r="I22" s="524"/>
      <c r="J22" s="591">
        <f>'1.2.Historical IS'!AD27</f>
        <v>4839.3648971230077</v>
      </c>
      <c r="K22" s="591">
        <f>'1.2.Historical IS'!AE27</f>
        <v>8813.0766927168843</v>
      </c>
      <c r="L22" s="591">
        <f>'1.2.Historical IS'!AF27</f>
        <v>7247.4658515096162</v>
      </c>
      <c r="M22" s="591">
        <f>'1.2.Historical IS'!AG27</f>
        <v>0</v>
      </c>
      <c r="N22" s="533">
        <f t="shared" si="0"/>
        <v>0.22376746780994239</v>
      </c>
      <c r="O22" s="220">
        <f t="shared" si="1"/>
        <v>-1</v>
      </c>
      <c r="P22" s="220" t="e">
        <f t="shared" si="2"/>
        <v>#DIV/0!</v>
      </c>
      <c r="Q22" s="220"/>
      <c r="R22" s="10" t="s">
        <v>240</v>
      </c>
    </row>
    <row r="23" spans="1:18" s="13" customFormat="1" ht="12" customHeight="1" x14ac:dyDescent="0.25">
      <c r="A23" s="11"/>
      <c r="B23" s="72"/>
      <c r="C23" s="76"/>
      <c r="D23" s="522" t="s">
        <v>216</v>
      </c>
      <c r="E23" s="511"/>
      <c r="F23" s="511"/>
      <c r="G23" s="511"/>
      <c r="H23" s="511"/>
      <c r="I23" s="511"/>
      <c r="J23" s="589">
        <f>'1.2.Historical IS'!AD28</f>
        <v>2762.7435178587334</v>
      </c>
      <c r="K23" s="589">
        <f>'1.2.Historical IS'!AE28</f>
        <v>5825.2215757098129</v>
      </c>
      <c r="L23" s="589">
        <f>'1.2.Historical IS'!AF28</f>
        <v>4466.9742000644683</v>
      </c>
      <c r="M23" s="589">
        <f>'1.2.Historical IS'!AG28</f>
        <v>0</v>
      </c>
      <c r="N23" s="531">
        <f t="shared" si="0"/>
        <v>0.27155877053284394</v>
      </c>
      <c r="O23" s="220">
        <f t="shared" si="1"/>
        <v>-1</v>
      </c>
      <c r="P23" s="220" t="e">
        <f t="shared" si="2"/>
        <v>#DIV/0!</v>
      </c>
      <c r="Q23" s="220">
        <f>L23/$L$34</f>
        <v>0.59720557200385549</v>
      </c>
      <c r="R23" s="10" t="s">
        <v>240</v>
      </c>
    </row>
    <row r="24" spans="1:18" s="13" customFormat="1" ht="12" customHeight="1" x14ac:dyDescent="0.25">
      <c r="A24" s="11"/>
      <c r="B24" s="72"/>
      <c r="C24" s="76"/>
      <c r="D24" s="522" t="s">
        <v>147</v>
      </c>
      <c r="E24" s="511"/>
      <c r="F24" s="511"/>
      <c r="G24" s="511"/>
      <c r="H24" s="511"/>
      <c r="I24" s="511"/>
      <c r="J24" s="589">
        <f>'1.2.Historical IS'!AD31</f>
        <v>78.307689053175395</v>
      </c>
      <c r="K24" s="589">
        <f>'1.2.Historical IS'!AE31</f>
        <v>110.12613559247828</v>
      </c>
      <c r="L24" s="589">
        <f>'1.2.Historical IS'!AF31</f>
        <v>151.55972493821855</v>
      </c>
      <c r="M24" s="589">
        <f>'1.2.Historical IS'!AG31</f>
        <v>0</v>
      </c>
      <c r="N24" s="531">
        <f t="shared" si="0"/>
        <v>0.39120042088955409</v>
      </c>
      <c r="O24" s="220">
        <f t="shared" si="1"/>
        <v>-1</v>
      </c>
      <c r="P24" s="220" t="e">
        <f t="shared" si="2"/>
        <v>#DIV/0!</v>
      </c>
      <c r="Q24" s="220">
        <f t="shared" ref="Q24:Q33" si="3">L24/$L$34</f>
        <v>2.0262555405663532E-2</v>
      </c>
      <c r="R24" s="10" t="s">
        <v>240</v>
      </c>
    </row>
    <row r="25" spans="1:18" s="13" customFormat="1" ht="12" customHeight="1" x14ac:dyDescent="0.25">
      <c r="A25" s="11"/>
      <c r="B25" s="72"/>
      <c r="C25" s="76"/>
      <c r="D25" s="522" t="s">
        <v>218</v>
      </c>
      <c r="E25" s="511"/>
      <c r="F25" s="511"/>
      <c r="G25" s="511"/>
      <c r="H25" s="511"/>
      <c r="I25" s="511"/>
      <c r="J25" s="589">
        <f>'1.2.Historical IS'!AD32</f>
        <v>638.51651153469322</v>
      </c>
      <c r="K25" s="589">
        <f>'1.2.Historical IS'!AE32</f>
        <v>1030.1307567697729</v>
      </c>
      <c r="L25" s="589">
        <f>'1.2.Historical IS'!AF32</f>
        <v>829.08779628236812</v>
      </c>
      <c r="M25" s="589">
        <f>'1.2.Historical IS'!AG32</f>
        <v>0</v>
      </c>
      <c r="N25" s="531">
        <f t="shared" si="0"/>
        <v>0.13949964752505983</v>
      </c>
      <c r="O25" s="220">
        <f t="shared" si="1"/>
        <v>-1</v>
      </c>
      <c r="P25" s="220" t="e">
        <f t="shared" si="2"/>
        <v>#DIV/0!</v>
      </c>
      <c r="Q25" s="220">
        <f t="shared" si="3"/>
        <v>0.11084367839265376</v>
      </c>
      <c r="R25" s="10" t="s">
        <v>240</v>
      </c>
    </row>
    <row r="26" spans="1:18" s="13" customFormat="1" ht="12" customHeight="1" x14ac:dyDescent="0.25">
      <c r="A26" s="11"/>
      <c r="B26" s="72"/>
      <c r="C26" s="76"/>
      <c r="D26" s="522" t="s">
        <v>233</v>
      </c>
      <c r="E26" s="511"/>
      <c r="F26" s="511"/>
      <c r="G26" s="511"/>
      <c r="H26" s="511"/>
      <c r="I26" s="511"/>
      <c r="J26" s="589">
        <f>'1.2.Historical IS'!AD36</f>
        <v>0</v>
      </c>
      <c r="K26" s="589">
        <f>'1.2.Historical IS'!AE36</f>
        <v>0</v>
      </c>
      <c r="L26" s="589">
        <f>'1.2.Historical IS'!AF36</f>
        <v>0</v>
      </c>
      <c r="M26" s="589">
        <f>'1.2.Historical IS'!AG36</f>
        <v>0</v>
      </c>
      <c r="N26" s="531">
        <f t="shared" si="0"/>
        <v>0</v>
      </c>
      <c r="O26" s="220">
        <f t="shared" si="1"/>
        <v>0</v>
      </c>
      <c r="P26" s="220" t="e">
        <f t="shared" si="2"/>
        <v>#DIV/0!</v>
      </c>
      <c r="Q26" s="220">
        <f t="shared" si="3"/>
        <v>0</v>
      </c>
      <c r="R26" s="10" t="s">
        <v>240</v>
      </c>
    </row>
    <row r="27" spans="1:18" s="13" customFormat="1" ht="12" customHeight="1" x14ac:dyDescent="0.25">
      <c r="A27" s="11"/>
      <c r="B27" s="72"/>
      <c r="C27" s="76"/>
      <c r="D27" s="522" t="s">
        <v>234</v>
      </c>
      <c r="E27" s="511"/>
      <c r="F27" s="511"/>
      <c r="G27" s="511"/>
      <c r="H27" s="511"/>
      <c r="I27" s="511"/>
      <c r="J27" s="589">
        <f>'1.2.Historical IS'!AD37</f>
        <v>0</v>
      </c>
      <c r="K27" s="589">
        <f>'1.2.Historical IS'!AE37</f>
        <v>0</v>
      </c>
      <c r="L27" s="589">
        <f>'1.2.Historical IS'!AF37</f>
        <v>0</v>
      </c>
      <c r="M27" s="589">
        <f>'1.2.Historical IS'!AG37</f>
        <v>0</v>
      </c>
      <c r="N27" s="531">
        <f t="shared" si="0"/>
        <v>0</v>
      </c>
      <c r="O27" s="220">
        <f t="shared" si="1"/>
        <v>0</v>
      </c>
      <c r="P27" s="220" t="e">
        <f t="shared" si="2"/>
        <v>#DIV/0!</v>
      </c>
      <c r="Q27" s="220">
        <f t="shared" si="3"/>
        <v>0</v>
      </c>
      <c r="R27" s="10" t="s">
        <v>240</v>
      </c>
    </row>
    <row r="28" spans="1:18" s="13" customFormat="1" ht="12" customHeight="1" x14ac:dyDescent="0.25">
      <c r="A28" s="11"/>
      <c r="B28" s="72"/>
      <c r="C28" s="76"/>
      <c r="D28" s="522" t="s">
        <v>223</v>
      </c>
      <c r="E28" s="511"/>
      <c r="F28" s="511"/>
      <c r="G28" s="511"/>
      <c r="H28" s="511"/>
      <c r="I28" s="511"/>
      <c r="J28" s="589">
        <f>'1.2.Historical IS'!AD38</f>
        <v>204.32738264897125</v>
      </c>
      <c r="K28" s="589">
        <f>'1.2.Historical IS'!AE38</f>
        <v>302.84893719489503</v>
      </c>
      <c r="L28" s="589">
        <f>'1.2.Historical IS'!AF38</f>
        <v>236.81005264854409</v>
      </c>
      <c r="M28" s="589">
        <f>'1.2.Historical IS'!AG38</f>
        <v>0</v>
      </c>
      <c r="N28" s="531">
        <f t="shared" si="0"/>
        <v>7.6556385381190584E-2</v>
      </c>
      <c r="O28" s="220">
        <f t="shared" si="1"/>
        <v>-1</v>
      </c>
      <c r="P28" s="220" t="e">
        <f t="shared" si="2"/>
        <v>#DIV/0!</v>
      </c>
      <c r="Q28" s="220">
        <f t="shared" si="3"/>
        <v>3.1659973085628262E-2</v>
      </c>
      <c r="R28" s="10" t="s">
        <v>240</v>
      </c>
    </row>
    <row r="29" spans="1:18" s="13" customFormat="1" ht="12" customHeight="1" x14ac:dyDescent="0.25">
      <c r="A29" s="11"/>
      <c r="B29" s="72"/>
      <c r="C29" s="76"/>
      <c r="D29" s="522" t="s">
        <v>224</v>
      </c>
      <c r="E29" s="511"/>
      <c r="F29" s="511"/>
      <c r="G29" s="511"/>
      <c r="H29" s="511"/>
      <c r="I29" s="511"/>
      <c r="J29" s="589">
        <f>'1.2.Historical IS'!AD39</f>
        <v>0</v>
      </c>
      <c r="K29" s="589">
        <f>'1.2.Historical IS'!AE39</f>
        <v>0</v>
      </c>
      <c r="L29" s="589">
        <f>'1.2.Historical IS'!AF39</f>
        <v>0</v>
      </c>
      <c r="M29" s="589">
        <f>'1.2.Historical IS'!AG39</f>
        <v>0</v>
      </c>
      <c r="N29" s="531">
        <f t="shared" si="0"/>
        <v>0</v>
      </c>
      <c r="O29" s="220">
        <f t="shared" si="1"/>
        <v>0</v>
      </c>
      <c r="P29" s="220" t="e">
        <f t="shared" si="2"/>
        <v>#DIV/0!</v>
      </c>
      <c r="Q29" s="220">
        <f t="shared" si="3"/>
        <v>0</v>
      </c>
      <c r="R29" s="10" t="s">
        <v>240</v>
      </c>
    </row>
    <row r="30" spans="1:18" s="13" customFormat="1" ht="12" customHeight="1" x14ac:dyDescent="0.25">
      <c r="A30" s="11"/>
      <c r="B30" s="72"/>
      <c r="C30" s="76"/>
      <c r="D30" s="522" t="s">
        <v>225</v>
      </c>
      <c r="E30" s="511"/>
      <c r="F30" s="511"/>
      <c r="G30" s="511"/>
      <c r="H30" s="511"/>
      <c r="I30" s="511"/>
      <c r="J30" s="589">
        <f>'1.2.Historical IS'!AD40</f>
        <v>0</v>
      </c>
      <c r="K30" s="589">
        <f>'1.2.Historical IS'!AE40</f>
        <v>0</v>
      </c>
      <c r="L30" s="589">
        <f>'1.2.Historical IS'!AF40</f>
        <v>0</v>
      </c>
      <c r="M30" s="589">
        <f>'1.2.Historical IS'!AG40</f>
        <v>0</v>
      </c>
      <c r="N30" s="531">
        <f t="shared" si="0"/>
        <v>0</v>
      </c>
      <c r="O30" s="220">
        <f t="shared" si="1"/>
        <v>0</v>
      </c>
      <c r="P30" s="220" t="e">
        <f t="shared" si="2"/>
        <v>#DIV/0!</v>
      </c>
      <c r="Q30" s="220">
        <f t="shared" si="3"/>
        <v>0</v>
      </c>
      <c r="R30" s="10" t="s">
        <v>240</v>
      </c>
    </row>
    <row r="31" spans="1:18" s="13" customFormat="1" ht="12" customHeight="1" x14ac:dyDescent="0.25">
      <c r="A31" s="11"/>
      <c r="B31" s="72"/>
      <c r="C31" s="76"/>
      <c r="D31" s="522" t="s">
        <v>236</v>
      </c>
      <c r="E31" s="511"/>
      <c r="F31" s="511"/>
      <c r="G31" s="511"/>
      <c r="H31" s="511"/>
      <c r="I31" s="511"/>
      <c r="J31" s="589">
        <f>'1.2.Historical IS'!AD41</f>
        <v>147.56650930791841</v>
      </c>
      <c r="K31" s="589">
        <f>'1.2.Historical IS'!AE41</f>
        <v>297.19582320877385</v>
      </c>
      <c r="L31" s="589">
        <f>'1.2.Historical IS'!AF41</f>
        <v>153.08246481143223</v>
      </c>
      <c r="M31" s="589">
        <f>'1.2.Historical IS'!AG41</f>
        <v>0</v>
      </c>
      <c r="N31" s="531">
        <f t="shared" si="0"/>
        <v>1.8518263806748925E-2</v>
      </c>
      <c r="O31" s="220">
        <f t="shared" si="1"/>
        <v>-1</v>
      </c>
      <c r="P31" s="220" t="e">
        <f t="shared" si="2"/>
        <v>#DIV/0!</v>
      </c>
      <c r="Q31" s="220">
        <f t="shared" si="3"/>
        <v>2.0466135882350082E-2</v>
      </c>
      <c r="R31" s="10" t="s">
        <v>240</v>
      </c>
    </row>
    <row r="32" spans="1:18" s="13" customFormat="1" ht="12" customHeight="1" x14ac:dyDescent="0.25">
      <c r="A32" s="11"/>
      <c r="B32" s="72"/>
      <c r="C32" s="76"/>
      <c r="D32" s="522" t="s">
        <v>146</v>
      </c>
      <c r="E32" s="511"/>
      <c r="F32" s="511"/>
      <c r="G32" s="511"/>
      <c r="H32" s="511"/>
      <c r="I32" s="511"/>
      <c r="J32" s="589">
        <f>'1.2.Historical IS'!AD42</f>
        <v>76.45863097889017</v>
      </c>
      <c r="K32" s="589">
        <f>'1.2.Historical IS'!AE42</f>
        <v>77.93279919441342</v>
      </c>
      <c r="L32" s="589">
        <f>'1.2.Historical IS'!AF42</f>
        <v>71.612867733963682</v>
      </c>
      <c r="M32" s="589">
        <f>'1.2.Historical IS'!AG42</f>
        <v>0</v>
      </c>
      <c r="N32" s="531">
        <f t="shared" si="0"/>
        <v>-3.220745155950222E-2</v>
      </c>
      <c r="O32" s="220">
        <f t="shared" si="1"/>
        <v>-1</v>
      </c>
      <c r="P32" s="220" t="e">
        <f t="shared" si="2"/>
        <v>#DIV/0!</v>
      </c>
      <c r="Q32" s="220">
        <f t="shared" si="3"/>
        <v>9.5741774459501012E-3</v>
      </c>
      <c r="R32" s="10" t="s">
        <v>240</v>
      </c>
    </row>
    <row r="33" spans="1:18" s="13" customFormat="1" ht="12" customHeight="1" x14ac:dyDescent="0.25">
      <c r="A33" s="11"/>
      <c r="B33" s="72"/>
      <c r="C33" s="76"/>
      <c r="D33" s="522" t="s">
        <v>235</v>
      </c>
      <c r="E33" s="511"/>
      <c r="F33" s="511"/>
      <c r="G33" s="511"/>
      <c r="H33" s="511"/>
      <c r="I33" s="511"/>
      <c r="J33" s="589">
        <f>'1.2.Historical IS'!AD43</f>
        <v>938.64996659837891</v>
      </c>
      <c r="K33" s="589">
        <f>'1.2.Historical IS'!AE43</f>
        <v>1181.7303649219587</v>
      </c>
      <c r="L33" s="589">
        <f>'1.2.Historical IS'!AF43</f>
        <v>1344.0796003008486</v>
      </c>
      <c r="M33" s="589">
        <f>'1.2.Historical IS'!AG43</f>
        <v>0</v>
      </c>
      <c r="N33" s="531">
        <f t="shared" si="0"/>
        <v>0.196632131899801</v>
      </c>
      <c r="O33" s="220">
        <f t="shared" si="1"/>
        <v>-1</v>
      </c>
      <c r="P33" s="220" t="e">
        <f t="shared" si="2"/>
        <v>#DIV/0!</v>
      </c>
      <c r="Q33" s="220">
        <f t="shared" si="3"/>
        <v>0.17969475321903519</v>
      </c>
      <c r="R33" s="10" t="s">
        <v>240</v>
      </c>
    </row>
    <row r="34" spans="1:18" ht="12" customHeight="1" x14ac:dyDescent="0.25">
      <c r="B34" s="25"/>
      <c r="C34" s="39"/>
      <c r="D34" s="525" t="s">
        <v>380</v>
      </c>
      <c r="E34" s="526"/>
      <c r="F34" s="526"/>
      <c r="G34" s="526"/>
      <c r="H34" s="526"/>
      <c r="I34" s="526"/>
      <c r="J34" s="596">
        <f>'1.2.Historical IS'!AD44</f>
        <v>5003.164583147769</v>
      </c>
      <c r="K34" s="596">
        <f>'1.2.Historical IS'!AE44</f>
        <v>9017.921157592873</v>
      </c>
      <c r="L34" s="596">
        <f>'1.2.Historical IS'!AF44</f>
        <v>7479.7932394971522</v>
      </c>
      <c r="M34" s="596">
        <f>'1.2.Historical IS'!AG44</f>
        <v>0</v>
      </c>
      <c r="N34" s="532">
        <f t="shared" si="0"/>
        <v>0.22270700892376571</v>
      </c>
      <c r="O34" s="220">
        <f t="shared" si="1"/>
        <v>-1</v>
      </c>
      <c r="P34" s="220"/>
      <c r="Q34" s="220"/>
      <c r="R34" s="10" t="s">
        <v>240</v>
      </c>
    </row>
    <row r="35" spans="1:18" ht="3" customHeight="1" x14ac:dyDescent="0.25">
      <c r="B35" s="25"/>
      <c r="C35" s="39"/>
      <c r="D35" s="520"/>
      <c r="E35" s="511"/>
      <c r="F35" s="511"/>
      <c r="G35" s="511"/>
      <c r="H35" s="511"/>
      <c r="I35" s="511"/>
      <c r="J35" s="589"/>
      <c r="K35" s="589"/>
      <c r="L35" s="589"/>
      <c r="M35" s="589"/>
      <c r="N35" s="531"/>
      <c r="O35" s="220"/>
      <c r="P35" s="220"/>
      <c r="Q35" s="220"/>
    </row>
    <row r="36" spans="1:18" s="510" customFormat="1" ht="12" customHeight="1" x14ac:dyDescent="0.25">
      <c r="A36" s="506"/>
      <c r="B36" s="507"/>
      <c r="C36" s="506"/>
      <c r="D36" s="523" t="s">
        <v>57</v>
      </c>
      <c r="E36" s="524"/>
      <c r="F36" s="524"/>
      <c r="G36" s="524"/>
      <c r="H36" s="524"/>
      <c r="I36" s="524"/>
      <c r="J36" s="591">
        <f>'1.2.Historical IS'!AD45</f>
        <v>375.29179878863397</v>
      </c>
      <c r="K36" s="591">
        <f>'1.2.Historical IS'!AE45</f>
        <v>609.49873470370403</v>
      </c>
      <c r="L36" s="591">
        <f>'1.2.Historical IS'!AF45</f>
        <v>636.01205973998276</v>
      </c>
      <c r="M36" s="591">
        <f>'1.2.Historical IS'!AG45</f>
        <v>0</v>
      </c>
      <c r="N36" s="533">
        <f t="shared" si="0"/>
        <v>0.30181160378674288</v>
      </c>
      <c r="O36" s="508">
        <f t="shared" si="1"/>
        <v>-1</v>
      </c>
      <c r="P36" s="608">
        <f>L36/J36-1</f>
        <v>0.69471345175381138</v>
      </c>
      <c r="Q36" s="508"/>
      <c r="R36" s="509" t="s">
        <v>240</v>
      </c>
    </row>
    <row r="37" spans="1:18" s="13" customFormat="1" ht="12" customHeight="1" x14ac:dyDescent="0.25">
      <c r="A37" s="43"/>
      <c r="B37" s="56"/>
      <c r="C37" s="43"/>
      <c r="D37" s="528" t="s">
        <v>398</v>
      </c>
      <c r="E37" s="529"/>
      <c r="F37" s="529"/>
      <c r="G37" s="529"/>
      <c r="H37" s="529"/>
      <c r="I37" s="529"/>
      <c r="J37" s="593">
        <f>'1.2.Historical IS'!AD46</f>
        <v>6.9776860150628908E-2</v>
      </c>
      <c r="K37" s="593">
        <f>'1.2.Historical IS'!AE46</f>
        <v>6.3308626976101581E-2</v>
      </c>
      <c r="L37" s="593">
        <f>'1.2.Historical IS'!AF46</f>
        <v>7.8367091901498209E-2</v>
      </c>
      <c r="M37" s="593">
        <f>'1.2.Historical IS'!AG46</f>
        <v>0</v>
      </c>
      <c r="N37" s="531">
        <f t="shared" si="0"/>
        <v>5.976885960849887E-2</v>
      </c>
      <c r="O37" s="220">
        <f t="shared" si="1"/>
        <v>-1</v>
      </c>
      <c r="P37" s="220"/>
      <c r="Q37" s="220"/>
      <c r="R37" s="10" t="s">
        <v>240</v>
      </c>
    </row>
    <row r="38" spans="1:18" ht="12" customHeight="1" x14ac:dyDescent="0.25">
      <c r="B38" s="25"/>
      <c r="D38" s="520" t="s">
        <v>77</v>
      </c>
      <c r="E38" s="511"/>
      <c r="F38" s="511"/>
      <c r="G38" s="511"/>
      <c r="H38" s="511"/>
      <c r="I38" s="511"/>
      <c r="J38" s="589">
        <f>'1.2.Historical IS'!AD47</f>
        <v>61.883308096552945</v>
      </c>
      <c r="K38" s="589">
        <f>'1.2.Historical IS'!AE47</f>
        <v>71.12472581598476</v>
      </c>
      <c r="L38" s="589">
        <f>'1.2.Historical IS'!AF47</f>
        <v>51.950413667132267</v>
      </c>
      <c r="M38" s="589">
        <f>'1.2.Historical IS'!AG47</f>
        <v>0</v>
      </c>
      <c r="N38" s="531">
        <f t="shared" si="0"/>
        <v>-8.3763172040334233E-2</v>
      </c>
      <c r="O38" s="220">
        <f t="shared" si="1"/>
        <v>-1</v>
      </c>
      <c r="P38" s="220"/>
      <c r="Q38" s="220"/>
      <c r="R38" s="10" t="s">
        <v>240</v>
      </c>
    </row>
    <row r="39" spans="1:18" ht="3" customHeight="1" x14ac:dyDescent="0.25">
      <c r="B39" s="25"/>
      <c r="D39" s="520"/>
      <c r="E39" s="511"/>
      <c r="F39" s="511"/>
      <c r="G39" s="511"/>
      <c r="H39" s="511"/>
      <c r="I39" s="511"/>
      <c r="J39" s="589"/>
      <c r="K39" s="589"/>
      <c r="L39" s="589"/>
      <c r="M39" s="589"/>
      <c r="N39" s="531"/>
      <c r="O39" s="220"/>
      <c r="P39" s="220"/>
      <c r="Q39" s="220"/>
    </row>
    <row r="40" spans="1:18" s="510" customFormat="1" ht="12" customHeight="1" x14ac:dyDescent="0.25">
      <c r="A40" s="506"/>
      <c r="B40" s="507"/>
      <c r="C40" s="506"/>
      <c r="D40" s="523" t="s">
        <v>56</v>
      </c>
      <c r="E40" s="524"/>
      <c r="F40" s="524"/>
      <c r="G40" s="524"/>
      <c r="H40" s="524"/>
      <c r="I40" s="524"/>
      <c r="J40" s="591">
        <f>'1.2.Historical IS'!AD48</f>
        <v>313.40849069208105</v>
      </c>
      <c r="K40" s="591">
        <f>'1.2.Historical IS'!AE48</f>
        <v>538.37400888771924</v>
      </c>
      <c r="L40" s="591">
        <f>'1.2.Historical IS'!AF48</f>
        <v>584.06164607285052</v>
      </c>
      <c r="M40" s="591">
        <f>'1.2.Historical IS'!AG48</f>
        <v>0</v>
      </c>
      <c r="N40" s="533">
        <f t="shared" si="0"/>
        <v>0.36512985629452488</v>
      </c>
      <c r="O40" s="508">
        <f t="shared" si="1"/>
        <v>-1</v>
      </c>
      <c r="P40" s="508"/>
      <c r="Q40" s="508"/>
      <c r="R40" s="509" t="s">
        <v>240</v>
      </c>
    </row>
    <row r="41" spans="1:18" s="13" customFormat="1" ht="12" customHeight="1" x14ac:dyDescent="0.25">
      <c r="A41" s="43"/>
      <c r="B41" s="56"/>
      <c r="C41" s="43"/>
      <c r="D41" s="528" t="s">
        <v>399</v>
      </c>
      <c r="E41" s="529"/>
      <c r="F41" s="529"/>
      <c r="G41" s="529"/>
      <c r="H41" s="529"/>
      <c r="I41" s="529"/>
      <c r="J41" s="593">
        <f>'1.2.Historical IS'!AD49</f>
        <v>5.8271085314490316E-2</v>
      </c>
      <c r="K41" s="593">
        <f>'1.2.Historical IS'!AE49</f>
        <v>5.592090247549103E-2</v>
      </c>
      <c r="L41" s="593">
        <f>'1.2.Historical IS'!AF49</f>
        <v>7.1965950948546145E-2</v>
      </c>
      <c r="M41" s="593">
        <f>'1.2.Historical IS'!AG49</f>
        <v>0</v>
      </c>
      <c r="N41" s="531">
        <f t="shared" si="0"/>
        <v>0.11131449959003303</v>
      </c>
      <c r="O41" s="220">
        <f t="shared" si="1"/>
        <v>-1</v>
      </c>
      <c r="P41" s="220"/>
      <c r="Q41" s="220"/>
      <c r="R41" s="10" t="s">
        <v>240</v>
      </c>
    </row>
    <row r="42" spans="1:18" ht="3" customHeight="1" x14ac:dyDescent="0.25">
      <c r="B42" s="25"/>
      <c r="D42" s="520"/>
      <c r="E42" s="511"/>
      <c r="F42" s="511"/>
      <c r="G42" s="511"/>
      <c r="H42" s="511"/>
      <c r="I42" s="511"/>
      <c r="J42" s="589"/>
      <c r="K42" s="589"/>
      <c r="L42" s="589"/>
      <c r="M42" s="589"/>
      <c r="N42" s="531"/>
      <c r="O42" s="220">
        <f t="shared" si="1"/>
        <v>0</v>
      </c>
      <c r="P42" s="220"/>
      <c r="Q42" s="220"/>
      <c r="R42" s="10" t="s">
        <v>240</v>
      </c>
    </row>
    <row r="43" spans="1:18" ht="12" customHeight="1" x14ac:dyDescent="0.25">
      <c r="B43" s="25"/>
      <c r="D43" s="522" t="s">
        <v>140</v>
      </c>
      <c r="E43" s="511"/>
      <c r="F43" s="511"/>
      <c r="G43" s="511"/>
      <c r="H43" s="511"/>
      <c r="I43" s="511"/>
      <c r="J43" s="589">
        <f>'1.2.Historical IS'!AD51</f>
        <v>50.600420860425757</v>
      </c>
      <c r="K43" s="589">
        <f>'1.2.Historical IS'!AE51</f>
        <v>68.720855497909412</v>
      </c>
      <c r="L43" s="589">
        <f>'1.2.Historical IS'!AF51</f>
        <v>119.49548082088751</v>
      </c>
      <c r="M43" s="589">
        <f>'1.2.Historical IS'!AG51</f>
        <v>0</v>
      </c>
      <c r="N43" s="531">
        <f t="shared" si="0"/>
        <v>0.53673391491388367</v>
      </c>
      <c r="O43" s="220">
        <f t="shared" si="1"/>
        <v>-1</v>
      </c>
      <c r="P43" s="220"/>
      <c r="Q43" s="220"/>
      <c r="R43" s="10" t="s">
        <v>240</v>
      </c>
    </row>
    <row r="44" spans="1:18" ht="12" customHeight="1" x14ac:dyDescent="0.25">
      <c r="B44" s="25"/>
      <c r="D44" s="522" t="s">
        <v>226</v>
      </c>
      <c r="E44" s="511"/>
      <c r="F44" s="511"/>
      <c r="G44" s="511"/>
      <c r="H44" s="511"/>
      <c r="I44" s="511"/>
      <c r="J44" s="589">
        <f>'1.2.Historical IS'!AD52</f>
        <v>4.5935891155250728</v>
      </c>
      <c r="K44" s="589">
        <f>'1.2.Historical IS'!AE52</f>
        <v>10.874063615069721</v>
      </c>
      <c r="L44" s="589">
        <f>'1.2.Historical IS'!AF52</f>
        <v>33.835934243042864</v>
      </c>
      <c r="M44" s="589">
        <f>'1.2.Historical IS'!AG52</f>
        <v>0</v>
      </c>
      <c r="N44" s="531">
        <f t="shared" si="0"/>
        <v>1.7140198086319183</v>
      </c>
      <c r="O44" s="220">
        <f t="shared" si="1"/>
        <v>-1</v>
      </c>
      <c r="P44" s="220"/>
      <c r="Q44" s="220"/>
      <c r="R44" s="10" t="s">
        <v>240</v>
      </c>
    </row>
    <row r="45" spans="1:18" ht="12" customHeight="1" x14ac:dyDescent="0.25">
      <c r="B45" s="25"/>
      <c r="D45" s="522" t="s">
        <v>249</v>
      </c>
      <c r="E45" s="511"/>
      <c r="F45" s="511"/>
      <c r="G45" s="511"/>
      <c r="H45" s="511"/>
      <c r="I45" s="511"/>
      <c r="J45" s="589">
        <f>'1.2.Historical IS'!AD53</f>
        <v>0</v>
      </c>
      <c r="K45" s="589">
        <f>'1.2.Historical IS'!AE53</f>
        <v>0</v>
      </c>
      <c r="L45" s="589">
        <f>'1.2.Historical IS'!AF53</f>
        <v>0</v>
      </c>
      <c r="M45" s="589">
        <f>'1.2.Historical IS'!AG53</f>
        <v>0</v>
      </c>
      <c r="N45" s="531">
        <f t="shared" si="0"/>
        <v>0</v>
      </c>
      <c r="O45" s="220">
        <f t="shared" si="1"/>
        <v>0</v>
      </c>
      <c r="P45" s="220"/>
      <c r="Q45" s="220"/>
      <c r="R45" s="10" t="s">
        <v>240</v>
      </c>
    </row>
    <row r="46" spans="1:18" ht="12" customHeight="1" x14ac:dyDescent="0.25">
      <c r="B46" s="25"/>
      <c r="D46" s="522" t="s">
        <v>142</v>
      </c>
      <c r="E46" s="511"/>
      <c r="F46" s="511"/>
      <c r="G46" s="511"/>
      <c r="H46" s="511"/>
      <c r="I46" s="511"/>
      <c r="J46" s="589">
        <f>'1.2.Historical IS'!AD54</f>
        <v>42.318355304177423</v>
      </c>
      <c r="K46" s="589">
        <f>'1.2.Historical IS'!AE54</f>
        <v>55.847098355990454</v>
      </c>
      <c r="L46" s="589">
        <f>'1.2.Historical IS'!AF54</f>
        <v>96.415957881164715</v>
      </c>
      <c r="M46" s="589">
        <f>'1.2.Historical IS'!AG54</f>
        <v>0</v>
      </c>
      <c r="N46" s="531">
        <f t="shared" si="0"/>
        <v>0.50941989469755145</v>
      </c>
      <c r="O46" s="220">
        <f t="shared" si="1"/>
        <v>-1</v>
      </c>
      <c r="P46" s="220"/>
      <c r="Q46" s="220"/>
      <c r="R46" s="10" t="s">
        <v>240</v>
      </c>
    </row>
    <row r="47" spans="1:18" ht="12" customHeight="1" x14ac:dyDescent="0.25">
      <c r="B47" s="25"/>
      <c r="D47" s="522" t="s">
        <v>39</v>
      </c>
      <c r="E47" s="511"/>
      <c r="F47" s="511"/>
      <c r="G47" s="511"/>
      <c r="H47" s="511"/>
      <c r="I47" s="511"/>
      <c r="J47" s="589">
        <f>'1.2.Historical IS'!AD55</f>
        <v>0.91882515364745709</v>
      </c>
      <c r="K47" s="589">
        <f>'1.2.Historical IS'!AE55</f>
        <v>3.8881788927562884</v>
      </c>
      <c r="L47" s="589">
        <f>'1.2.Historical IS'!AF55</f>
        <v>0.85794133447942411</v>
      </c>
      <c r="M47" s="589">
        <f>'1.2.Historical IS'!AG55</f>
        <v>0</v>
      </c>
      <c r="N47" s="531">
        <f t="shared" si="0"/>
        <v>-3.3699157723542372E-2</v>
      </c>
      <c r="O47" s="220">
        <f t="shared" si="1"/>
        <v>-1</v>
      </c>
      <c r="P47" s="220"/>
      <c r="Q47" s="220"/>
      <c r="R47" s="10" t="s">
        <v>240</v>
      </c>
    </row>
    <row r="48" spans="1:18" ht="12" customHeight="1" x14ac:dyDescent="0.25">
      <c r="B48" s="25"/>
      <c r="D48" s="522" t="s">
        <v>250</v>
      </c>
      <c r="E48" s="511"/>
      <c r="F48" s="511"/>
      <c r="G48" s="511"/>
      <c r="H48" s="511"/>
      <c r="I48" s="511"/>
      <c r="J48" s="589">
        <f>'1.2.Historical IS'!AD56</f>
        <v>-1.3745880466731987E-2</v>
      </c>
      <c r="K48" s="589">
        <f>'1.2.Historical IS'!AE56</f>
        <v>3.4890435848602266</v>
      </c>
      <c r="L48" s="589">
        <f>'1.2.Historical IS'!AF56</f>
        <v>0</v>
      </c>
      <c r="M48" s="589">
        <f>'1.2.Historical IS'!AG56</f>
        <v>0</v>
      </c>
      <c r="N48" s="531">
        <f t="shared" si="0"/>
        <v>-1</v>
      </c>
      <c r="O48" s="220">
        <f t="shared" si="1"/>
        <v>0</v>
      </c>
      <c r="P48" s="220"/>
      <c r="Q48" s="220"/>
      <c r="R48" s="10" t="s">
        <v>240</v>
      </c>
    </row>
    <row r="49" spans="1:18" ht="12" customHeight="1" x14ac:dyDescent="0.25">
      <c r="B49" s="25"/>
      <c r="D49" s="525" t="s">
        <v>376</v>
      </c>
      <c r="E49" s="526"/>
      <c r="F49" s="526"/>
      <c r="G49" s="526"/>
      <c r="H49" s="526"/>
      <c r="I49" s="526"/>
      <c r="J49" s="596">
        <f>'1.2.Historical IS'!AD57</f>
        <v>11.970575398592679</v>
      </c>
      <c r="K49" s="596">
        <f>'1.2.Historical IS'!AE57</f>
        <v>16.37059827937216</v>
      </c>
      <c r="L49" s="596">
        <f>'1.2.Historical IS'!AF57</f>
        <v>56.057515848286229</v>
      </c>
      <c r="M49" s="596">
        <f>'1.2.Historical IS'!AG57</f>
        <v>0</v>
      </c>
      <c r="N49" s="532">
        <f t="shared" si="0"/>
        <v>1.1640107355651041</v>
      </c>
      <c r="O49" s="220">
        <f t="shared" si="1"/>
        <v>-1</v>
      </c>
      <c r="P49" s="220"/>
      <c r="Q49" s="220"/>
      <c r="R49" s="10" t="s">
        <v>240</v>
      </c>
    </row>
    <row r="50" spans="1:18" ht="12" customHeight="1" outlineLevel="1" x14ac:dyDescent="0.25">
      <c r="B50" s="25"/>
      <c r="D50" s="520" t="s">
        <v>54</v>
      </c>
      <c r="E50" s="511"/>
      <c r="F50" s="511"/>
      <c r="G50" s="511"/>
      <c r="H50" s="511"/>
      <c r="I50" s="511"/>
      <c r="J50" s="589">
        <f>'1.2.Historical IS'!AD58</f>
        <v>301.43791529348835</v>
      </c>
      <c r="K50" s="589">
        <f>'1.2.Historical IS'!AE58</f>
        <v>522.00341060834705</v>
      </c>
      <c r="L50" s="589">
        <f>'1.2.Historical IS'!AF58</f>
        <v>528.00413022456428</v>
      </c>
      <c r="M50" s="589">
        <f>'1.2.Historical IS'!AG58</f>
        <v>0</v>
      </c>
      <c r="N50" s="531">
        <f t="shared" si="0"/>
        <v>0.32348712582376504</v>
      </c>
      <c r="O50" s="220">
        <f t="shared" si="1"/>
        <v>-1</v>
      </c>
      <c r="P50" s="220"/>
      <c r="Q50" s="220"/>
      <c r="R50" s="10" t="s">
        <v>240</v>
      </c>
    </row>
    <row r="51" spans="1:18" s="13" customFormat="1" ht="12" customHeight="1" outlineLevel="1" x14ac:dyDescent="0.25">
      <c r="A51" s="43"/>
      <c r="B51" s="56"/>
      <c r="C51" s="43"/>
      <c r="D51" s="520" t="s">
        <v>400</v>
      </c>
      <c r="E51" s="511"/>
      <c r="F51" s="511"/>
      <c r="G51" s="511"/>
      <c r="H51" s="511"/>
      <c r="I51" s="511"/>
      <c r="J51" s="592">
        <f>'1.2.Historical IS'!AD59</f>
        <v>5.6045432720412208E-2</v>
      </c>
      <c r="K51" s="530">
        <f>'1.2.Historical IS'!AE59</f>
        <v>5.4220488609417611E-2</v>
      </c>
      <c r="L51" s="592">
        <f>'1.2.Historical IS'!AF59</f>
        <v>6.5058747808328432E-2</v>
      </c>
      <c r="M51" s="592">
        <f>'1.2.Historical IS'!AG59</f>
        <v>0</v>
      </c>
      <c r="N51" s="531">
        <f t="shared" si="0"/>
        <v>7.7414303237803628E-2</v>
      </c>
      <c r="O51" s="220">
        <f t="shared" si="1"/>
        <v>-1</v>
      </c>
      <c r="P51" s="220"/>
      <c r="Q51" s="220"/>
      <c r="R51" s="10" t="s">
        <v>240</v>
      </c>
    </row>
    <row r="52" spans="1:18" ht="12" customHeight="1" x14ac:dyDescent="0.25">
      <c r="B52" s="25"/>
      <c r="D52" s="520" t="s">
        <v>227</v>
      </c>
      <c r="E52" s="511"/>
      <c r="F52" s="511"/>
      <c r="G52" s="511"/>
      <c r="H52" s="511"/>
      <c r="I52" s="511"/>
      <c r="J52" s="589">
        <f>'1.2.Historical IS'!AD60</f>
        <v>50.507927318072504</v>
      </c>
      <c r="K52" s="589">
        <f>'1.2.Historical IS'!AE60</f>
        <v>84.396138438300383</v>
      </c>
      <c r="L52" s="589">
        <f>'1.2.Historical IS'!AF60</f>
        <v>83.935747286988288</v>
      </c>
      <c r="M52" s="589">
        <f>'1.2.Historical IS'!AG60</f>
        <v>0</v>
      </c>
      <c r="N52" s="531">
        <f t="shared" si="0"/>
        <v>0.2891210714183694</v>
      </c>
      <c r="O52" s="220">
        <f t="shared" si="1"/>
        <v>-1</v>
      </c>
      <c r="P52" s="220"/>
      <c r="Q52" s="220"/>
      <c r="R52" s="10" t="s">
        <v>240</v>
      </c>
    </row>
    <row r="53" spans="1:18" ht="12" customHeight="1" x14ac:dyDescent="0.25">
      <c r="B53" s="25"/>
      <c r="D53" s="523" t="s">
        <v>53</v>
      </c>
      <c r="E53" s="524"/>
      <c r="F53" s="524"/>
      <c r="G53" s="524"/>
      <c r="H53" s="524"/>
      <c r="I53" s="524"/>
      <c r="J53" s="591">
        <f>'1.2.Historical IS'!AD61</f>
        <v>250.92998797541583</v>
      </c>
      <c r="K53" s="591">
        <f>'1.2.Historical IS'!AE61</f>
        <v>437.60727217004666</v>
      </c>
      <c r="L53" s="591">
        <f>'1.2.Historical IS'!AF61</f>
        <v>444.06838293757596</v>
      </c>
      <c r="M53" s="591">
        <f>'1.2.Historical IS'!AG61</f>
        <v>0</v>
      </c>
      <c r="N53" s="533">
        <f t="shared" si="0"/>
        <v>0.33029709790629513</v>
      </c>
      <c r="O53" s="220">
        <f t="shared" si="1"/>
        <v>-1</v>
      </c>
      <c r="P53" s="608">
        <f>L53/J53-1</f>
        <v>0.76969036869791085</v>
      </c>
      <c r="Q53" s="220"/>
      <c r="R53" s="10" t="s">
        <v>240</v>
      </c>
    </row>
    <row r="54" spans="1:18" s="13" customFormat="1" ht="12" customHeight="1" thickBot="1" x14ac:dyDescent="0.3">
      <c r="A54" s="43"/>
      <c r="B54" s="56"/>
      <c r="C54" s="43"/>
      <c r="D54" s="597" t="s">
        <v>401</v>
      </c>
      <c r="E54" s="598"/>
      <c r="F54" s="598"/>
      <c r="G54" s="598"/>
      <c r="H54" s="598"/>
      <c r="I54" s="598"/>
      <c r="J54" s="594">
        <f>'1.2.Historical IS'!AD62</f>
        <v>4.6654647756959891E-2</v>
      </c>
      <c r="K54" s="594">
        <f>'1.2.Historical IS'!AE62</f>
        <v>4.54542626233847E-2</v>
      </c>
      <c r="L54" s="594">
        <f>'1.2.Historical IS'!AF62</f>
        <v>5.4716490423854458E-2</v>
      </c>
      <c r="M54" s="594">
        <f>'1.2.Historical IS'!AG62</f>
        <v>0</v>
      </c>
      <c r="N54" s="534">
        <f t="shared" si="0"/>
        <v>8.2958113361231378E-2</v>
      </c>
      <c r="O54" s="220">
        <f t="shared" si="1"/>
        <v>-1</v>
      </c>
      <c r="P54" s="220"/>
      <c r="Q54" s="220"/>
      <c r="R54" s="10" t="s">
        <v>240</v>
      </c>
    </row>
    <row r="57" spans="1:18" ht="19.5" customHeight="1" x14ac:dyDescent="0.25">
      <c r="D57" s="515" t="s">
        <v>393</v>
      </c>
      <c r="E57" s="513"/>
      <c r="F57" s="513"/>
      <c r="G57" s="513"/>
      <c r="H57" s="513"/>
      <c r="I57" s="513"/>
      <c r="J57" s="513"/>
      <c r="K57" s="513"/>
      <c r="L57" s="513"/>
      <c r="M57" s="513"/>
      <c r="N57" s="516"/>
    </row>
    <row r="58" spans="1:18" ht="20.399999999999999" collapsed="1" x14ac:dyDescent="0.2">
      <c r="D58" s="517" t="s">
        <v>385</v>
      </c>
      <c r="E58" s="539"/>
      <c r="F58" s="539"/>
      <c r="G58" s="539"/>
      <c r="H58" s="539"/>
      <c r="I58" s="539"/>
      <c r="J58" s="539" t="s">
        <v>394</v>
      </c>
      <c r="K58" s="539" t="s">
        <v>395</v>
      </c>
      <c r="L58" s="539" t="s">
        <v>396</v>
      </c>
      <c r="M58" s="539" t="s">
        <v>397</v>
      </c>
      <c r="N58" s="535" t="s">
        <v>387</v>
      </c>
    </row>
    <row r="59" spans="1:18" ht="12" hidden="1" customHeight="1" outlineLevel="1" x14ac:dyDescent="0.25">
      <c r="D59" s="540" t="s">
        <v>72</v>
      </c>
      <c r="E59" s="541"/>
      <c r="F59" s="541"/>
      <c r="G59" s="541"/>
      <c r="H59" s="541"/>
      <c r="I59" s="541"/>
      <c r="J59" s="542"/>
      <c r="K59" s="541"/>
      <c r="L59" s="541"/>
      <c r="M59" s="541"/>
      <c r="N59" s="544"/>
    </row>
    <row r="60" spans="1:18" ht="12" customHeight="1" collapsed="1" x14ac:dyDescent="0.25">
      <c r="D60" s="520" t="s">
        <v>107</v>
      </c>
      <c r="E60" s="511"/>
      <c r="F60" s="511"/>
      <c r="G60" s="511"/>
      <c r="H60" s="511"/>
      <c r="I60" s="511"/>
      <c r="J60" s="599">
        <f>'1.3.Historical BS'!AD9</f>
        <v>2.3013631058554092</v>
      </c>
      <c r="K60" s="599">
        <f>'1.3.Historical BS'!AE9</f>
        <v>1.1124214005193462</v>
      </c>
      <c r="L60" s="599">
        <f>'1.3.Historical BS'!AF9</f>
        <v>1.1904886468406277</v>
      </c>
      <c r="M60" s="599">
        <f>'1.3.Historical BS'!AG9</f>
        <v>0</v>
      </c>
      <c r="N60" s="545">
        <f>'1.3.Historical BS'!AK9</f>
        <v>-0.28076625435108604</v>
      </c>
      <c r="O60" s="609" t="e">
        <f>M60/$M$80</f>
        <v>#DIV/0!</v>
      </c>
    </row>
    <row r="61" spans="1:18" ht="12" hidden="1" customHeight="1" outlineLevel="1" x14ac:dyDescent="0.25">
      <c r="D61" s="520" t="s">
        <v>105</v>
      </c>
      <c r="E61" s="511"/>
      <c r="F61" s="511"/>
      <c r="G61" s="511"/>
      <c r="H61" s="511"/>
      <c r="I61" s="511"/>
      <c r="J61" s="599">
        <f>'1.3.Historical BS'!AD10</f>
        <v>0</v>
      </c>
      <c r="K61" s="599">
        <f>'1.3.Historical BS'!AE10</f>
        <v>0</v>
      </c>
      <c r="L61" s="599">
        <f>'1.3.Historical BS'!AF10</f>
        <v>0</v>
      </c>
      <c r="M61" s="599">
        <f>'1.3.Historical BS'!AG10</f>
        <v>0</v>
      </c>
      <c r="N61" s="545">
        <f>'1.3.Historical BS'!AK10</f>
        <v>0</v>
      </c>
    </row>
    <row r="62" spans="1:18" ht="12" hidden="1" customHeight="1" outlineLevel="1" x14ac:dyDescent="0.25">
      <c r="D62" s="520" t="s">
        <v>120</v>
      </c>
      <c r="E62" s="511"/>
      <c r="F62" s="511"/>
      <c r="G62" s="511"/>
      <c r="H62" s="511"/>
      <c r="I62" s="511"/>
      <c r="J62" s="599">
        <f>'1.3.Historical BS'!AD11</f>
        <v>0</v>
      </c>
      <c r="K62" s="599">
        <f>'1.3.Historical BS'!AE11</f>
        <v>0</v>
      </c>
      <c r="L62" s="599">
        <f>'1.3.Historical BS'!AF11</f>
        <v>0</v>
      </c>
      <c r="M62" s="599">
        <f>'1.3.Historical BS'!AG11</f>
        <v>0</v>
      </c>
      <c r="N62" s="545">
        <f>'1.3.Historical BS'!AK11</f>
        <v>0</v>
      </c>
    </row>
    <row r="63" spans="1:18" ht="12" hidden="1" customHeight="1" outlineLevel="1" x14ac:dyDescent="0.25">
      <c r="D63" s="520" t="s">
        <v>45</v>
      </c>
      <c r="E63" s="511"/>
      <c r="F63" s="511"/>
      <c r="G63" s="511"/>
      <c r="H63" s="511"/>
      <c r="I63" s="511"/>
      <c r="J63" s="599">
        <f>'1.3.Historical BS'!AD12</f>
        <v>0</v>
      </c>
      <c r="K63" s="599">
        <f>'1.3.Historical BS'!AE12</f>
        <v>0</v>
      </c>
      <c r="L63" s="599">
        <f>'1.3.Historical BS'!AF12</f>
        <v>0</v>
      </c>
      <c r="M63" s="599">
        <f>'1.3.Historical BS'!AG12</f>
        <v>0</v>
      </c>
      <c r="N63" s="545">
        <f>'1.3.Historical BS'!AK12</f>
        <v>0</v>
      </c>
    </row>
    <row r="64" spans="1:18" ht="12" customHeight="1" x14ac:dyDescent="0.25">
      <c r="D64" s="520" t="s">
        <v>108</v>
      </c>
      <c r="E64" s="511"/>
      <c r="F64" s="511"/>
      <c r="G64" s="511"/>
      <c r="H64" s="511"/>
      <c r="I64" s="511"/>
      <c r="J64" s="599">
        <f>'1.3.Historical BS'!AD13</f>
        <v>177.96724802360663</v>
      </c>
      <c r="K64" s="599">
        <f>'1.3.Historical BS'!AE13</f>
        <v>118.66187952014081</v>
      </c>
      <c r="L64" s="599">
        <f>'1.3.Historical BS'!AF13</f>
        <v>82.404457642745285</v>
      </c>
      <c r="M64" s="599">
        <f>'1.3.Historical BS'!AG13</f>
        <v>0</v>
      </c>
      <c r="N64" s="545">
        <f>'1.3.Historical BS'!AK13</f>
        <v>-0.31953575479504692</v>
      </c>
      <c r="O64" s="609" t="e">
        <f t="shared" ref="O64:O80" si="4">M64/$M$80</f>
        <v>#DIV/0!</v>
      </c>
    </row>
    <row r="65" spans="4:15" ht="12" customHeight="1" x14ac:dyDescent="0.25">
      <c r="D65" s="522" t="s">
        <v>212</v>
      </c>
      <c r="E65" s="511"/>
      <c r="F65" s="511"/>
      <c r="G65" s="511"/>
      <c r="H65" s="511"/>
      <c r="I65" s="511"/>
      <c r="J65" s="599">
        <f>'1.3.Historical BS'!AD14</f>
        <v>4.4042192420338679</v>
      </c>
      <c r="K65" s="599">
        <f>'1.3.Historical BS'!AE14</f>
        <v>4.2921218104169796</v>
      </c>
      <c r="L65" s="599">
        <f>'1.3.Historical BS'!AF14</f>
        <v>4.288256609275499</v>
      </c>
      <c r="M65" s="599">
        <f>'1.3.Historical BS'!AG14</f>
        <v>0</v>
      </c>
      <c r="N65" s="545">
        <f>'1.3.Historical BS'!AK14</f>
        <v>-1.3252765689688584E-2</v>
      </c>
      <c r="O65" s="609" t="e">
        <f t="shared" si="4"/>
        <v>#DIV/0!</v>
      </c>
    </row>
    <row r="66" spans="4:15" ht="12" customHeight="1" x14ac:dyDescent="0.25">
      <c r="D66" s="522" t="s">
        <v>213</v>
      </c>
      <c r="E66" s="511"/>
      <c r="F66" s="511"/>
      <c r="G66" s="511"/>
      <c r="H66" s="511"/>
      <c r="I66" s="511"/>
      <c r="J66" s="599">
        <f>'1.3.Historical BS'!AD15</f>
        <v>0</v>
      </c>
      <c r="K66" s="599">
        <f>'1.3.Historical BS'!AE15</f>
        <v>0</v>
      </c>
      <c r="L66" s="599">
        <f>'1.3.Historical BS'!AF15</f>
        <v>0</v>
      </c>
      <c r="M66" s="599">
        <f>'1.3.Historical BS'!AG15</f>
        <v>0</v>
      </c>
      <c r="N66" s="545">
        <f>'1.3.Historical BS'!AK15</f>
        <v>0</v>
      </c>
      <c r="O66" s="609" t="e">
        <f t="shared" si="4"/>
        <v>#DIV/0!</v>
      </c>
    </row>
    <row r="67" spans="4:15" ht="12" customHeight="1" collapsed="1" x14ac:dyDescent="0.25">
      <c r="D67" s="522" t="s">
        <v>238</v>
      </c>
      <c r="E67" s="511"/>
      <c r="F67" s="511"/>
      <c r="G67" s="511"/>
      <c r="H67" s="511"/>
      <c r="I67" s="511"/>
      <c r="J67" s="599">
        <f>'1.3.Historical BS'!AD16</f>
        <v>117.98994076325121</v>
      </c>
      <c r="K67" s="599">
        <f>'1.3.Historical BS'!AE16</f>
        <v>66.778404189110901</v>
      </c>
      <c r="L67" s="599">
        <f>'1.3.Historical BS'!AF16</f>
        <v>33.480228992902873</v>
      </c>
      <c r="M67" s="599">
        <f>'1.3.Historical BS'!AG16</f>
        <v>0</v>
      </c>
      <c r="N67" s="545">
        <f>'1.3.Historical BS'!AK16</f>
        <v>-0.46731346586097322</v>
      </c>
      <c r="O67" s="609" t="e">
        <f t="shared" si="4"/>
        <v>#DIV/0!</v>
      </c>
    </row>
    <row r="68" spans="4:15" ht="12" hidden="1" customHeight="1" outlineLevel="1" x14ac:dyDescent="0.25">
      <c r="D68" s="522" t="s">
        <v>167</v>
      </c>
      <c r="E68" s="511"/>
      <c r="F68" s="511"/>
      <c r="G68" s="511"/>
      <c r="H68" s="511"/>
      <c r="I68" s="511"/>
      <c r="J68" s="599">
        <f>'1.3.Historical BS'!AD17</f>
        <v>0</v>
      </c>
      <c r="K68" s="599">
        <f>'1.3.Historical BS'!AE17</f>
        <v>0</v>
      </c>
      <c r="L68" s="599">
        <f>'1.3.Historical BS'!AF17</f>
        <v>0</v>
      </c>
      <c r="M68" s="599">
        <f>'1.3.Historical BS'!AG17</f>
        <v>0</v>
      </c>
      <c r="N68" s="545">
        <f>'1.3.Historical BS'!AK17</f>
        <v>0</v>
      </c>
      <c r="O68" s="609" t="e">
        <f t="shared" si="4"/>
        <v>#DIV/0!</v>
      </c>
    </row>
    <row r="69" spans="4:15" ht="12" hidden="1" customHeight="1" outlineLevel="1" x14ac:dyDescent="0.25">
      <c r="D69" s="522" t="s">
        <v>214</v>
      </c>
      <c r="E69" s="511"/>
      <c r="F69" s="511"/>
      <c r="G69" s="511"/>
      <c r="H69" s="511"/>
      <c r="I69" s="511"/>
      <c r="J69" s="599">
        <f>'1.3.Historical BS'!AD18</f>
        <v>0</v>
      </c>
      <c r="K69" s="599">
        <f>'1.3.Historical BS'!AE18</f>
        <v>0</v>
      </c>
      <c r="L69" s="599">
        <f>'1.3.Historical BS'!AF18</f>
        <v>0</v>
      </c>
      <c r="M69" s="599">
        <f>'1.3.Historical BS'!AG18</f>
        <v>0</v>
      </c>
      <c r="N69" s="545">
        <f>'1.3.Historical BS'!AK18</f>
        <v>0</v>
      </c>
      <c r="O69" s="609" t="e">
        <f t="shared" si="4"/>
        <v>#DIV/0!</v>
      </c>
    </row>
    <row r="70" spans="4:15" ht="12" hidden="1" customHeight="1" outlineLevel="1" x14ac:dyDescent="0.25">
      <c r="D70" s="522" t="s">
        <v>215</v>
      </c>
      <c r="E70" s="511"/>
      <c r="F70" s="511"/>
      <c r="G70" s="511"/>
      <c r="H70" s="511"/>
      <c r="I70" s="511"/>
      <c r="J70" s="599">
        <f>'1.3.Historical BS'!AD19</f>
        <v>0</v>
      </c>
      <c r="K70" s="599">
        <f>'1.3.Historical BS'!AE19</f>
        <v>0</v>
      </c>
      <c r="L70" s="599">
        <f>'1.3.Historical BS'!AF19</f>
        <v>0</v>
      </c>
      <c r="M70" s="599">
        <f>'1.3.Historical BS'!AG19</f>
        <v>0</v>
      </c>
      <c r="N70" s="545">
        <f>'1.3.Historical BS'!AK19</f>
        <v>0</v>
      </c>
      <c r="O70" s="609" t="e">
        <f t="shared" si="4"/>
        <v>#DIV/0!</v>
      </c>
    </row>
    <row r="71" spans="4:15" ht="12" hidden="1" customHeight="1" outlineLevel="1" x14ac:dyDescent="0.25">
      <c r="D71" s="522" t="s">
        <v>277</v>
      </c>
      <c r="E71" s="511"/>
      <c r="F71" s="511"/>
      <c r="G71" s="511"/>
      <c r="H71" s="511"/>
      <c r="I71" s="511"/>
      <c r="J71" s="599">
        <f>'1.3.Historical BS'!AD20</f>
        <v>0</v>
      </c>
      <c r="K71" s="599">
        <f>'1.3.Historical BS'!AE20</f>
        <v>0</v>
      </c>
      <c r="L71" s="599">
        <f>'1.3.Historical BS'!AF20</f>
        <v>0</v>
      </c>
      <c r="M71" s="599">
        <f>'1.3.Historical BS'!AG20</f>
        <v>0</v>
      </c>
      <c r="N71" s="545">
        <f>'1.3.Historical BS'!AK20</f>
        <v>0</v>
      </c>
      <c r="O71" s="609" t="e">
        <f t="shared" si="4"/>
        <v>#DIV/0!</v>
      </c>
    </row>
    <row r="72" spans="4:15" ht="12" customHeight="1" x14ac:dyDescent="0.25">
      <c r="D72" s="522" t="s">
        <v>44</v>
      </c>
      <c r="E72" s="511"/>
      <c r="F72" s="511"/>
      <c r="G72" s="511"/>
      <c r="H72" s="511"/>
      <c r="I72" s="511"/>
      <c r="J72" s="599">
        <f>'1.3.Historical BS'!AD21</f>
        <v>45.672398758010175</v>
      </c>
      <c r="K72" s="599">
        <f>'1.3.Historical BS'!AE21</f>
        <v>44.509931969869307</v>
      </c>
      <c r="L72" s="599">
        <f>'1.3.Historical BS'!AF21</f>
        <v>44.635972040566905</v>
      </c>
      <c r="M72" s="599">
        <f>'1.3.Historical BS'!AG21</f>
        <v>0</v>
      </c>
      <c r="N72" s="545">
        <f>'1.3.Historical BS'!AK21</f>
        <v>-1.1411423887697669E-2</v>
      </c>
      <c r="O72" s="609" t="e">
        <f t="shared" si="4"/>
        <v>#DIV/0!</v>
      </c>
    </row>
    <row r="73" spans="4:15" ht="12" customHeight="1" x14ac:dyDescent="0.25">
      <c r="D73" s="522" t="s">
        <v>278</v>
      </c>
      <c r="E73" s="511"/>
      <c r="F73" s="511"/>
      <c r="G73" s="511"/>
      <c r="H73" s="511"/>
      <c r="I73" s="511"/>
      <c r="J73" s="599" t="e">
        <f>'1.3.Historical BS'!#REF!</f>
        <v>#REF!</v>
      </c>
      <c r="K73" s="599" t="e">
        <f>'1.3.Historical BS'!#REF!</f>
        <v>#REF!</v>
      </c>
      <c r="L73" s="599" t="e">
        <f>'1.3.Historical BS'!#REF!</f>
        <v>#REF!</v>
      </c>
      <c r="M73" s="599" t="e">
        <f>'1.3.Historical BS'!#REF!</f>
        <v>#REF!</v>
      </c>
      <c r="N73" s="545" t="e">
        <f>'1.3.Historical BS'!#REF!</f>
        <v>#REF!</v>
      </c>
      <c r="O73" s="609" t="e">
        <f t="shared" si="4"/>
        <v>#REF!</v>
      </c>
    </row>
    <row r="74" spans="4:15" ht="12" customHeight="1" collapsed="1" x14ac:dyDescent="0.25">
      <c r="D74" s="522" t="s">
        <v>46</v>
      </c>
      <c r="E74" s="511"/>
      <c r="F74" s="511"/>
      <c r="G74" s="511"/>
      <c r="H74" s="511"/>
      <c r="I74" s="511"/>
      <c r="J74" s="599">
        <f>'1.3.Historical BS'!AD22</f>
        <v>0</v>
      </c>
      <c r="K74" s="599">
        <f>'1.3.Historical BS'!AE22</f>
        <v>0</v>
      </c>
      <c r="L74" s="599">
        <f>'1.3.Historical BS'!AF22</f>
        <v>0</v>
      </c>
      <c r="M74" s="599">
        <f>'1.3.Historical BS'!AG22</f>
        <v>0</v>
      </c>
      <c r="N74" s="545">
        <f>'1.3.Historical BS'!AK22</f>
        <v>0</v>
      </c>
      <c r="O74" s="609" t="e">
        <f t="shared" si="4"/>
        <v>#DIV/0!</v>
      </c>
    </row>
    <row r="75" spans="4:15" ht="12" hidden="1" customHeight="1" outlineLevel="1" x14ac:dyDescent="0.25">
      <c r="D75" s="520" t="s">
        <v>279</v>
      </c>
      <c r="E75" s="511"/>
      <c r="F75" s="511"/>
      <c r="G75" s="511"/>
      <c r="H75" s="511"/>
      <c r="I75" s="511"/>
      <c r="J75" s="599">
        <f>'1.3.Historical BS'!AD23</f>
        <v>0</v>
      </c>
      <c r="K75" s="599">
        <f>'1.3.Historical BS'!AE23</f>
        <v>0</v>
      </c>
      <c r="L75" s="599">
        <f>'1.3.Historical BS'!AF23</f>
        <v>0</v>
      </c>
      <c r="M75" s="599">
        <f>'1.3.Historical BS'!AG23</f>
        <v>0</v>
      </c>
      <c r="N75" s="545">
        <f>'1.3.Historical BS'!AK23</f>
        <v>0</v>
      </c>
      <c r="O75" s="609" t="e">
        <f t="shared" si="4"/>
        <v>#DIV/0!</v>
      </c>
    </row>
    <row r="76" spans="4:15" ht="12" hidden="1" customHeight="1" outlineLevel="1" x14ac:dyDescent="0.25">
      <c r="D76" s="520" t="s">
        <v>106</v>
      </c>
      <c r="E76" s="511"/>
      <c r="F76" s="511"/>
      <c r="G76" s="511"/>
      <c r="H76" s="511"/>
      <c r="I76" s="511"/>
      <c r="J76" s="599">
        <f>'1.3.Historical BS'!AD24</f>
        <v>0</v>
      </c>
      <c r="K76" s="599">
        <f>'1.3.Historical BS'!AE24</f>
        <v>0</v>
      </c>
      <c r="L76" s="599">
        <f>'1.3.Historical BS'!AF24</f>
        <v>0</v>
      </c>
      <c r="M76" s="599">
        <f>'1.3.Historical BS'!AG24</f>
        <v>0</v>
      </c>
      <c r="N76" s="545">
        <f>'1.3.Historical BS'!AK24</f>
        <v>0</v>
      </c>
      <c r="O76" s="609" t="e">
        <f t="shared" si="4"/>
        <v>#DIV/0!</v>
      </c>
    </row>
    <row r="77" spans="4:15" ht="12" hidden="1" customHeight="1" outlineLevel="1" x14ac:dyDescent="0.25">
      <c r="D77" s="520" t="s">
        <v>149</v>
      </c>
      <c r="E77" s="511"/>
      <c r="F77" s="511"/>
      <c r="G77" s="511"/>
      <c r="H77" s="511"/>
      <c r="I77" s="511"/>
      <c r="J77" s="599">
        <f>'1.3.Historical BS'!AD25</f>
        <v>0</v>
      </c>
      <c r="K77" s="599">
        <f>'1.3.Historical BS'!AE25</f>
        <v>0</v>
      </c>
      <c r="L77" s="599">
        <f>'1.3.Historical BS'!AF25</f>
        <v>0</v>
      </c>
      <c r="M77" s="599">
        <f>'1.3.Historical BS'!AG25</f>
        <v>0</v>
      </c>
      <c r="N77" s="545">
        <f>'1.3.Historical BS'!AK25</f>
        <v>0</v>
      </c>
      <c r="O77" s="609" t="e">
        <f t="shared" si="4"/>
        <v>#DIV/0!</v>
      </c>
    </row>
    <row r="78" spans="4:15" ht="12" hidden="1" customHeight="1" outlineLevel="1" x14ac:dyDescent="0.25">
      <c r="D78" s="520" t="s">
        <v>148</v>
      </c>
      <c r="E78" s="511"/>
      <c r="F78" s="511"/>
      <c r="G78" s="511"/>
      <c r="H78" s="511"/>
      <c r="I78" s="511"/>
      <c r="J78" s="599">
        <f>'1.3.Historical BS'!AD26</f>
        <v>0</v>
      </c>
      <c r="K78" s="599">
        <f>'1.3.Historical BS'!AE26</f>
        <v>0</v>
      </c>
      <c r="L78" s="599">
        <f>'1.3.Historical BS'!AF26</f>
        <v>0</v>
      </c>
      <c r="M78" s="599">
        <f>'1.3.Historical BS'!AG26</f>
        <v>0</v>
      </c>
      <c r="N78" s="545">
        <f>'1.3.Historical BS'!AK26</f>
        <v>0</v>
      </c>
      <c r="O78" s="609" t="e">
        <f t="shared" si="4"/>
        <v>#DIV/0!</v>
      </c>
    </row>
    <row r="79" spans="4:15" ht="12" hidden="1" customHeight="1" outlineLevel="1" x14ac:dyDescent="0.25">
      <c r="D79" s="520" t="s">
        <v>150</v>
      </c>
      <c r="E79" s="511"/>
      <c r="F79" s="511"/>
      <c r="G79" s="511"/>
      <c r="H79" s="511"/>
      <c r="I79" s="511"/>
      <c r="J79" s="599">
        <f>'1.3.Historical BS'!AD27</f>
        <v>0</v>
      </c>
      <c r="K79" s="599">
        <f>'1.3.Historical BS'!AE27</f>
        <v>0</v>
      </c>
      <c r="L79" s="599">
        <f>'1.3.Historical BS'!AF27</f>
        <v>0</v>
      </c>
      <c r="M79" s="599">
        <f>'1.3.Historical BS'!AG27</f>
        <v>0</v>
      </c>
      <c r="N79" s="545">
        <f>'1.3.Historical BS'!AK27</f>
        <v>0</v>
      </c>
      <c r="O79" s="609" t="e">
        <f t="shared" si="4"/>
        <v>#DIV/0!</v>
      </c>
    </row>
    <row r="80" spans="4:15" ht="12" customHeight="1" collapsed="1" x14ac:dyDescent="0.25">
      <c r="D80" s="525" t="s">
        <v>388</v>
      </c>
      <c r="E80" s="526"/>
      <c r="F80" s="526"/>
      <c r="G80" s="526"/>
      <c r="H80" s="526"/>
      <c r="I80" s="526"/>
      <c r="J80" s="600">
        <f>'1.3.Historical BS'!AD28</f>
        <v>180.26861112946204</v>
      </c>
      <c r="K80" s="600">
        <f>'1.3.Historical BS'!AE28</f>
        <v>119.77430092066017</v>
      </c>
      <c r="L80" s="600">
        <f>'1.3.Historical BS'!AF28</f>
        <v>83.59494628958592</v>
      </c>
      <c r="M80" s="600">
        <f>'1.3.Historical BS'!AG28</f>
        <v>0</v>
      </c>
      <c r="N80" s="546">
        <f>'1.3.Historical BS'!AK28</f>
        <v>-0.31902690228721353</v>
      </c>
      <c r="O80" s="609" t="e">
        <f t="shared" si="4"/>
        <v>#DIV/0!</v>
      </c>
    </row>
    <row r="81" spans="4:18" ht="12" hidden="1" customHeight="1" outlineLevel="1" x14ac:dyDescent="0.25">
      <c r="D81" s="520" t="s">
        <v>71</v>
      </c>
      <c r="E81" s="511"/>
      <c r="F81" s="511"/>
      <c r="G81" s="511"/>
      <c r="H81" s="511"/>
      <c r="I81" s="511"/>
      <c r="J81" s="599">
        <f>'1.3.Historical BS'!AD29</f>
        <v>0</v>
      </c>
      <c r="K81" s="599">
        <f>'1.3.Historical BS'!AE29</f>
        <v>0</v>
      </c>
      <c r="L81" s="599">
        <f>'1.3.Historical BS'!AF29</f>
        <v>0</v>
      </c>
      <c r="M81" s="599">
        <f>'1.3.Historical BS'!AG29</f>
        <v>0</v>
      </c>
      <c r="N81" s="545">
        <f>'1.3.Historical BS'!AK29</f>
        <v>0</v>
      </c>
    </row>
    <row r="82" spans="4:18" ht="12" customHeight="1" collapsed="1" x14ac:dyDescent="0.25">
      <c r="D82" s="520" t="s">
        <v>109</v>
      </c>
      <c r="E82" s="511"/>
      <c r="F82" s="511"/>
      <c r="G82" s="511"/>
      <c r="H82" s="511"/>
      <c r="I82" s="511"/>
      <c r="J82" s="599">
        <f>'1.3.Historical BS'!AD30</f>
        <v>1336.6398449714827</v>
      </c>
      <c r="K82" s="599">
        <f>'1.3.Historical BS'!AE30</f>
        <v>1324.025630405391</v>
      </c>
      <c r="L82" s="599">
        <f>'1.3.Historical BS'!AF30</f>
        <v>1801.7587341066494</v>
      </c>
      <c r="M82" s="599">
        <f>'1.3.Historical BS'!AG30</f>
        <v>0</v>
      </c>
      <c r="N82" s="545">
        <f>'1.3.Historical BS'!AK30</f>
        <v>0.16102378367969039</v>
      </c>
      <c r="O82" s="609" t="e">
        <f>M82/$M$92</f>
        <v>#DIV/0!</v>
      </c>
    </row>
    <row r="83" spans="4:18" ht="12" hidden="1" customHeight="1" outlineLevel="1" x14ac:dyDescent="0.25">
      <c r="D83" s="520" t="s">
        <v>280</v>
      </c>
      <c r="E83" s="511"/>
      <c r="F83" s="511"/>
      <c r="G83" s="511"/>
      <c r="H83" s="511"/>
      <c r="I83" s="511"/>
      <c r="J83" s="599">
        <f>'1.3.Historical BS'!AD32</f>
        <v>380.07874303582832</v>
      </c>
      <c r="K83" s="599">
        <f>'1.3.Historical BS'!AE32</f>
        <v>273.7363456874906</v>
      </c>
      <c r="L83" s="599">
        <f>'1.3.Historical BS'!AF32</f>
        <v>790.14065481678426</v>
      </c>
      <c r="M83" s="599">
        <f>'1.3.Historical BS'!AG32</f>
        <v>0</v>
      </c>
      <c r="N83" s="545">
        <f>'1.3.Historical BS'!AK32</f>
        <v>0.4418345012012439</v>
      </c>
    </row>
    <row r="84" spans="4:18" ht="12" customHeight="1" x14ac:dyDescent="0.25">
      <c r="D84" s="520" t="s">
        <v>217</v>
      </c>
      <c r="E84" s="511"/>
      <c r="F84" s="511"/>
      <c r="G84" s="511"/>
      <c r="H84" s="511"/>
      <c r="I84" s="511"/>
      <c r="J84" s="599" t="e">
        <f>'1.3.Historical BS'!#REF!</f>
        <v>#REF!</v>
      </c>
      <c r="K84" s="599" t="e">
        <f>'1.3.Historical BS'!#REF!</f>
        <v>#REF!</v>
      </c>
      <c r="L84" s="599" t="e">
        <f>'1.3.Historical BS'!#REF!</f>
        <v>#REF!</v>
      </c>
      <c r="M84" s="599" t="e">
        <f>'1.3.Historical BS'!#REF!</f>
        <v>#REF!</v>
      </c>
      <c r="N84" s="545" t="e">
        <f>'1.3.Historical BS'!#REF!</f>
        <v>#REF!</v>
      </c>
      <c r="O84" s="609" t="e">
        <f t="shared" ref="O84:O91" si="5">M84/$M$92</f>
        <v>#REF!</v>
      </c>
    </row>
    <row r="85" spans="4:18" ht="12" customHeight="1" x14ac:dyDescent="0.25">
      <c r="D85" s="520" t="s">
        <v>281</v>
      </c>
      <c r="E85" s="511"/>
      <c r="F85" s="511"/>
      <c r="G85" s="511"/>
      <c r="H85" s="511"/>
      <c r="I85" s="511"/>
      <c r="J85" s="599">
        <f>'1.3.Historical BS'!AD33</f>
        <v>126.38594393428903</v>
      </c>
      <c r="K85" s="599">
        <f>'1.3.Historical BS'!AE33</f>
        <v>170.18887911238923</v>
      </c>
      <c r="L85" s="599">
        <f>'1.3.Historical BS'!AF33</f>
        <v>193.35052852762712</v>
      </c>
      <c r="M85" s="599">
        <f>'1.3.Historical BS'!AG33</f>
        <v>0</v>
      </c>
      <c r="N85" s="545">
        <f>'1.3.Historical BS'!AK33</f>
        <v>0.23686782883623603</v>
      </c>
      <c r="O85" s="609" t="e">
        <f t="shared" si="5"/>
        <v>#DIV/0!</v>
      </c>
    </row>
    <row r="86" spans="4:18" ht="12" customHeight="1" x14ac:dyDescent="0.25">
      <c r="D86" s="520" t="s">
        <v>232</v>
      </c>
      <c r="E86" s="511"/>
      <c r="F86" s="511"/>
      <c r="G86" s="511"/>
      <c r="H86" s="511"/>
      <c r="I86" s="511"/>
      <c r="J86" s="599">
        <f>'1.3.Historical BS'!AD34</f>
        <v>1315.0645526414303</v>
      </c>
      <c r="K86" s="599">
        <f>'1.3.Historical BS'!AE34</f>
        <v>2094.181704830783</v>
      </c>
      <c r="L86" s="599">
        <f>'1.3.Historical BS'!AF34</f>
        <v>1181.2725251399042</v>
      </c>
      <c r="M86" s="599">
        <f>'1.3.Historical BS'!AG34</f>
        <v>0</v>
      </c>
      <c r="N86" s="545">
        <f>'1.3.Historical BS'!AK34</f>
        <v>-5.2233147039815186E-2</v>
      </c>
      <c r="O86" s="609" t="e">
        <f t="shared" si="5"/>
        <v>#DIV/0!</v>
      </c>
    </row>
    <row r="87" spans="4:18" ht="12" customHeight="1" x14ac:dyDescent="0.25">
      <c r="D87" s="520" t="s">
        <v>143</v>
      </c>
      <c r="E87" s="511"/>
      <c r="F87" s="511"/>
      <c r="G87" s="511"/>
      <c r="H87" s="511"/>
      <c r="I87" s="511"/>
      <c r="J87" s="599">
        <f>'1.3.Historical BS'!AD35</f>
        <v>73.341375437669285</v>
      </c>
      <c r="K87" s="599">
        <f>'1.3.Historical BS'!AE35</f>
        <v>317.8685644998605</v>
      </c>
      <c r="L87" s="599">
        <f>'1.3.Historical BS'!AF35</f>
        <v>-15.974013164947786</v>
      </c>
      <c r="M87" s="599">
        <f>'1.3.Historical BS'!AG35</f>
        <v>0</v>
      </c>
      <c r="N87" s="545">
        <f>'1.3.Historical BS'!AK35</f>
        <v>0</v>
      </c>
      <c r="O87" s="609" t="e">
        <f t="shared" si="5"/>
        <v>#DIV/0!</v>
      </c>
    </row>
    <row r="88" spans="4:18" ht="12" customHeight="1" outlineLevel="1" x14ac:dyDescent="0.25">
      <c r="D88" s="520" t="s">
        <v>151</v>
      </c>
      <c r="E88" s="511"/>
      <c r="F88" s="511"/>
      <c r="G88" s="511"/>
      <c r="H88" s="511"/>
      <c r="I88" s="511"/>
      <c r="J88" s="599">
        <f>'1.3.Historical BS'!AD36</f>
        <v>0</v>
      </c>
      <c r="K88" s="599">
        <f>'1.3.Historical BS'!AE36</f>
        <v>0</v>
      </c>
      <c r="L88" s="599">
        <f>'1.3.Historical BS'!AF36</f>
        <v>0</v>
      </c>
      <c r="M88" s="599">
        <f>'1.3.Historical BS'!AG36</f>
        <v>0</v>
      </c>
      <c r="N88" s="545">
        <f>'1.3.Historical BS'!AK36</f>
        <v>0</v>
      </c>
      <c r="O88" s="609" t="e">
        <f t="shared" si="5"/>
        <v>#DIV/0!</v>
      </c>
    </row>
    <row r="89" spans="4:18" ht="12" customHeight="1" x14ac:dyDescent="0.25">
      <c r="D89" s="520" t="s">
        <v>152</v>
      </c>
      <c r="E89" s="511"/>
      <c r="F89" s="511"/>
      <c r="G89" s="511"/>
      <c r="H89" s="511"/>
      <c r="I89" s="511"/>
      <c r="J89" s="599">
        <f>'1.3.Historical BS'!AD37</f>
        <v>224.25346281737905</v>
      </c>
      <c r="K89" s="599">
        <f>'1.3.Historical BS'!AE37</f>
        <v>713.12222675279531</v>
      </c>
      <c r="L89" s="599">
        <f>'1.3.Historical BS'!AF37</f>
        <v>386.49156285512123</v>
      </c>
      <c r="M89" s="599">
        <f>'1.3.Historical BS'!AG37</f>
        <v>0</v>
      </c>
      <c r="N89" s="545">
        <f>'1.3.Historical BS'!AK37</f>
        <v>0.31280562798462164</v>
      </c>
      <c r="O89" s="609" t="e">
        <f t="shared" si="5"/>
        <v>#DIV/0!</v>
      </c>
    </row>
    <row r="90" spans="4:18" ht="12" customHeight="1" outlineLevel="1" x14ac:dyDescent="0.25">
      <c r="D90" s="520" t="s">
        <v>113</v>
      </c>
      <c r="E90" s="511"/>
      <c r="F90" s="511"/>
      <c r="G90" s="511"/>
      <c r="H90" s="511"/>
      <c r="I90" s="511"/>
      <c r="J90" s="599">
        <f>'1.3.Historical BS'!AD38</f>
        <v>0</v>
      </c>
      <c r="K90" s="599">
        <f>'1.3.Historical BS'!AE38</f>
        <v>0</v>
      </c>
      <c r="L90" s="599">
        <f>'1.3.Historical BS'!AF38</f>
        <v>0</v>
      </c>
      <c r="M90" s="599">
        <f>'1.3.Historical BS'!AG38</f>
        <v>0</v>
      </c>
      <c r="N90" s="545">
        <f>'1.3.Historical BS'!AK38</f>
        <v>0</v>
      </c>
      <c r="O90" s="609" t="e">
        <f t="shared" si="5"/>
        <v>#DIV/0!</v>
      </c>
    </row>
    <row r="91" spans="4:18" ht="12" customHeight="1" x14ac:dyDescent="0.25">
      <c r="D91" s="520" t="s">
        <v>41</v>
      </c>
      <c r="E91" s="511"/>
      <c r="F91" s="511"/>
      <c r="G91" s="511"/>
      <c r="H91" s="511"/>
      <c r="I91" s="511"/>
      <c r="J91" s="599">
        <f>'1.3.Historical BS'!AD39</f>
        <v>476.97958864592289</v>
      </c>
      <c r="K91" s="599">
        <f>'1.3.Historical BS'!AE39</f>
        <v>1115.3888254608667</v>
      </c>
      <c r="L91" s="599">
        <f>'1.3.Historical BS'!AF39</f>
        <v>1409.0683505220952</v>
      </c>
      <c r="M91" s="599">
        <f>'1.3.Historical BS'!AG39</f>
        <v>0</v>
      </c>
      <c r="N91" s="545">
        <f>'1.3.Historical BS'!AK39</f>
        <v>0.71876354116879559</v>
      </c>
      <c r="O91" s="609" t="e">
        <f t="shared" si="5"/>
        <v>#DIV/0!</v>
      </c>
    </row>
    <row r="92" spans="4:18" ht="12" customHeight="1" x14ac:dyDescent="0.25">
      <c r="D92" s="525" t="s">
        <v>389</v>
      </c>
      <c r="E92" s="526"/>
      <c r="F92" s="526"/>
      <c r="G92" s="526"/>
      <c r="H92" s="526"/>
      <c r="I92" s="526"/>
      <c r="J92" s="600">
        <f>'1.3.Historical BS'!AD40</f>
        <v>3426.278824513884</v>
      </c>
      <c r="K92" s="600">
        <f>'1.3.Historical BS'!AE40</f>
        <v>5564.5869519496964</v>
      </c>
      <c r="L92" s="600">
        <f>'1.3.Historical BS'!AF40</f>
        <v>4762.6171594588222</v>
      </c>
      <c r="M92" s="600">
        <f>'1.3.Historical BS'!AG40</f>
        <v>0</v>
      </c>
      <c r="N92" s="546">
        <f>'1.3.Historical BS'!AK40</f>
        <v>0.17899370180207441</v>
      </c>
      <c r="O92" s="13">
        <f>J92-J91</f>
        <v>2949.2992358679612</v>
      </c>
      <c r="P92" s="13">
        <f>K92-K91</f>
        <v>4449.19812648883</v>
      </c>
      <c r="R92" s="13">
        <f>L92-L91</f>
        <v>3353.5488089367273</v>
      </c>
    </row>
    <row r="93" spans="4:18" ht="12" customHeight="1" x14ac:dyDescent="0.25">
      <c r="D93" s="525" t="s">
        <v>70</v>
      </c>
      <c r="E93" s="526"/>
      <c r="F93" s="526"/>
      <c r="G93" s="526"/>
      <c r="H93" s="526"/>
      <c r="I93" s="526"/>
      <c r="J93" s="600">
        <f>'1.3.Historical BS'!AD41</f>
        <v>3606.547435643346</v>
      </c>
      <c r="K93" s="600">
        <f>'1.3.Historical BS'!AE41</f>
        <v>5684.361252870357</v>
      </c>
      <c r="L93" s="600">
        <f>'1.3.Historical BS'!AF41</f>
        <v>4846.2121057484082</v>
      </c>
      <c r="M93" s="600">
        <f>'1.3.Historical BS'!AG41</f>
        <v>0</v>
      </c>
      <c r="N93" s="546">
        <f>'1.3.Historical BS'!AK41</f>
        <v>0.15919202527371712</v>
      </c>
      <c r="R93" s="556">
        <f>(R92/O92)^(1/2)-1</f>
        <v>6.6333115539676912E-2</v>
      </c>
    </row>
    <row r="94" spans="4:18" ht="3" customHeight="1" collapsed="1" x14ac:dyDescent="0.25">
      <c r="D94" s="536"/>
      <c r="E94" s="511"/>
      <c r="F94" s="511"/>
      <c r="G94" s="511"/>
      <c r="H94" s="511"/>
      <c r="I94" s="511"/>
      <c r="J94" s="599"/>
      <c r="K94" s="599"/>
      <c r="L94" s="599"/>
      <c r="M94" s="599"/>
      <c r="N94" s="545"/>
    </row>
    <row r="95" spans="4:18" ht="12" hidden="1" customHeight="1" outlineLevel="1" x14ac:dyDescent="0.25">
      <c r="D95" s="536" t="s">
        <v>69</v>
      </c>
      <c r="E95" s="511"/>
      <c r="F95" s="511"/>
      <c r="G95" s="511"/>
      <c r="H95" s="511"/>
      <c r="I95" s="511"/>
      <c r="J95" s="599">
        <f>'1.3.Historical BS'!AD43</f>
        <v>0</v>
      </c>
      <c r="K95" s="599">
        <f>'1.3.Historical BS'!AE43</f>
        <v>0</v>
      </c>
      <c r="L95" s="599">
        <f>'1.3.Historical BS'!AF43</f>
        <v>0</v>
      </c>
      <c r="M95" s="599">
        <f>'1.3.Historical BS'!AG43</f>
        <v>0</v>
      </c>
      <c r="N95" s="545">
        <f>'1.3.Historical BS'!AK43</f>
        <v>0</v>
      </c>
    </row>
    <row r="96" spans="4:18" ht="12" customHeight="1" collapsed="1" x14ac:dyDescent="0.25">
      <c r="D96" s="536" t="s">
        <v>51</v>
      </c>
      <c r="E96" s="511"/>
      <c r="F96" s="511"/>
      <c r="G96" s="511"/>
      <c r="H96" s="511"/>
      <c r="I96" s="511"/>
      <c r="J96" s="599">
        <f>'1.3.Historical BS'!AD44</f>
        <v>44.042192420338687</v>
      </c>
      <c r="K96" s="599">
        <f>'1.3.Historical BS'!AE44</f>
        <v>42.921218104169796</v>
      </c>
      <c r="L96" s="599">
        <f>'1.3.Historical BS'!AF44</f>
        <v>42.882566092754992</v>
      </c>
      <c r="M96" s="599">
        <f>'1.3.Historical BS'!AG44</f>
        <v>0</v>
      </c>
      <c r="N96" s="545">
        <f>'1.3.Historical BS'!AK44</f>
        <v>-1.3252765689688695E-2</v>
      </c>
    </row>
    <row r="97" spans="4:17" ht="12" hidden="1" customHeight="1" outlineLevel="1" x14ac:dyDescent="0.25">
      <c r="D97" s="536" t="s">
        <v>50</v>
      </c>
      <c r="E97" s="511"/>
      <c r="F97" s="511"/>
      <c r="G97" s="511"/>
      <c r="H97" s="511"/>
      <c r="I97" s="511"/>
      <c r="J97" s="599">
        <f>'1.3.Historical BS'!AD45</f>
        <v>0</v>
      </c>
      <c r="K97" s="599">
        <f>'1.3.Historical BS'!AE45</f>
        <v>0</v>
      </c>
      <c r="L97" s="599">
        <f>'1.3.Historical BS'!AF45</f>
        <v>0</v>
      </c>
      <c r="M97" s="599">
        <f>'1.3.Historical BS'!AG45</f>
        <v>0</v>
      </c>
      <c r="N97" s="545">
        <f>'1.3.Historical BS'!AK45</f>
        <v>0</v>
      </c>
    </row>
    <row r="98" spans="4:17" ht="12" customHeight="1" collapsed="1" x14ac:dyDescent="0.25">
      <c r="D98" s="536" t="s">
        <v>49</v>
      </c>
      <c r="E98" s="511"/>
      <c r="F98" s="511"/>
      <c r="G98" s="511"/>
      <c r="H98" s="511"/>
      <c r="I98" s="511"/>
      <c r="J98" s="599">
        <f>'1.3.Historical BS'!AD46</f>
        <v>8.8084384840677359</v>
      </c>
      <c r="K98" s="599">
        <f>'1.3.Historical BS'!AE46</f>
        <v>8.5842436208339592</v>
      </c>
      <c r="L98" s="599">
        <f>'1.3.Historical BS'!AF46</f>
        <v>8.576513218550998</v>
      </c>
      <c r="M98" s="599">
        <f>'1.3.Historical BS'!AG46</f>
        <v>0</v>
      </c>
      <c r="N98" s="545">
        <f>'1.3.Historical BS'!AK46</f>
        <v>-1.3252765689688584E-2</v>
      </c>
    </row>
    <row r="99" spans="4:17" ht="12" hidden="1" customHeight="1" outlineLevel="1" x14ac:dyDescent="0.25">
      <c r="D99" s="536" t="s">
        <v>153</v>
      </c>
      <c r="E99" s="511"/>
      <c r="F99" s="511"/>
      <c r="G99" s="511"/>
      <c r="H99" s="511"/>
      <c r="I99" s="511"/>
      <c r="J99" s="599">
        <f>'1.3.Historical BS'!AD47</f>
        <v>0</v>
      </c>
      <c r="K99" s="599">
        <f>'1.3.Historical BS'!AE47</f>
        <v>0</v>
      </c>
      <c r="L99" s="599">
        <f>'1.3.Historical BS'!AF47</f>
        <v>0</v>
      </c>
      <c r="M99" s="599">
        <f>'1.3.Historical BS'!AG47</f>
        <v>0</v>
      </c>
      <c r="N99" s="545">
        <f>'1.3.Historical BS'!AK47</f>
        <v>0</v>
      </c>
    </row>
    <row r="100" spans="4:17" ht="12" customHeight="1" x14ac:dyDescent="0.25">
      <c r="D100" s="536" t="s">
        <v>115</v>
      </c>
      <c r="E100" s="511"/>
      <c r="F100" s="511"/>
      <c r="G100" s="511"/>
      <c r="H100" s="511"/>
      <c r="I100" s="511"/>
      <c r="J100" s="599">
        <f>'1.3.Historical BS'!AD48</f>
        <v>122.31689238290281</v>
      </c>
      <c r="K100" s="599">
        <f>'1.3.Historical BS'!AE48</f>
        <v>119.20364830353884</v>
      </c>
      <c r="L100" s="599">
        <f>'1.3.Historical BS'!AF48</f>
        <v>119.09630137867448</v>
      </c>
      <c r="M100" s="599">
        <f>'1.3.Historical BS'!AG48</f>
        <v>0</v>
      </c>
      <c r="N100" s="545">
        <f>'1.3.Historical BS'!AK48</f>
        <v>-1.3252765689688695E-2</v>
      </c>
    </row>
    <row r="101" spans="4:17" ht="12" customHeight="1" x14ac:dyDescent="0.25">
      <c r="D101" s="536" t="s">
        <v>48</v>
      </c>
      <c r="E101" s="511"/>
      <c r="F101" s="511"/>
      <c r="G101" s="511"/>
      <c r="H101" s="511"/>
      <c r="I101" s="511"/>
      <c r="J101" s="599">
        <f>'1.3.Historical BS'!AD49</f>
        <v>732.25082248794342</v>
      </c>
      <c r="K101" s="599">
        <f>'1.3.Historical BS'!AE49</f>
        <v>240.18620082837955</v>
      </c>
      <c r="L101" s="599">
        <f>'1.3.Historical BS'!AF49</f>
        <v>550.42923733356213</v>
      </c>
      <c r="M101" s="599">
        <f>'1.3.Historical BS'!AG49</f>
        <v>0</v>
      </c>
      <c r="N101" s="545">
        <f>'1.3.Historical BS'!AK49</f>
        <v>-0.13299657498518547</v>
      </c>
    </row>
    <row r="102" spans="4:17" ht="12" customHeight="1" x14ac:dyDescent="0.25">
      <c r="D102" s="536" t="s">
        <v>230</v>
      </c>
      <c r="E102" s="511"/>
      <c r="F102" s="511"/>
      <c r="G102" s="511"/>
      <c r="H102" s="511"/>
      <c r="I102" s="511"/>
      <c r="J102" s="599">
        <f>'1.3.Historical BS'!AD50</f>
        <v>248.15535883376276</v>
      </c>
      <c r="K102" s="599">
        <f>'1.3.Historical BS'!AE50</f>
        <v>428.94419812434279</v>
      </c>
      <c r="L102" s="599">
        <f>'1.3.Historical BS'!AF50</f>
        <v>445.62059220823778</v>
      </c>
      <c r="M102" s="599">
        <f>'1.3.Historical BS'!AG50</f>
        <v>0</v>
      </c>
      <c r="N102" s="545">
        <f>'1.3.Historical BS'!AK50</f>
        <v>0.34004936315707934</v>
      </c>
      <c r="Q102" s="606">
        <f>3.22*24</f>
        <v>77.28</v>
      </c>
    </row>
    <row r="103" spans="4:17" ht="12" customHeight="1" x14ac:dyDescent="0.25">
      <c r="D103" s="536" t="s">
        <v>47</v>
      </c>
      <c r="E103" s="511"/>
      <c r="F103" s="511"/>
      <c r="G103" s="511"/>
      <c r="H103" s="511"/>
      <c r="I103" s="511"/>
      <c r="J103" s="599">
        <f>'1.3.Historical BS'!AD51</f>
        <v>0</v>
      </c>
      <c r="K103" s="599">
        <f>'1.3.Historical BS'!AE51</f>
        <v>0</v>
      </c>
      <c r="L103" s="599">
        <f>'1.3.Historical BS'!AF51</f>
        <v>0</v>
      </c>
      <c r="M103" s="599">
        <f>'1.3.Historical BS'!AG51</f>
        <v>0</v>
      </c>
      <c r="N103" s="545">
        <f>'1.3.Historical BS'!AK51</f>
        <v>0</v>
      </c>
    </row>
    <row r="104" spans="4:17" ht="12" customHeight="1" collapsed="1" x14ac:dyDescent="0.25">
      <c r="D104" s="547" t="s">
        <v>390</v>
      </c>
      <c r="E104" s="526"/>
      <c r="F104" s="526"/>
      <c r="G104" s="526"/>
      <c r="H104" s="526"/>
      <c r="I104" s="526"/>
      <c r="J104" s="600">
        <f>'1.3.Historical BS'!AD52</f>
        <v>1155.5737046090153</v>
      </c>
      <c r="K104" s="600">
        <f>'1.3.Historical BS'!AE52</f>
        <v>839.839508981265</v>
      </c>
      <c r="L104" s="600">
        <f>'1.3.Historical BS'!AF52</f>
        <v>1166.6052102317803</v>
      </c>
      <c r="M104" s="600">
        <f>'1.3.Historical BS'!AG52</f>
        <v>0</v>
      </c>
      <c r="N104" s="546">
        <f>'1.3.Historical BS'!AK52</f>
        <v>4.7618351213454257E-3</v>
      </c>
    </row>
    <row r="105" spans="4:17" ht="12" hidden="1" customHeight="1" outlineLevel="1" x14ac:dyDescent="0.25">
      <c r="D105" s="536" t="s">
        <v>68</v>
      </c>
      <c r="E105" s="511"/>
      <c r="F105" s="511"/>
      <c r="G105" s="511"/>
      <c r="H105" s="511"/>
      <c r="I105" s="511"/>
      <c r="J105" s="599">
        <f>'1.3.Historical BS'!AD53</f>
        <v>0</v>
      </c>
      <c r="K105" s="599">
        <f>'1.3.Historical BS'!AE53</f>
        <v>0</v>
      </c>
      <c r="L105" s="599">
        <f>'1.3.Historical BS'!AF53</f>
        <v>0</v>
      </c>
      <c r="M105" s="599">
        <f>'1.3.Historical BS'!AG53</f>
        <v>0</v>
      </c>
      <c r="N105" s="545">
        <f>'1.3.Historical BS'!AK53</f>
        <v>0</v>
      </c>
    </row>
    <row r="106" spans="4:17" ht="12" customHeight="1" collapsed="1" x14ac:dyDescent="0.25">
      <c r="D106" s="536" t="s">
        <v>112</v>
      </c>
      <c r="E106" s="511"/>
      <c r="F106" s="511"/>
      <c r="G106" s="511"/>
      <c r="H106" s="511"/>
      <c r="I106" s="511"/>
      <c r="J106" s="599">
        <f>'1.3.Historical BS'!AD54</f>
        <v>0</v>
      </c>
      <c r="K106" s="599">
        <f>'1.3.Historical BS'!AE54</f>
        <v>673.21651179260471</v>
      </c>
      <c r="L106" s="599">
        <f>'1.3.Historical BS'!AF54</f>
        <v>554.33967923840567</v>
      </c>
      <c r="M106" s="599">
        <f>'1.3.Historical BS'!AG54</f>
        <v>0</v>
      </c>
      <c r="N106" s="545">
        <f>'1.3.Historical BS'!AK54</f>
        <v>0</v>
      </c>
      <c r="O106" s="609" t="e">
        <f>M106/$M$123</f>
        <v>#DIV/0!</v>
      </c>
    </row>
    <row r="107" spans="4:17" ht="12" hidden="1" customHeight="1" outlineLevel="1" x14ac:dyDescent="0.25">
      <c r="D107" s="536" t="s">
        <v>161</v>
      </c>
      <c r="E107" s="511"/>
      <c r="F107" s="511"/>
      <c r="G107" s="511"/>
      <c r="H107" s="511"/>
      <c r="I107" s="511"/>
      <c r="J107" s="599">
        <f>'1.3.Historical BS'!AD55</f>
        <v>0</v>
      </c>
      <c r="K107" s="599">
        <f>'1.3.Historical BS'!AE55</f>
        <v>673.21651179260471</v>
      </c>
      <c r="L107" s="599">
        <f>'1.3.Historical BS'!AF55</f>
        <v>554.33967923840567</v>
      </c>
      <c r="M107" s="599">
        <f>'1.3.Historical BS'!AG55</f>
        <v>0</v>
      </c>
      <c r="N107" s="545">
        <f>'1.3.Historical BS'!AK55</f>
        <v>0</v>
      </c>
    </row>
    <row r="108" spans="4:17" ht="12" hidden="1" customHeight="1" outlineLevel="1" x14ac:dyDescent="0.25">
      <c r="D108" s="536" t="s">
        <v>155</v>
      </c>
      <c r="E108" s="511"/>
      <c r="F108" s="511"/>
      <c r="G108" s="511"/>
      <c r="H108" s="511"/>
      <c r="I108" s="511"/>
      <c r="J108" s="599">
        <f>'1.3.Historical BS'!AD56</f>
        <v>0</v>
      </c>
      <c r="K108" s="599">
        <f>'1.3.Historical BS'!AE56</f>
        <v>0</v>
      </c>
      <c r="L108" s="599">
        <f>'1.3.Historical BS'!AF56</f>
        <v>0</v>
      </c>
      <c r="M108" s="599">
        <f>'1.3.Historical BS'!AG56</f>
        <v>0</v>
      </c>
      <c r="N108" s="545">
        <f>'1.3.Historical BS'!AK56</f>
        <v>0</v>
      </c>
    </row>
    <row r="109" spans="4:17" ht="12" hidden="1" customHeight="1" outlineLevel="1" x14ac:dyDescent="0.25">
      <c r="D109" s="536" t="s">
        <v>154</v>
      </c>
      <c r="E109" s="511"/>
      <c r="F109" s="511"/>
      <c r="G109" s="511"/>
      <c r="H109" s="511"/>
      <c r="I109" s="511"/>
      <c r="J109" s="599">
        <f>'1.3.Historical BS'!AD57</f>
        <v>0</v>
      </c>
      <c r="K109" s="599">
        <f>'1.3.Historical BS'!AE57</f>
        <v>0</v>
      </c>
      <c r="L109" s="599">
        <f>'1.3.Historical BS'!AF57</f>
        <v>0</v>
      </c>
      <c r="M109" s="599">
        <f>'1.3.Historical BS'!AG57</f>
        <v>0</v>
      </c>
      <c r="N109" s="545">
        <f>'1.3.Historical BS'!AK57</f>
        <v>0</v>
      </c>
    </row>
    <row r="110" spans="4:17" ht="12" customHeight="1" x14ac:dyDescent="0.25">
      <c r="D110" s="536" t="s">
        <v>38</v>
      </c>
      <c r="E110" s="511"/>
      <c r="F110" s="511"/>
      <c r="G110" s="511"/>
      <c r="H110" s="511"/>
      <c r="I110" s="511"/>
      <c r="J110" s="599">
        <f>'1.3.Historical BS'!AD58</f>
        <v>0</v>
      </c>
      <c r="K110" s="599">
        <f>'1.3.Historical BS'!AE58</f>
        <v>0</v>
      </c>
      <c r="L110" s="599">
        <f>'1.3.Historical BS'!AF58</f>
        <v>0</v>
      </c>
      <c r="M110" s="599">
        <f>'1.3.Historical BS'!AG58</f>
        <v>0</v>
      </c>
      <c r="N110" s="545">
        <f>'1.3.Historical BS'!AK58</f>
        <v>0</v>
      </c>
      <c r="O110" s="609" t="e">
        <f t="shared" ref="O110:O123" si="6">M110/$M$123</f>
        <v>#DIV/0!</v>
      </c>
    </row>
    <row r="111" spans="4:17" ht="12" customHeight="1" x14ac:dyDescent="0.25">
      <c r="D111" s="536" t="s">
        <v>237</v>
      </c>
      <c r="E111" s="511"/>
      <c r="F111" s="511"/>
      <c r="G111" s="511"/>
      <c r="H111" s="511"/>
      <c r="I111" s="511"/>
      <c r="J111" s="599">
        <f>'1.3.Historical BS'!AD59</f>
        <v>2371.6953381339326</v>
      </c>
      <c r="K111" s="599">
        <f>'1.3.Historical BS'!AE59</f>
        <v>3941.5484129879601</v>
      </c>
      <c r="L111" s="599">
        <f>'1.3.Historical BS'!AF59</f>
        <v>3103.8466369347543</v>
      </c>
      <c r="M111" s="599">
        <f>'1.3.Historical BS'!AG59</f>
        <v>0</v>
      </c>
      <c r="N111" s="545">
        <f>'1.3.Historical BS'!AK59</f>
        <v>0.14398591459615195</v>
      </c>
      <c r="O111" s="609" t="e">
        <f t="shared" si="6"/>
        <v>#DIV/0!</v>
      </c>
    </row>
    <row r="112" spans="4:17" ht="12" customHeight="1" x14ac:dyDescent="0.25">
      <c r="D112" s="557" t="s">
        <v>110</v>
      </c>
      <c r="E112" s="511"/>
      <c r="F112" s="511"/>
      <c r="G112" s="511"/>
      <c r="H112" s="511"/>
      <c r="I112" s="511"/>
      <c r="J112" s="599">
        <f>'1.3.Historical BS'!AD60</f>
        <v>971.91871572966897</v>
      </c>
      <c r="K112" s="599">
        <f>'1.3.Historical BS'!AE60</f>
        <v>2154.4197888276071</v>
      </c>
      <c r="L112" s="599">
        <f>'1.3.Historical BS'!AF60</f>
        <v>1936.53413452261</v>
      </c>
      <c r="M112" s="599">
        <f>'1.3.Historical BS'!AG60</f>
        <v>0</v>
      </c>
      <c r="N112" s="545">
        <f>'1.3.Historical BS'!AK60</f>
        <v>0.41155435305692345</v>
      </c>
      <c r="O112" s="609" t="e">
        <f t="shared" si="6"/>
        <v>#DIV/0!</v>
      </c>
    </row>
    <row r="113" spans="4:15" ht="12" customHeight="1" x14ac:dyDescent="0.25">
      <c r="D113" s="557" t="s">
        <v>43</v>
      </c>
      <c r="E113" s="511"/>
      <c r="F113" s="511"/>
      <c r="G113" s="511"/>
      <c r="H113" s="511"/>
      <c r="I113" s="511"/>
      <c r="J113" s="599">
        <f>'1.3.Historical BS'!AD61</f>
        <v>1342.1991499856865</v>
      </c>
      <c r="K113" s="599">
        <f>'1.3.Historical BS'!AE61</f>
        <v>1686.1100907783762</v>
      </c>
      <c r="L113" s="599">
        <f>'1.3.Historical BS'!AF61</f>
        <v>1102.3144557130299</v>
      </c>
      <c r="M113" s="599">
        <f>'1.3.Historical BS'!AG61</f>
        <v>0</v>
      </c>
      <c r="N113" s="545">
        <f>'1.3.Historical BS'!AK61</f>
        <v>-9.3757820803171743E-2</v>
      </c>
      <c r="O113" s="609" t="e">
        <f t="shared" si="6"/>
        <v>#DIV/0!</v>
      </c>
    </row>
    <row r="114" spans="4:15" ht="12" customHeight="1" x14ac:dyDescent="0.25">
      <c r="D114" s="557" t="s">
        <v>219</v>
      </c>
      <c r="E114" s="511"/>
      <c r="F114" s="511"/>
      <c r="G114" s="511"/>
      <c r="H114" s="511"/>
      <c r="I114" s="511"/>
      <c r="J114" s="599">
        <f>'1.3.Historical BS'!AD62</f>
        <v>0</v>
      </c>
      <c r="K114" s="599">
        <f>'1.3.Historical BS'!AE62</f>
        <v>0</v>
      </c>
      <c r="L114" s="599">
        <f>'1.3.Historical BS'!AF62</f>
        <v>0</v>
      </c>
      <c r="M114" s="599">
        <f>'1.3.Historical BS'!AG62</f>
        <v>0</v>
      </c>
      <c r="N114" s="545">
        <f>'1.3.Historical BS'!AK62</f>
        <v>0</v>
      </c>
      <c r="O114" s="609" t="e">
        <f t="shared" si="6"/>
        <v>#DIV/0!</v>
      </c>
    </row>
    <row r="115" spans="4:15" ht="12" customHeight="1" x14ac:dyDescent="0.25">
      <c r="D115" s="557" t="s">
        <v>248</v>
      </c>
      <c r="E115" s="511"/>
      <c r="F115" s="511"/>
      <c r="G115" s="511"/>
      <c r="H115" s="511"/>
      <c r="I115" s="511"/>
      <c r="J115" s="599">
        <f>'1.3.Historical BS'!AD63</f>
        <v>0</v>
      </c>
      <c r="K115" s="599">
        <f>'1.3.Historical BS'!AE63</f>
        <v>0</v>
      </c>
      <c r="L115" s="599">
        <f>'1.3.Historical BS'!AF63</f>
        <v>0</v>
      </c>
      <c r="M115" s="599">
        <f>'1.3.Historical BS'!AG63</f>
        <v>0</v>
      </c>
      <c r="N115" s="545">
        <f>'1.3.Historical BS'!AK63</f>
        <v>0</v>
      </c>
      <c r="O115" s="609" t="e">
        <f t="shared" si="6"/>
        <v>#DIV/0!</v>
      </c>
    </row>
    <row r="116" spans="4:15" ht="12" customHeight="1" collapsed="1" x14ac:dyDescent="0.25">
      <c r="D116" s="557" t="s">
        <v>220</v>
      </c>
      <c r="E116" s="511"/>
      <c r="F116" s="511"/>
      <c r="G116" s="511"/>
      <c r="H116" s="511"/>
      <c r="I116" s="511"/>
      <c r="J116" s="599">
        <f>'1.3.Historical BS'!AD64</f>
        <v>0</v>
      </c>
      <c r="K116" s="599">
        <f>'1.3.Historical BS'!AE64</f>
        <v>0</v>
      </c>
      <c r="L116" s="599">
        <f>'1.3.Historical BS'!AF64</f>
        <v>0</v>
      </c>
      <c r="M116" s="599">
        <f>'1.3.Historical BS'!AG64</f>
        <v>0</v>
      </c>
      <c r="N116" s="545">
        <f>'1.3.Historical BS'!AK64</f>
        <v>0</v>
      </c>
      <c r="O116" s="609" t="e">
        <f t="shared" si="6"/>
        <v>#DIV/0!</v>
      </c>
    </row>
    <row r="117" spans="4:15" ht="12" hidden="1" customHeight="1" outlineLevel="1" x14ac:dyDescent="0.25">
      <c r="D117" s="557" t="s">
        <v>221</v>
      </c>
      <c r="E117" s="511"/>
      <c r="F117" s="511"/>
      <c r="G117" s="511"/>
      <c r="H117" s="511"/>
      <c r="I117" s="511"/>
      <c r="J117" s="599">
        <f>'1.3.Historical BS'!AD65</f>
        <v>0</v>
      </c>
      <c r="K117" s="599">
        <f>'1.3.Historical BS'!AE65</f>
        <v>0</v>
      </c>
      <c r="L117" s="599">
        <f>'1.3.Historical BS'!AF65</f>
        <v>0</v>
      </c>
      <c r="M117" s="599">
        <f>'1.3.Historical BS'!AG65</f>
        <v>0</v>
      </c>
      <c r="N117" s="545">
        <f>'1.3.Historical BS'!AK65</f>
        <v>0</v>
      </c>
      <c r="O117" s="609" t="e">
        <f t="shared" si="6"/>
        <v>#DIV/0!</v>
      </c>
    </row>
    <row r="118" spans="4:15" ht="12" customHeight="1" x14ac:dyDescent="0.25">
      <c r="D118" s="557" t="s">
        <v>222</v>
      </c>
      <c r="E118" s="511"/>
      <c r="F118" s="511"/>
      <c r="G118" s="511"/>
      <c r="H118" s="511"/>
      <c r="I118" s="511"/>
      <c r="J118" s="599">
        <f>'1.3.Historical BS'!AD66</f>
        <v>30.829534694237079</v>
      </c>
      <c r="K118" s="599">
        <f>'1.3.Historical BS'!AE66</f>
        <v>56.474021932742446</v>
      </c>
      <c r="L118" s="599">
        <f>'1.3.Historical BS'!AF66</f>
        <v>33.379397071120742</v>
      </c>
      <c r="M118" s="599">
        <f>'1.3.Historical BS'!AG66</f>
        <v>0</v>
      </c>
      <c r="N118" s="545">
        <f>'1.3.Historical BS'!AK66</f>
        <v>4.0532762028548497E-2</v>
      </c>
      <c r="O118" s="609" t="e">
        <f t="shared" si="6"/>
        <v>#DIV/0!</v>
      </c>
    </row>
    <row r="119" spans="4:15" ht="12" customHeight="1" x14ac:dyDescent="0.25">
      <c r="D119" s="557" t="s">
        <v>42</v>
      </c>
      <c r="E119" s="511"/>
      <c r="F119" s="511"/>
      <c r="G119" s="511"/>
      <c r="H119" s="511"/>
      <c r="I119" s="511"/>
      <c r="J119" s="599">
        <f>'1.3.Historical BS'!AD67</f>
        <v>26.747937724339916</v>
      </c>
      <c r="K119" s="599">
        <f>'1.3.Historical BS'!AE67</f>
        <v>44.544511449234925</v>
      </c>
      <c r="L119" s="599">
        <f>'1.3.Historical BS'!AF67</f>
        <v>31.618649627993733</v>
      </c>
      <c r="M119" s="599">
        <f>'1.3.Historical BS'!AG67</f>
        <v>0</v>
      </c>
      <c r="N119" s="545">
        <f>'1.3.Historical BS'!AK67</f>
        <v>8.7242717440807693E-2</v>
      </c>
      <c r="O119" s="609" t="e">
        <f t="shared" si="6"/>
        <v>#DIV/0!</v>
      </c>
    </row>
    <row r="120" spans="4:15" ht="12" customHeight="1" x14ac:dyDescent="0.25">
      <c r="D120" s="536" t="s">
        <v>111</v>
      </c>
      <c r="E120" s="511"/>
      <c r="F120" s="511"/>
      <c r="G120" s="511"/>
      <c r="H120" s="511"/>
      <c r="I120" s="511"/>
      <c r="J120" s="599">
        <f>'1.3.Historical BS'!AD69</f>
        <v>9.5782717843694254</v>
      </c>
      <c r="K120" s="599">
        <f>'1.3.Historical BS'!AE69</f>
        <v>5.2338262119878971</v>
      </c>
      <c r="L120" s="599">
        <f>'1.3.Historical BS'!AF69</f>
        <v>3.2024207208559359</v>
      </c>
      <c r="M120" s="599">
        <f>'1.3.Historical BS'!AG69</f>
        <v>0</v>
      </c>
      <c r="N120" s="545">
        <f>'1.3.Historical BS'!AK69</f>
        <v>-0.42177666324061025</v>
      </c>
      <c r="O120" s="609" t="e">
        <f t="shared" si="6"/>
        <v>#DIV/0!</v>
      </c>
    </row>
    <row r="121" spans="4:15" ht="12" customHeight="1" collapsed="1" x14ac:dyDescent="0.25">
      <c r="D121" s="557" t="s">
        <v>282</v>
      </c>
      <c r="E121" s="511"/>
      <c r="F121" s="511"/>
      <c r="G121" s="511"/>
      <c r="H121" s="511"/>
      <c r="I121" s="511"/>
      <c r="J121" s="599">
        <f>'1.3.Historical BS'!AD70</f>
        <v>9.5782717843694254</v>
      </c>
      <c r="K121" s="599">
        <f>'1.3.Historical BS'!AE70</f>
        <v>5.2338262119878971</v>
      </c>
      <c r="L121" s="599">
        <f>'1.3.Historical BS'!AF70</f>
        <v>3.2024207208559359</v>
      </c>
      <c r="M121" s="599">
        <f>'1.3.Historical BS'!AG70</f>
        <v>0</v>
      </c>
      <c r="N121" s="545">
        <f>'1.3.Historical BS'!AK70</f>
        <v>-0.42177666324061025</v>
      </c>
      <c r="O121" s="609" t="e">
        <f t="shared" si="6"/>
        <v>#DIV/0!</v>
      </c>
    </row>
    <row r="122" spans="4:15" ht="12" hidden="1" customHeight="1" outlineLevel="1" x14ac:dyDescent="0.25">
      <c r="D122" s="536" t="s">
        <v>114</v>
      </c>
      <c r="E122" s="511"/>
      <c r="F122" s="511"/>
      <c r="G122" s="511"/>
      <c r="H122" s="511"/>
      <c r="I122" s="511"/>
      <c r="J122" s="599">
        <f>'1.3.Historical BS'!AD71</f>
        <v>0</v>
      </c>
      <c r="K122" s="599">
        <f>'1.3.Historical BS'!AE71</f>
        <v>0</v>
      </c>
      <c r="L122" s="599">
        <f>'1.3.Historical BS'!AF71</f>
        <v>0</v>
      </c>
      <c r="M122" s="599">
        <f>'1.3.Historical BS'!AG71</f>
        <v>0</v>
      </c>
      <c r="N122" s="545">
        <f>'1.3.Historical BS'!AK71</f>
        <v>0</v>
      </c>
      <c r="O122" s="609" t="e">
        <f t="shared" si="6"/>
        <v>#DIV/0!</v>
      </c>
    </row>
    <row r="123" spans="4:15" ht="12" customHeight="1" x14ac:dyDescent="0.25">
      <c r="D123" s="547" t="s">
        <v>391</v>
      </c>
      <c r="E123" s="526"/>
      <c r="F123" s="526"/>
      <c r="G123" s="526"/>
      <c r="H123" s="526"/>
      <c r="I123" s="526"/>
      <c r="J123" s="600">
        <f>'1.3.Historical BS'!AD72</f>
        <v>2392.3846314769553</v>
      </c>
      <c r="K123" s="600">
        <f>'1.3.Historical BS'!AE72</f>
        <v>4823.597909736678</v>
      </c>
      <c r="L123" s="600">
        <f>'1.3.Historical BS'!AF72</f>
        <v>3661.3908810223206</v>
      </c>
      <c r="M123" s="600">
        <f>'1.3.Historical BS'!AG72</f>
        <v>0</v>
      </c>
      <c r="N123" s="546">
        <f>'1.3.Historical BS'!AK72</f>
        <v>0.23710780198939929</v>
      </c>
      <c r="O123" s="609" t="e">
        <f t="shared" si="6"/>
        <v>#DIV/0!</v>
      </c>
    </row>
    <row r="124" spans="4:15" ht="12" customHeight="1" collapsed="1" x14ac:dyDescent="0.25">
      <c r="D124" s="536" t="s">
        <v>67</v>
      </c>
      <c r="E124" s="511"/>
      <c r="F124" s="511"/>
      <c r="G124" s="511"/>
      <c r="H124" s="511"/>
      <c r="I124" s="511"/>
      <c r="J124" s="599">
        <f>'1.3.Historical BS'!AD73</f>
        <v>0</v>
      </c>
      <c r="K124" s="599">
        <f>'1.3.Historical BS'!AE73</f>
        <v>0</v>
      </c>
      <c r="L124" s="599">
        <f>'1.3.Historical BS'!AF73</f>
        <v>0</v>
      </c>
      <c r="M124" s="599">
        <f>'1.3.Historical BS'!AG73</f>
        <v>0</v>
      </c>
      <c r="N124" s="545">
        <f>'1.3.Historical BS'!AK73</f>
        <v>0</v>
      </c>
    </row>
    <row r="125" spans="4:15" ht="12" hidden="1" customHeight="1" outlineLevel="1" x14ac:dyDescent="0.25">
      <c r="D125" s="536" t="s">
        <v>231</v>
      </c>
      <c r="E125" s="511"/>
      <c r="F125" s="511"/>
      <c r="G125" s="511"/>
      <c r="H125" s="511"/>
      <c r="I125" s="511"/>
      <c r="J125" s="599">
        <f>'1.3.Historical BS'!AD74</f>
        <v>0</v>
      </c>
      <c r="K125" s="599">
        <f>'1.3.Historical BS'!AE74</f>
        <v>0</v>
      </c>
      <c r="L125" s="599">
        <f>'1.3.Historical BS'!AF74</f>
        <v>0</v>
      </c>
      <c r="M125" s="599">
        <f>'1.3.Historical BS'!AG74</f>
        <v>0</v>
      </c>
      <c r="N125" s="545">
        <f>'1.3.Historical BS'!AK74</f>
        <v>0</v>
      </c>
    </row>
    <row r="126" spans="4:15" ht="12" hidden="1" customHeight="1" outlineLevel="1" x14ac:dyDescent="0.25">
      <c r="D126" s="536" t="s">
        <v>156</v>
      </c>
      <c r="E126" s="511"/>
      <c r="F126" s="511"/>
      <c r="G126" s="511"/>
      <c r="H126" s="511"/>
      <c r="I126" s="511"/>
      <c r="J126" s="599">
        <f>'1.3.Historical BS'!AD75</f>
        <v>58.589125982691414</v>
      </c>
      <c r="K126" s="599">
        <f>'1.3.Historical BS'!AE75</f>
        <v>20.923834152413249</v>
      </c>
      <c r="L126" s="599">
        <f>'1.3.Historical BS'!AF75</f>
        <v>18.216014494307338</v>
      </c>
      <c r="M126" s="599">
        <f>'1.3.Historical BS'!AG75</f>
        <v>0</v>
      </c>
      <c r="N126" s="545">
        <f>'1.3.Historical BS'!AK75</f>
        <v>-0.44240589725929247</v>
      </c>
    </row>
    <row r="127" spans="4:15" ht="12" hidden="1" customHeight="1" outlineLevel="1" x14ac:dyDescent="0.25">
      <c r="D127" s="536" t="s">
        <v>119</v>
      </c>
      <c r="E127" s="511"/>
      <c r="F127" s="511"/>
      <c r="G127" s="511"/>
      <c r="H127" s="511"/>
      <c r="I127" s="511"/>
      <c r="J127" s="599">
        <f>'1.3.Historical BS'!AD76</f>
        <v>0</v>
      </c>
      <c r="K127" s="599">
        <f>'1.3.Historical BS'!AE76</f>
        <v>0</v>
      </c>
      <c r="L127" s="599">
        <f>'1.3.Historical BS'!AF76</f>
        <v>0</v>
      </c>
      <c r="M127" s="599">
        <f>'1.3.Historical BS'!AG76</f>
        <v>0</v>
      </c>
      <c r="N127" s="545">
        <f>'1.3.Historical BS'!AK76</f>
        <v>0</v>
      </c>
    </row>
    <row r="128" spans="4:15" ht="12" hidden="1" customHeight="1" outlineLevel="1" x14ac:dyDescent="0.25">
      <c r="D128" s="536" t="s">
        <v>111</v>
      </c>
      <c r="E128" s="511"/>
      <c r="F128" s="511"/>
      <c r="G128" s="511"/>
      <c r="H128" s="511"/>
      <c r="I128" s="511"/>
      <c r="J128" s="599">
        <f>'1.3.Historical BS'!AD77</f>
        <v>0</v>
      </c>
      <c r="K128" s="599">
        <f>'1.3.Historical BS'!AE77</f>
        <v>0</v>
      </c>
      <c r="L128" s="599">
        <f>'1.3.Historical BS'!AF77</f>
        <v>0</v>
      </c>
      <c r="M128" s="599">
        <f>'1.3.Historical BS'!AG77</f>
        <v>0</v>
      </c>
      <c r="N128" s="545">
        <f>'1.3.Historical BS'!AK77</f>
        <v>0</v>
      </c>
    </row>
    <row r="129" spans="1:18" ht="12" hidden="1" customHeight="1" outlineLevel="1" x14ac:dyDescent="0.25">
      <c r="D129" s="536" t="s">
        <v>66</v>
      </c>
      <c r="E129" s="511"/>
      <c r="F129" s="511"/>
      <c r="G129" s="511"/>
      <c r="H129" s="511"/>
      <c r="I129" s="511"/>
      <c r="J129" s="599">
        <f>'1.3.Historical BS'!AD78</f>
        <v>0</v>
      </c>
      <c r="K129" s="599">
        <f>'1.3.Historical BS'!AE78</f>
        <v>0</v>
      </c>
      <c r="L129" s="599">
        <f>'1.3.Historical BS'!AF78</f>
        <v>0</v>
      </c>
      <c r="M129" s="599">
        <f>'1.3.Historical BS'!AG78</f>
        <v>0</v>
      </c>
      <c r="N129" s="545">
        <f>'1.3.Historical BS'!AK78</f>
        <v>0</v>
      </c>
    </row>
    <row r="130" spans="1:18" ht="12" hidden="1" customHeight="1" outlineLevel="1" x14ac:dyDescent="0.25">
      <c r="D130" s="536" t="s">
        <v>392</v>
      </c>
      <c r="E130" s="511"/>
      <c r="F130" s="511"/>
      <c r="G130" s="511"/>
      <c r="H130" s="511"/>
      <c r="I130" s="511"/>
      <c r="J130" s="599">
        <f>'1.3.Historical BS'!AD79</f>
        <v>58.589125982691414</v>
      </c>
      <c r="K130" s="599">
        <f>'1.3.Historical BS'!AE79</f>
        <v>20.923834152413249</v>
      </c>
      <c r="L130" s="599">
        <f>'1.3.Historical BS'!AF79</f>
        <v>18.216014494307338</v>
      </c>
      <c r="M130" s="599">
        <f>'1.3.Historical BS'!AG79</f>
        <v>0</v>
      </c>
      <c r="N130" s="545">
        <f>'1.3.Historical BS'!AK79</f>
        <v>-0.44240589725929247</v>
      </c>
    </row>
    <row r="131" spans="1:18" ht="12" customHeight="1" x14ac:dyDescent="0.25">
      <c r="D131" s="548" t="s">
        <v>65</v>
      </c>
      <c r="E131" s="549"/>
      <c r="F131" s="549"/>
      <c r="G131" s="549"/>
      <c r="H131" s="549"/>
      <c r="I131" s="549"/>
      <c r="J131" s="601">
        <f>'1.3.Historical BS'!AD80</f>
        <v>2450.9737574596465</v>
      </c>
      <c r="K131" s="601">
        <f>'1.3.Historical BS'!AE80</f>
        <v>4844.5217438890913</v>
      </c>
      <c r="L131" s="601">
        <f>'1.3.Historical BS'!AF80</f>
        <v>3679.6068955166279</v>
      </c>
      <c r="M131" s="601">
        <f>'1.3.Historical BS'!AG80</f>
        <v>0</v>
      </c>
      <c r="N131" s="551">
        <f>'1.3.Historical BS'!AK80</f>
        <v>0.22526881837429413</v>
      </c>
    </row>
    <row r="132" spans="1:18" ht="12" customHeight="1" thickBot="1" x14ac:dyDescent="0.3">
      <c r="D132" s="552" t="s">
        <v>64</v>
      </c>
      <c r="E132" s="553"/>
      <c r="F132" s="553"/>
      <c r="G132" s="553"/>
      <c r="H132" s="553"/>
      <c r="I132" s="553"/>
      <c r="J132" s="602">
        <f>'1.3.Historical BS'!AD81</f>
        <v>3606.5474620686618</v>
      </c>
      <c r="K132" s="602">
        <f>'1.3.Historical BS'!AE81</f>
        <v>5684.3612528703561</v>
      </c>
      <c r="L132" s="602">
        <f>'1.3.Historical BS'!AF81</f>
        <v>4846.2121057484082</v>
      </c>
      <c r="M132" s="602">
        <f>'1.3.Historical BS'!AG81</f>
        <v>0</v>
      </c>
      <c r="N132" s="555">
        <f>'1.3.Historical BS'!AK81</f>
        <v>0.15919202102699415</v>
      </c>
    </row>
    <row r="136" spans="1:18" ht="19.5" customHeight="1" x14ac:dyDescent="0.25">
      <c r="D136" s="515" t="s">
        <v>403</v>
      </c>
      <c r="E136" s="513"/>
      <c r="F136" s="513"/>
      <c r="G136" s="513"/>
      <c r="H136" s="513"/>
      <c r="I136" s="513"/>
      <c r="J136" s="514"/>
      <c r="K136" s="514"/>
      <c r="L136" s="514"/>
      <c r="M136" s="514"/>
      <c r="N136" s="516"/>
    </row>
    <row r="137" spans="1:18" ht="20.399999999999999" x14ac:dyDescent="0.2">
      <c r="B137" s="25"/>
      <c r="C137" s="39"/>
      <c r="D137" s="517" t="s">
        <v>385</v>
      </c>
      <c r="E137" s="518"/>
      <c r="F137" s="518"/>
      <c r="G137" s="518"/>
      <c r="H137" s="518"/>
      <c r="I137" s="518"/>
      <c r="J137" s="519" t="s">
        <v>404</v>
      </c>
      <c r="K137" s="519" t="s">
        <v>405</v>
      </c>
      <c r="L137" s="519" t="s">
        <v>406</v>
      </c>
      <c r="M137" s="519" t="s">
        <v>407</v>
      </c>
      <c r="N137" s="535" t="s">
        <v>408</v>
      </c>
      <c r="O137" s="225"/>
      <c r="P137" s="225"/>
      <c r="Q137" s="225"/>
    </row>
    <row r="138" spans="1:18" s="6" customFormat="1" ht="12" customHeight="1" x14ac:dyDescent="0.25">
      <c r="A138" s="9"/>
      <c r="B138" s="25"/>
      <c r="C138" s="33"/>
      <c r="D138" s="520" t="s">
        <v>241</v>
      </c>
      <c r="E138" s="511"/>
      <c r="F138" s="511"/>
      <c r="G138" s="511"/>
      <c r="H138" s="511"/>
      <c r="I138" s="511"/>
      <c r="J138" s="589">
        <f>'3.1. Income Statement'!M9</f>
        <v>11882.795996257355</v>
      </c>
      <c r="K138" s="589">
        <f>'3.1. Income Statement'!N9</f>
        <v>12476.935796070224</v>
      </c>
      <c r="L138" s="589">
        <f>'3.1. Income Statement'!O9</f>
        <v>13100.782585873734</v>
      </c>
      <c r="M138" s="589">
        <f>'3.1. Income Statement'!P9</f>
        <v>13755.821715167422</v>
      </c>
      <c r="N138" s="531">
        <f>IF(ISERROR((($M138/$J138)^(1/($M$3-$J$3))-1)),0,(($M138/$J138)^(1/($M$3-$J$3))-1))</f>
        <v>5.0000000000000044E-2</v>
      </c>
      <c r="O138" s="220">
        <f t="shared" ref="O138:O183" si="7">IF(ISERROR($M138/$L138-1),0,$M138/$L138-1)</f>
        <v>5.0000000000000044E-2</v>
      </c>
      <c r="P138" s="220"/>
      <c r="Q138" s="220"/>
      <c r="R138" s="10" t="s">
        <v>240</v>
      </c>
    </row>
    <row r="139" spans="1:18" s="6" customFormat="1" ht="12" customHeight="1" x14ac:dyDescent="0.25">
      <c r="A139" s="9"/>
      <c r="B139" s="25"/>
      <c r="C139" s="33"/>
      <c r="D139" s="522" t="s">
        <v>283</v>
      </c>
      <c r="E139" s="511"/>
      <c r="F139" s="511"/>
      <c r="G139" s="511"/>
      <c r="H139" s="511"/>
      <c r="I139" s="511"/>
      <c r="J139" s="589">
        <f>'3.1. Income Statement'!M10</f>
        <v>9801.1922500000001</v>
      </c>
      <c r="K139" s="589">
        <f>'3.1. Income Statement'!N10</f>
        <v>10291.251862500001</v>
      </c>
      <c r="L139" s="589">
        <f>'3.1. Income Statement'!O10</f>
        <v>10805.814455625001</v>
      </c>
      <c r="M139" s="589">
        <f>'3.1. Income Statement'!P10</f>
        <v>11346.105178406251</v>
      </c>
      <c r="N139" s="531">
        <f t="shared" ref="N139:N183" si="8">IF(ISERROR((($M139/$J139)^(1/($M$3-$J$3))-1)),0,(($M139/$J139)^(1/($M$3-$J$3))-1))</f>
        <v>5.0000000000000044E-2</v>
      </c>
      <c r="O139" s="220">
        <f t="shared" si="7"/>
        <v>5.0000000000000044E-2</v>
      </c>
      <c r="P139" s="220"/>
      <c r="Q139" s="220"/>
      <c r="R139" s="10" t="s">
        <v>240</v>
      </c>
    </row>
    <row r="140" spans="1:18" s="13" customFormat="1" ht="12" customHeight="1" x14ac:dyDescent="0.25">
      <c r="A140" s="11"/>
      <c r="B140" s="72"/>
      <c r="C140" s="38"/>
      <c r="D140" s="522" t="s">
        <v>284</v>
      </c>
      <c r="E140" s="511"/>
      <c r="F140" s="511"/>
      <c r="G140" s="511"/>
      <c r="H140" s="511"/>
      <c r="I140" s="511"/>
      <c r="J140" s="589">
        <f>'3.1. Income Statement'!M11</f>
        <v>651.69321828360307</v>
      </c>
      <c r="K140" s="589">
        <f>'3.1. Income Statement'!N11</f>
        <v>684.27787919778325</v>
      </c>
      <c r="L140" s="589">
        <f>'3.1. Income Statement'!O11</f>
        <v>718.49177315767247</v>
      </c>
      <c r="M140" s="589">
        <f>'3.1. Income Statement'!P11</f>
        <v>754.41636181555612</v>
      </c>
      <c r="N140" s="531">
        <f t="shared" si="8"/>
        <v>5.0000000000000044E-2</v>
      </c>
      <c r="O140" s="220">
        <f t="shared" si="7"/>
        <v>5.0000000000000044E-2</v>
      </c>
      <c r="P140" s="220"/>
      <c r="Q140" s="220"/>
      <c r="R140" s="10" t="s">
        <v>240</v>
      </c>
    </row>
    <row r="141" spans="1:18" s="13" customFormat="1" ht="12" customHeight="1" x14ac:dyDescent="0.25">
      <c r="A141" s="11"/>
      <c r="B141" s="72"/>
      <c r="C141" s="38"/>
      <c r="D141" s="522" t="s">
        <v>229</v>
      </c>
      <c r="E141" s="511"/>
      <c r="F141" s="511"/>
      <c r="G141" s="511"/>
      <c r="H141" s="511"/>
      <c r="I141" s="511"/>
      <c r="J141" s="589">
        <f>'3.1. Income Statement'!M12</f>
        <v>1429.9105279737514</v>
      </c>
      <c r="K141" s="589">
        <f>'3.1. Income Statement'!N12</f>
        <v>1501.406054372439</v>
      </c>
      <c r="L141" s="589">
        <f>'3.1. Income Statement'!O12</f>
        <v>1576.4763570910611</v>
      </c>
      <c r="M141" s="589">
        <f>'3.1. Income Statement'!P12</f>
        <v>1655.3001749456143</v>
      </c>
      <c r="N141" s="531">
        <f t="shared" si="8"/>
        <v>5.0000000000000044E-2</v>
      </c>
      <c r="O141" s="220">
        <f t="shared" si="7"/>
        <v>5.0000000000000044E-2</v>
      </c>
      <c r="P141" s="220"/>
      <c r="Q141" s="220"/>
      <c r="R141" s="10" t="s">
        <v>240</v>
      </c>
    </row>
    <row r="142" spans="1:18" s="13" customFormat="1" ht="13.2" x14ac:dyDescent="0.25">
      <c r="A142" s="11"/>
      <c r="B142" s="72"/>
      <c r="C142" s="38"/>
      <c r="D142" s="520" t="s">
        <v>285</v>
      </c>
      <c r="E142" s="511"/>
      <c r="F142" s="511"/>
      <c r="G142" s="511"/>
      <c r="H142" s="511"/>
      <c r="I142" s="511"/>
      <c r="J142" s="589">
        <f>'3.1. Income Statement'!M14</f>
        <v>0</v>
      </c>
      <c r="K142" s="589">
        <f>'3.1. Income Statement'!N14</f>
        <v>0</v>
      </c>
      <c r="L142" s="589">
        <f>'3.1. Income Statement'!O14</f>
        <v>0</v>
      </c>
      <c r="M142" s="589">
        <f>'3.1. Income Statement'!P14</f>
        <v>0</v>
      </c>
      <c r="N142" s="531">
        <f t="shared" si="8"/>
        <v>0</v>
      </c>
      <c r="O142" s="220">
        <f t="shared" si="7"/>
        <v>0</v>
      </c>
      <c r="P142" s="220"/>
      <c r="Q142" s="220"/>
      <c r="R142" s="10" t="s">
        <v>240</v>
      </c>
    </row>
    <row r="143" spans="1:18" s="6" customFormat="1" ht="12" customHeight="1" x14ac:dyDescent="0.25">
      <c r="A143" s="9"/>
      <c r="B143" s="25"/>
      <c r="C143" s="33"/>
      <c r="D143" s="520" t="s">
        <v>379</v>
      </c>
      <c r="E143" s="511"/>
      <c r="F143" s="511"/>
      <c r="G143" s="511"/>
      <c r="H143" s="511"/>
      <c r="I143" s="511"/>
      <c r="J143" s="589">
        <f>'3.1. Income Statement'!M15</f>
        <v>89.074478261541927</v>
      </c>
      <c r="K143" s="589">
        <f ca="1">'3.1. Income Statement'!N15</f>
        <v>90.165660417720304</v>
      </c>
      <c r="L143" s="589">
        <f ca="1">'3.1. Income Statement'!O15</f>
        <v>94.673943438606315</v>
      </c>
      <c r="M143" s="589">
        <f ca="1">'3.1. Income Statement'!P15</f>
        <v>99.407640610536632</v>
      </c>
      <c r="N143" s="531">
        <f t="shared" ca="1" si="8"/>
        <v>3.7262856151809354E-2</v>
      </c>
      <c r="O143" s="220">
        <f t="shared" ca="1" si="7"/>
        <v>5.0000000000000044E-2</v>
      </c>
      <c r="P143" s="220"/>
      <c r="Q143" s="220"/>
      <c r="R143" s="10" t="s">
        <v>240</v>
      </c>
    </row>
    <row r="144" spans="1:18" s="6" customFormat="1" ht="20.399999999999999" x14ac:dyDescent="0.25">
      <c r="A144" s="9"/>
      <c r="B144" s="25"/>
      <c r="C144" s="33"/>
      <c r="D144" s="522" t="s">
        <v>295</v>
      </c>
      <c r="E144" s="511"/>
      <c r="F144" s="511"/>
      <c r="G144" s="511"/>
      <c r="H144" s="511"/>
      <c r="I144" s="511"/>
      <c r="J144" s="590">
        <f>'3.1. Income Statement'!M16</f>
        <v>3.2024207208559359</v>
      </c>
      <c r="K144" s="590">
        <f ca="1">'3.1. Income Statement'!N16</f>
        <v>0</v>
      </c>
      <c r="L144" s="590">
        <f ca="1">'3.1. Income Statement'!O16</f>
        <v>0</v>
      </c>
      <c r="M144" s="590">
        <f ca="1">'3.1. Income Statement'!P16</f>
        <v>0</v>
      </c>
      <c r="N144" s="558">
        <f t="shared" ca="1" si="8"/>
        <v>-1</v>
      </c>
      <c r="O144" s="220">
        <f t="shared" ca="1" si="7"/>
        <v>0</v>
      </c>
      <c r="P144" s="220"/>
      <c r="Q144" s="220"/>
      <c r="R144" s="10" t="s">
        <v>240</v>
      </c>
    </row>
    <row r="145" spans="1:18" ht="12" customHeight="1" x14ac:dyDescent="0.25">
      <c r="B145" s="25"/>
      <c r="C145" s="39"/>
      <c r="D145" s="525" t="s">
        <v>61</v>
      </c>
      <c r="E145" s="526"/>
      <c r="F145" s="526"/>
      <c r="G145" s="526"/>
      <c r="H145" s="526"/>
      <c r="I145" s="526"/>
      <c r="J145" s="591">
        <f>'3.1. Income Statement'!M17</f>
        <v>11971.870474518897</v>
      </c>
      <c r="K145" s="591">
        <f ca="1">'3.1. Income Statement'!N17</f>
        <v>12567.101456487944</v>
      </c>
      <c r="L145" s="591">
        <f ca="1">'3.1. Income Statement'!O17</f>
        <v>13195.45652931234</v>
      </c>
      <c r="M145" s="591">
        <f ca="1">'3.1. Income Statement'!P17</f>
        <v>13855.229355777958</v>
      </c>
      <c r="N145" s="533">
        <f t="shared" ca="1" si="8"/>
        <v>4.9906368247965238E-2</v>
      </c>
      <c r="O145" s="220">
        <f t="shared" ca="1" si="7"/>
        <v>5.0000000000000044E-2</v>
      </c>
      <c r="P145" s="220"/>
      <c r="Q145" s="220"/>
    </row>
    <row r="146" spans="1:18" ht="2.4" customHeight="1" x14ac:dyDescent="0.25">
      <c r="B146" s="25"/>
      <c r="D146" s="520"/>
      <c r="E146" s="511"/>
      <c r="F146" s="511"/>
      <c r="G146" s="511"/>
      <c r="H146" s="511"/>
      <c r="I146" s="511"/>
      <c r="J146" s="591"/>
      <c r="K146" s="591"/>
      <c r="L146" s="591"/>
      <c r="M146" s="591"/>
      <c r="N146" s="533"/>
      <c r="O146" s="220">
        <f t="shared" si="7"/>
        <v>0</v>
      </c>
      <c r="P146" s="225"/>
      <c r="Q146" s="225"/>
    </row>
    <row r="147" spans="1:18" ht="12" customHeight="1" x14ac:dyDescent="0.25">
      <c r="B147" s="25"/>
      <c r="C147" s="39"/>
      <c r="D147" s="523" t="s">
        <v>144</v>
      </c>
      <c r="E147" s="524"/>
      <c r="F147" s="524"/>
      <c r="G147" s="524"/>
      <c r="H147" s="524"/>
      <c r="I147" s="524"/>
      <c r="J147" s="591">
        <f>'3.1. Income Statement'!M19</f>
        <v>249.53682413476119</v>
      </c>
      <c r="K147" s="591">
        <f>'3.1. Income Statement'!N19</f>
        <v>280.08357329608538</v>
      </c>
      <c r="L147" s="591">
        <f>'3.1. Income Statement'!O19</f>
        <v>294.0877519608897</v>
      </c>
      <c r="M147" s="591">
        <f>'3.1. Income Statement'!P19</f>
        <v>308.7921395589342</v>
      </c>
      <c r="N147" s="533">
        <f t="shared" si="8"/>
        <v>7.3603365849039593E-2</v>
      </c>
      <c r="O147" s="527">
        <f t="shared" si="7"/>
        <v>5.0000000000000044E-2</v>
      </c>
      <c r="P147" s="220" t="e">
        <f>M147/$M$34</f>
        <v>#DIV/0!</v>
      </c>
      <c r="Q147" s="220"/>
      <c r="R147" s="10" t="s">
        <v>240</v>
      </c>
    </row>
    <row r="148" spans="1:18" s="13" customFormat="1" ht="12" customHeight="1" x14ac:dyDescent="0.25">
      <c r="A148" s="11"/>
      <c r="B148" s="72"/>
      <c r="C148" s="76"/>
      <c r="D148" s="522" t="s">
        <v>103</v>
      </c>
      <c r="E148" s="511"/>
      <c r="F148" s="511"/>
      <c r="G148" s="511"/>
      <c r="H148" s="511"/>
      <c r="I148" s="511"/>
      <c r="J148" s="589">
        <f>'3.1. Income Statement'!M20</f>
        <v>232.88030912614562</v>
      </c>
      <c r="K148" s="589">
        <f>'3.1. Income Statement'!N20</f>
        <v>261.38807110538067</v>
      </c>
      <c r="L148" s="589">
        <f>'3.1. Income Statement'!O20</f>
        <v>274.45747466064972</v>
      </c>
      <c r="M148" s="589">
        <f>'3.1. Income Statement'!P20</f>
        <v>288.18034839368227</v>
      </c>
      <c r="N148" s="531">
        <f t="shared" si="8"/>
        <v>7.3603365849039593E-2</v>
      </c>
      <c r="O148" s="220">
        <f t="shared" si="7"/>
        <v>5.0000000000000266E-2</v>
      </c>
      <c r="P148" s="220" t="e">
        <f t="shared" ref="P148:P162" si="9">M148/$M$34</f>
        <v>#DIV/0!</v>
      </c>
      <c r="Q148" s="220"/>
      <c r="R148" s="10" t="s">
        <v>240</v>
      </c>
    </row>
    <row r="149" spans="1:18" s="13" customFormat="1" ht="12" customHeight="1" x14ac:dyDescent="0.25">
      <c r="A149" s="11"/>
      <c r="B149" s="72"/>
      <c r="C149" s="76"/>
      <c r="D149" s="522" t="s">
        <v>104</v>
      </c>
      <c r="E149" s="511"/>
      <c r="F149" s="511"/>
      <c r="G149" s="511"/>
      <c r="H149" s="511"/>
      <c r="I149" s="511"/>
      <c r="J149" s="589">
        <f>'3.1. Income Statement'!M21</f>
        <v>11.416436851593186</v>
      </c>
      <c r="K149" s="589">
        <f>'3.1. Income Statement'!N21</f>
        <v>12.813966190322697</v>
      </c>
      <c r="L149" s="589">
        <f>'3.1. Income Statement'!O21</f>
        <v>13.454664499838833</v>
      </c>
      <c r="M149" s="589">
        <f>'3.1. Income Statement'!P21</f>
        <v>14.127397724830777</v>
      </c>
      <c r="N149" s="531">
        <f t="shared" si="8"/>
        <v>7.3603365849039593E-2</v>
      </c>
      <c r="O149" s="220">
        <f t="shared" si="7"/>
        <v>5.0000000000000266E-2</v>
      </c>
      <c r="P149" s="220" t="e">
        <f t="shared" si="9"/>
        <v>#DIV/0!</v>
      </c>
      <c r="Q149" s="220"/>
      <c r="R149" s="10" t="s">
        <v>240</v>
      </c>
    </row>
    <row r="150" spans="1:18" s="13" customFormat="1" ht="12" customHeight="1" x14ac:dyDescent="0.25">
      <c r="A150" s="11"/>
      <c r="B150" s="72"/>
      <c r="C150" s="76"/>
      <c r="D150" s="522" t="s">
        <v>145</v>
      </c>
      <c r="E150" s="511"/>
      <c r="F150" s="511"/>
      <c r="G150" s="511"/>
      <c r="H150" s="511"/>
      <c r="I150" s="511"/>
      <c r="J150" s="589">
        <f>'3.1. Income Statement'!M22</f>
        <v>5.240078157022392</v>
      </c>
      <c r="K150" s="589">
        <f>'3.1. Income Statement'!N22</f>
        <v>5.8815360003820301</v>
      </c>
      <c r="L150" s="589">
        <f>'3.1. Income Statement'!O22</f>
        <v>6.1756128004011313</v>
      </c>
      <c r="M150" s="589">
        <f>'3.1. Income Statement'!P22</f>
        <v>6.4843934404211891</v>
      </c>
      <c r="N150" s="531">
        <f t="shared" si="8"/>
        <v>7.3603365849039593E-2</v>
      </c>
      <c r="O150" s="220">
        <f t="shared" si="7"/>
        <v>5.0000000000000266E-2</v>
      </c>
      <c r="P150" s="220" t="e">
        <f t="shared" si="9"/>
        <v>#DIV/0!</v>
      </c>
      <c r="Q150" s="220"/>
      <c r="R150" s="10" t="s">
        <v>240</v>
      </c>
    </row>
    <row r="151" spans="1:18" s="6" customFormat="1" ht="12" customHeight="1" x14ac:dyDescent="0.25">
      <c r="A151" s="9"/>
      <c r="B151" s="25"/>
      <c r="C151" s="33"/>
      <c r="D151" s="523" t="s">
        <v>40</v>
      </c>
      <c r="E151" s="524"/>
      <c r="F151" s="524"/>
      <c r="G151" s="524"/>
      <c r="H151" s="524"/>
      <c r="I151" s="524"/>
      <c r="J151" s="591">
        <f>'3.1. Income Statement'!M23</f>
        <v>10923.445812244656</v>
      </c>
      <c r="K151" s="591">
        <f>'3.1. Income Statement'!N23</f>
        <v>11469.61810285689</v>
      </c>
      <c r="L151" s="591">
        <f>'3.1. Income Statement'!O23</f>
        <v>12043.099007999732</v>
      </c>
      <c r="M151" s="591">
        <f>'3.1. Income Statement'!P23</f>
        <v>12645.25395839972</v>
      </c>
      <c r="N151" s="533">
        <f t="shared" si="8"/>
        <v>5.0000000000000044E-2</v>
      </c>
      <c r="O151" s="220">
        <f t="shared" si="7"/>
        <v>5.0000000000000266E-2</v>
      </c>
      <c r="P151" s="220" t="e">
        <f t="shared" si="9"/>
        <v>#DIV/0!</v>
      </c>
      <c r="Q151" s="220"/>
      <c r="R151" s="10" t="s">
        <v>240</v>
      </c>
    </row>
    <row r="152" spans="1:18" s="13" customFormat="1" ht="12" customHeight="1" x14ac:dyDescent="0.25">
      <c r="A152" s="11"/>
      <c r="B152" s="72"/>
      <c r="C152" s="76"/>
      <c r="D152" s="522" t="s">
        <v>216</v>
      </c>
      <c r="E152" s="511"/>
      <c r="F152" s="511"/>
      <c r="G152" s="511"/>
      <c r="H152" s="511"/>
      <c r="I152" s="511"/>
      <c r="J152" s="589">
        <f>'3.1. Income Statement'!M24</f>
        <v>6908.7134053006184</v>
      </c>
      <c r="K152" s="589">
        <f>'3.1. Income Statement'!N24</f>
        <v>7254.1490755656496</v>
      </c>
      <c r="L152" s="589">
        <f>'3.1. Income Statement'!O24</f>
        <v>7616.8565293439315</v>
      </c>
      <c r="M152" s="589">
        <f>'3.1. Income Statement'!P24</f>
        <v>7997.699355811128</v>
      </c>
      <c r="N152" s="531">
        <f t="shared" si="8"/>
        <v>5.0000000000000044E-2</v>
      </c>
      <c r="O152" s="220">
        <f t="shared" si="7"/>
        <v>5.0000000000000044E-2</v>
      </c>
      <c r="P152" s="220" t="e">
        <f t="shared" si="9"/>
        <v>#DIV/0!</v>
      </c>
      <c r="Q152" s="220"/>
      <c r="R152" s="10" t="s">
        <v>240</v>
      </c>
    </row>
    <row r="153" spans="1:18" s="13" customFormat="1" ht="12" customHeight="1" x14ac:dyDescent="0.25">
      <c r="A153" s="11"/>
      <c r="B153" s="72"/>
      <c r="C153" s="76"/>
      <c r="D153" s="522" t="s">
        <v>147</v>
      </c>
      <c r="E153" s="511"/>
      <c r="F153" s="511"/>
      <c r="G153" s="511"/>
      <c r="H153" s="511"/>
      <c r="I153" s="511"/>
      <c r="J153" s="589">
        <f>'3.1. Income Statement'!M25</f>
        <v>186.32005414109614</v>
      </c>
      <c r="K153" s="589">
        <f>'3.1. Income Statement'!N25</f>
        <v>195.63605684815096</v>
      </c>
      <c r="L153" s="589">
        <f>'3.1. Income Statement'!O25</f>
        <v>205.41785969055849</v>
      </c>
      <c r="M153" s="589">
        <f>'3.1. Income Statement'!P25</f>
        <v>215.68875267508642</v>
      </c>
      <c r="N153" s="531">
        <f t="shared" si="8"/>
        <v>5.0000000000000044E-2</v>
      </c>
      <c r="O153" s="220">
        <f t="shared" si="7"/>
        <v>5.0000000000000044E-2</v>
      </c>
      <c r="P153" s="220" t="e">
        <f t="shared" si="9"/>
        <v>#DIV/0!</v>
      </c>
      <c r="Q153" s="220"/>
      <c r="R153" s="10" t="s">
        <v>240</v>
      </c>
    </row>
    <row r="154" spans="1:18" s="13" customFormat="1" ht="12" customHeight="1" x14ac:dyDescent="0.25">
      <c r="A154" s="11"/>
      <c r="B154" s="72"/>
      <c r="C154" s="76"/>
      <c r="D154" s="522" t="s">
        <v>218</v>
      </c>
      <c r="E154" s="511"/>
      <c r="F154" s="511"/>
      <c r="G154" s="511"/>
      <c r="H154" s="511"/>
      <c r="I154" s="511"/>
      <c r="J154" s="589">
        <f>'3.1. Income Statement'!M26</f>
        <v>1299.9907665331348</v>
      </c>
      <c r="K154" s="589">
        <f>'3.1. Income Statement'!N26</f>
        <v>1364.9903048597916</v>
      </c>
      <c r="L154" s="589">
        <f>'3.1. Income Statement'!O26</f>
        <v>1433.2398201027811</v>
      </c>
      <c r="M154" s="589">
        <f>'3.1. Income Statement'!P26</f>
        <v>1504.9018111079201</v>
      </c>
      <c r="N154" s="531">
        <f t="shared" si="8"/>
        <v>5.0000000000000044E-2</v>
      </c>
      <c r="O154" s="220">
        <f t="shared" si="7"/>
        <v>5.0000000000000044E-2</v>
      </c>
      <c r="P154" s="220" t="e">
        <f t="shared" si="9"/>
        <v>#DIV/0!</v>
      </c>
      <c r="Q154" s="220"/>
      <c r="R154" s="10" t="s">
        <v>240</v>
      </c>
    </row>
    <row r="155" spans="1:18" s="13" customFormat="1" ht="12" customHeight="1" x14ac:dyDescent="0.25">
      <c r="A155" s="11"/>
      <c r="B155" s="72"/>
      <c r="C155" s="76"/>
      <c r="D155" s="522" t="s">
        <v>233</v>
      </c>
      <c r="E155" s="511"/>
      <c r="F155" s="511"/>
      <c r="G155" s="511"/>
      <c r="H155" s="511"/>
      <c r="I155" s="511"/>
      <c r="J155" s="589">
        <f>'3.1. Income Statement'!M28</f>
        <v>0</v>
      </c>
      <c r="K155" s="589">
        <f>'3.1. Income Statement'!N28</f>
        <v>0</v>
      </c>
      <c r="L155" s="589">
        <f>'3.1. Income Statement'!O28</f>
        <v>0</v>
      </c>
      <c r="M155" s="589">
        <f>'3.1. Income Statement'!P28</f>
        <v>0</v>
      </c>
      <c r="N155" s="531">
        <f t="shared" si="8"/>
        <v>0</v>
      </c>
      <c r="O155" s="220">
        <f t="shared" si="7"/>
        <v>0</v>
      </c>
      <c r="P155" s="220" t="e">
        <f t="shared" si="9"/>
        <v>#DIV/0!</v>
      </c>
      <c r="Q155" s="220"/>
      <c r="R155" s="10" t="s">
        <v>240</v>
      </c>
    </row>
    <row r="156" spans="1:18" s="13" customFormat="1" ht="12" customHeight="1" x14ac:dyDescent="0.25">
      <c r="A156" s="11"/>
      <c r="B156" s="72"/>
      <c r="C156" s="76"/>
      <c r="D156" s="522" t="s">
        <v>234</v>
      </c>
      <c r="E156" s="511"/>
      <c r="F156" s="511"/>
      <c r="G156" s="511"/>
      <c r="H156" s="511"/>
      <c r="I156" s="511"/>
      <c r="J156" s="589">
        <f>'3.1. Income Statement'!M29</f>
        <v>0</v>
      </c>
      <c r="K156" s="589">
        <f>'3.1. Income Statement'!N29</f>
        <v>0</v>
      </c>
      <c r="L156" s="589">
        <f>'3.1. Income Statement'!O29</f>
        <v>0</v>
      </c>
      <c r="M156" s="589">
        <f>'3.1. Income Statement'!P29</f>
        <v>0</v>
      </c>
      <c r="N156" s="531">
        <f t="shared" si="8"/>
        <v>0</v>
      </c>
      <c r="O156" s="220">
        <f t="shared" si="7"/>
        <v>0</v>
      </c>
      <c r="P156" s="220" t="e">
        <f t="shared" si="9"/>
        <v>#DIV/0!</v>
      </c>
      <c r="Q156" s="220"/>
      <c r="R156" s="10" t="s">
        <v>240</v>
      </c>
    </row>
    <row r="157" spans="1:18" s="13" customFormat="1" ht="12" customHeight="1" x14ac:dyDescent="0.25">
      <c r="A157" s="11"/>
      <c r="B157" s="72"/>
      <c r="C157" s="76"/>
      <c r="D157" s="522" t="s">
        <v>223</v>
      </c>
      <c r="E157" s="511"/>
      <c r="F157" s="511"/>
      <c r="G157" s="511"/>
      <c r="H157" s="511"/>
      <c r="I157" s="511"/>
      <c r="J157" s="589">
        <f>'3.1. Income Statement'!M30</f>
        <v>248.6505552809713</v>
      </c>
      <c r="K157" s="589">
        <f>'3.1. Income Statement'!N30</f>
        <v>261.08308304501986</v>
      </c>
      <c r="L157" s="589">
        <f>'3.1. Income Statement'!O30</f>
        <v>274.13723719727085</v>
      </c>
      <c r="M157" s="589">
        <f>'3.1. Income Statement'!P30</f>
        <v>287.84409905713443</v>
      </c>
      <c r="N157" s="531">
        <f t="shared" si="8"/>
        <v>5.0000000000000044E-2</v>
      </c>
      <c r="O157" s="220">
        <f t="shared" si="7"/>
        <v>5.0000000000000044E-2</v>
      </c>
      <c r="P157" s="220" t="e">
        <f t="shared" si="9"/>
        <v>#DIV/0!</v>
      </c>
      <c r="Q157" s="220"/>
      <c r="R157" s="10" t="s">
        <v>240</v>
      </c>
    </row>
    <row r="158" spans="1:18" s="13" customFormat="1" ht="12" customHeight="1" x14ac:dyDescent="0.25">
      <c r="A158" s="11"/>
      <c r="B158" s="72"/>
      <c r="C158" s="76"/>
      <c r="D158" s="522" t="s">
        <v>224</v>
      </c>
      <c r="E158" s="511"/>
      <c r="F158" s="511"/>
      <c r="G158" s="511"/>
      <c r="H158" s="511"/>
      <c r="I158" s="511"/>
      <c r="J158" s="589">
        <f>'3.1. Income Statement'!M31</f>
        <v>0</v>
      </c>
      <c r="K158" s="589">
        <f>'3.1. Income Statement'!N31</f>
        <v>0</v>
      </c>
      <c r="L158" s="589">
        <f>'3.1. Income Statement'!O31</f>
        <v>0</v>
      </c>
      <c r="M158" s="589">
        <f>'3.1. Income Statement'!P31</f>
        <v>0</v>
      </c>
      <c r="N158" s="531">
        <f t="shared" si="8"/>
        <v>0</v>
      </c>
      <c r="O158" s="220">
        <f t="shared" si="7"/>
        <v>0</v>
      </c>
      <c r="P158" s="220" t="e">
        <f t="shared" si="9"/>
        <v>#DIV/0!</v>
      </c>
      <c r="Q158" s="220"/>
      <c r="R158" s="10" t="s">
        <v>240</v>
      </c>
    </row>
    <row r="159" spans="1:18" s="13" customFormat="1" ht="12" customHeight="1" x14ac:dyDescent="0.25">
      <c r="A159" s="11"/>
      <c r="B159" s="72"/>
      <c r="C159" s="76"/>
      <c r="D159" s="522" t="s">
        <v>225</v>
      </c>
      <c r="E159" s="511"/>
      <c r="F159" s="511"/>
      <c r="G159" s="511"/>
      <c r="H159" s="511"/>
      <c r="I159" s="511"/>
      <c r="J159" s="589">
        <f>'3.1. Income Statement'!M32</f>
        <v>0</v>
      </c>
      <c r="K159" s="589">
        <f>'3.1. Income Statement'!N32</f>
        <v>0</v>
      </c>
      <c r="L159" s="589">
        <f>'3.1. Income Statement'!O32</f>
        <v>0</v>
      </c>
      <c r="M159" s="589">
        <f>'3.1. Income Statement'!P32</f>
        <v>0</v>
      </c>
      <c r="N159" s="531">
        <f t="shared" si="8"/>
        <v>0</v>
      </c>
      <c r="O159" s="220">
        <f t="shared" si="7"/>
        <v>0</v>
      </c>
      <c r="P159" s="220" t="e">
        <f t="shared" si="9"/>
        <v>#DIV/0!</v>
      </c>
      <c r="Q159" s="220"/>
      <c r="R159" s="10" t="s">
        <v>240</v>
      </c>
    </row>
    <row r="160" spans="1:18" s="13" customFormat="1" ht="12" customHeight="1" x14ac:dyDescent="0.25">
      <c r="A160" s="11"/>
      <c r="B160" s="72"/>
      <c r="C160" s="76"/>
      <c r="D160" s="522" t="s">
        <v>236</v>
      </c>
      <c r="E160" s="511"/>
      <c r="F160" s="511"/>
      <c r="G160" s="511"/>
      <c r="H160" s="511"/>
      <c r="I160" s="511"/>
      <c r="J160" s="589">
        <f>'3.1. Income Statement'!M33</f>
        <v>240.02981549763237</v>
      </c>
      <c r="K160" s="589">
        <f>'3.1. Income Statement'!N33</f>
        <v>252.031306272514</v>
      </c>
      <c r="L160" s="589">
        <f>'3.1. Income Statement'!O33</f>
        <v>264.63287158613969</v>
      </c>
      <c r="M160" s="589">
        <f>'3.1. Income Statement'!P33</f>
        <v>277.86451516544668</v>
      </c>
      <c r="N160" s="531">
        <f t="shared" si="8"/>
        <v>5.0000000000000044E-2</v>
      </c>
      <c r="O160" s="220">
        <f t="shared" si="7"/>
        <v>5.0000000000000044E-2</v>
      </c>
      <c r="P160" s="220" t="e">
        <f t="shared" si="9"/>
        <v>#DIV/0!</v>
      </c>
      <c r="Q160" s="220"/>
      <c r="R160" s="10" t="s">
        <v>240</v>
      </c>
    </row>
    <row r="161" spans="1:18" s="13" customFormat="1" ht="12" customHeight="1" x14ac:dyDescent="0.25">
      <c r="A161" s="11"/>
      <c r="B161" s="72"/>
      <c r="C161" s="76"/>
      <c r="D161" s="522" t="s">
        <v>146</v>
      </c>
      <c r="E161" s="511"/>
      <c r="F161" s="511"/>
      <c r="G161" s="511"/>
      <c r="H161" s="511"/>
      <c r="I161" s="511"/>
      <c r="J161" s="589">
        <f>'3.1. Income Statement'!M34</f>
        <v>119.10291004660512</v>
      </c>
      <c r="K161" s="589">
        <f>'3.1. Income Statement'!N34</f>
        <v>125.05805554893539</v>
      </c>
      <c r="L161" s="589">
        <f>'3.1. Income Statement'!O34</f>
        <v>131.31095832638215</v>
      </c>
      <c r="M161" s="589">
        <f>'3.1. Income Statement'!P34</f>
        <v>137.87650624270125</v>
      </c>
      <c r="N161" s="531">
        <f t="shared" si="8"/>
        <v>5.0000000000000044E-2</v>
      </c>
      <c r="O161" s="220">
        <f t="shared" si="7"/>
        <v>5.0000000000000044E-2</v>
      </c>
      <c r="P161" s="220" t="e">
        <f t="shared" si="9"/>
        <v>#DIV/0!</v>
      </c>
      <c r="Q161" s="220"/>
      <c r="R161" s="10" t="s">
        <v>240</v>
      </c>
    </row>
    <row r="162" spans="1:18" s="13" customFormat="1" ht="12" customHeight="1" x14ac:dyDescent="0.25">
      <c r="A162" s="11"/>
      <c r="B162" s="72"/>
      <c r="C162" s="76"/>
      <c r="D162" s="595" t="s">
        <v>235</v>
      </c>
      <c r="E162" s="538"/>
      <c r="F162" s="538"/>
      <c r="G162" s="538"/>
      <c r="H162" s="538"/>
      <c r="I162" s="538"/>
      <c r="J162" s="590">
        <f>'3.1. Income Statement'!M35</f>
        <v>1929.6398356525713</v>
      </c>
      <c r="K162" s="590">
        <f>'3.1. Income Statement'!N35</f>
        <v>2026.1218274352</v>
      </c>
      <c r="L162" s="590">
        <f>'3.1. Income Statement'!O35</f>
        <v>2127.4279188069595</v>
      </c>
      <c r="M162" s="590">
        <f>'3.1. Income Statement'!P35</f>
        <v>2233.799314747308</v>
      </c>
      <c r="N162" s="558">
        <f t="shared" si="8"/>
        <v>5.0000000000000044E-2</v>
      </c>
      <c r="O162" s="220">
        <f t="shared" si="7"/>
        <v>5.0000000000000266E-2</v>
      </c>
      <c r="P162" s="220" t="e">
        <f t="shared" si="9"/>
        <v>#DIV/0!</v>
      </c>
      <c r="Q162" s="220"/>
      <c r="R162" s="10" t="s">
        <v>240</v>
      </c>
    </row>
    <row r="163" spans="1:18" ht="12" customHeight="1" x14ac:dyDescent="0.25">
      <c r="B163" s="25"/>
      <c r="C163" s="39"/>
      <c r="D163" s="523" t="s">
        <v>380</v>
      </c>
      <c r="E163" s="524"/>
      <c r="F163" s="524"/>
      <c r="G163" s="524"/>
      <c r="H163" s="524"/>
      <c r="I163" s="524"/>
      <c r="J163" s="591">
        <f>'3.1. Income Statement'!M36</f>
        <v>11172.982636379416</v>
      </c>
      <c r="K163" s="591">
        <f>'3.1. Income Statement'!N36</f>
        <v>11749.701676152976</v>
      </c>
      <c r="L163" s="591">
        <f>'3.1. Income Statement'!O36</f>
        <v>12337.186759960621</v>
      </c>
      <c r="M163" s="591">
        <f>'3.1. Income Statement'!P36</f>
        <v>12954.046097958655</v>
      </c>
      <c r="N163" s="533">
        <f t="shared" si="8"/>
        <v>5.0538818772228655E-2</v>
      </c>
      <c r="O163" s="220">
        <f t="shared" si="7"/>
        <v>5.0000000000000266E-2</v>
      </c>
      <c r="P163" s="220"/>
      <c r="Q163" s="220"/>
      <c r="R163" s="10" t="s">
        <v>240</v>
      </c>
    </row>
    <row r="164" spans="1:18" ht="3" customHeight="1" x14ac:dyDescent="0.25">
      <c r="B164" s="25"/>
      <c r="C164" s="39"/>
      <c r="D164" s="520"/>
      <c r="E164" s="511"/>
      <c r="F164" s="511"/>
      <c r="G164" s="511"/>
      <c r="H164" s="511"/>
      <c r="I164" s="511"/>
      <c r="J164" s="589"/>
      <c r="K164" s="589"/>
      <c r="L164" s="589"/>
      <c r="M164" s="589"/>
      <c r="N164" s="533"/>
      <c r="O164" s="220"/>
      <c r="P164" s="220"/>
      <c r="Q164" s="220"/>
    </row>
    <row r="165" spans="1:18" s="510" customFormat="1" ht="12" customHeight="1" x14ac:dyDescent="0.25">
      <c r="A165" s="506"/>
      <c r="B165" s="507"/>
      <c r="C165" s="506"/>
      <c r="D165" s="523" t="s">
        <v>57</v>
      </c>
      <c r="E165" s="524"/>
      <c r="F165" s="524"/>
      <c r="G165" s="524"/>
      <c r="H165" s="524"/>
      <c r="I165" s="524"/>
      <c r="J165" s="591">
        <f>'3.1. Income Statement'!M38</f>
        <v>798.88783813948066</v>
      </c>
      <c r="K165" s="591">
        <f ca="1">'3.1. Income Statement'!N38</f>
        <v>817.39978033496845</v>
      </c>
      <c r="L165" s="591">
        <f ca="1">'3.1. Income Statement'!O38</f>
        <v>858.26976935171842</v>
      </c>
      <c r="M165" s="591">
        <f ca="1">'3.1. Income Statement'!P38</f>
        <v>901.18325781930253</v>
      </c>
      <c r="N165" s="533">
        <f t="shared" ca="1" si="8"/>
        <v>4.0980118380607777E-2</v>
      </c>
      <c r="O165" s="508">
        <f t="shared" ca="1" si="7"/>
        <v>4.9999999999997824E-2</v>
      </c>
      <c r="P165" s="508">
        <f ca="1">(M165/J165)^(1/(2020-2017))-1</f>
        <v>4.0980118380607777E-2</v>
      </c>
      <c r="Q165" s="508"/>
      <c r="R165" s="509" t="s">
        <v>240</v>
      </c>
    </row>
    <row r="166" spans="1:18" s="13" customFormat="1" ht="12" customHeight="1" x14ac:dyDescent="0.25">
      <c r="A166" s="43"/>
      <c r="B166" s="56"/>
      <c r="C166" s="43"/>
      <c r="D166" s="528" t="s">
        <v>398</v>
      </c>
      <c r="E166" s="529"/>
      <c r="F166" s="529"/>
      <c r="G166" s="529"/>
      <c r="H166" s="529"/>
      <c r="I166" s="529"/>
      <c r="J166" s="593">
        <f>'3.1. Income Statement'!M39</f>
        <v>6.6730411078189084E-2</v>
      </c>
      <c r="K166" s="593">
        <f ca="1">'3.1. Income Statement'!N39</f>
        <v>6.5042824963665286E-2</v>
      </c>
      <c r="L166" s="593">
        <f ca="1">'3.1. Income Statement'!O39</f>
        <v>6.504282496366541E-2</v>
      </c>
      <c r="M166" s="593">
        <f ca="1">'3.1. Income Statement'!P39</f>
        <v>6.5042824963665272E-2</v>
      </c>
      <c r="N166" s="533">
        <f t="shared" ca="1" si="8"/>
        <v>-8.5019484949435675E-3</v>
      </c>
      <c r="O166" s="220">
        <f t="shared" ca="1" si="7"/>
        <v>-2.1094237467877974E-15</v>
      </c>
      <c r="P166" s="220"/>
      <c r="Q166" s="220"/>
      <c r="R166" s="10" t="s">
        <v>240</v>
      </c>
    </row>
    <row r="167" spans="1:18" ht="10.199999999999999" customHeight="1" x14ac:dyDescent="0.25">
      <c r="B167" s="25"/>
      <c r="D167" s="520" t="s">
        <v>77</v>
      </c>
      <c r="E167" s="511"/>
      <c r="F167" s="511"/>
      <c r="G167" s="511"/>
      <c r="H167" s="511"/>
      <c r="I167" s="511"/>
      <c r="J167" s="589">
        <f ca="1">'3.1. Income Statement'!M40</f>
        <v>34.757559124338016</v>
      </c>
      <c r="K167" s="589">
        <f ca="1">'3.1. Income Statement'!N40</f>
        <v>14.181678306650907</v>
      </c>
      <c r="L167" s="589">
        <f ca="1">'3.1. Income Statement'!O40</f>
        <v>2.4891930804770608</v>
      </c>
      <c r="M167" s="589">
        <f ca="1">'3.1. Income Statement'!P40</f>
        <v>0.51522295046739008</v>
      </c>
      <c r="N167" s="531">
        <f t="shared" ca="1" si="8"/>
        <v>-0.7543508249306069</v>
      </c>
      <c r="O167" s="220">
        <f t="shared" ca="1" si="7"/>
        <v>-0.7930160763709635</v>
      </c>
      <c r="P167" s="220"/>
      <c r="Q167" s="220"/>
      <c r="R167" s="10" t="s">
        <v>240</v>
      </c>
    </row>
    <row r="168" spans="1:18" ht="3" customHeight="1" x14ac:dyDescent="0.25">
      <c r="B168" s="25"/>
      <c r="D168" s="520"/>
      <c r="E168" s="511"/>
      <c r="F168" s="511"/>
      <c r="G168" s="511"/>
      <c r="H168" s="511"/>
      <c r="I168" s="511"/>
      <c r="J168" s="589"/>
      <c r="K168" s="589"/>
      <c r="L168" s="589"/>
      <c r="M168" s="589"/>
      <c r="N168" s="531">
        <f t="shared" si="8"/>
        <v>0</v>
      </c>
      <c r="O168" s="220"/>
      <c r="P168" s="220"/>
      <c r="Q168" s="220"/>
    </row>
    <row r="169" spans="1:18" s="510" customFormat="1" ht="12" customHeight="1" x14ac:dyDescent="0.25">
      <c r="A169" s="506"/>
      <c r="B169" s="507"/>
      <c r="C169" s="506"/>
      <c r="D169" s="523" t="s">
        <v>56</v>
      </c>
      <c r="E169" s="524"/>
      <c r="F169" s="524"/>
      <c r="G169" s="524"/>
      <c r="H169" s="524"/>
      <c r="I169" s="524"/>
      <c r="J169" s="591">
        <f ca="1">'3.1. Income Statement'!M41</f>
        <v>764.13027901514261</v>
      </c>
      <c r="K169" s="591">
        <f ca="1">'3.1. Income Statement'!N41</f>
        <v>803.2181020283175</v>
      </c>
      <c r="L169" s="591">
        <f ca="1">'3.1. Income Statement'!O41</f>
        <v>855.78057627124133</v>
      </c>
      <c r="M169" s="591">
        <f ca="1">'3.1. Income Statement'!P41</f>
        <v>900.66803486883509</v>
      </c>
      <c r="N169" s="533">
        <f t="shared" ca="1" si="8"/>
        <v>5.6328782633731311E-2</v>
      </c>
      <c r="O169" s="508">
        <f t="shared" ca="1" si="7"/>
        <v>5.2452065216500809E-2</v>
      </c>
      <c r="P169" s="508"/>
      <c r="Q169" s="508"/>
      <c r="R169" s="509" t="s">
        <v>240</v>
      </c>
    </row>
    <row r="170" spans="1:18" s="13" customFormat="1" ht="12" customHeight="1" x14ac:dyDescent="0.25">
      <c r="A170" s="43"/>
      <c r="B170" s="56"/>
      <c r="C170" s="43"/>
      <c r="D170" s="528" t="s">
        <v>399</v>
      </c>
      <c r="E170" s="529"/>
      <c r="F170" s="529"/>
      <c r="G170" s="529"/>
      <c r="H170" s="529"/>
      <c r="I170" s="529"/>
      <c r="J170" s="593">
        <f ca="1">'3.1. Income Statement'!M42</f>
        <v>6.3827142186471911E-2</v>
      </c>
      <c r="K170" s="593">
        <f ca="1">'3.1. Income Statement'!N42</f>
        <v>6.3914348492320375E-2</v>
      </c>
      <c r="L170" s="593">
        <f ca="1">'3.1. Income Statement'!O42</f>
        <v>6.485418479991302E-2</v>
      </c>
      <c r="M170" s="593">
        <f ca="1">'3.1. Income Statement'!P42</f>
        <v>6.500563879104862E-2</v>
      </c>
      <c r="N170" s="531">
        <f t="shared" ca="1" si="8"/>
        <v>6.1171306127836278E-3</v>
      </c>
      <c r="O170" s="220">
        <f t="shared" ca="1" si="7"/>
        <v>2.3353002061912154E-3</v>
      </c>
      <c r="P170" s="220"/>
      <c r="Q170" s="220"/>
      <c r="R170" s="10" t="s">
        <v>240</v>
      </c>
    </row>
    <row r="171" spans="1:18" ht="3" customHeight="1" x14ac:dyDescent="0.25">
      <c r="B171" s="25"/>
      <c r="D171" s="520"/>
      <c r="E171" s="511"/>
      <c r="F171" s="511"/>
      <c r="G171" s="511"/>
      <c r="H171" s="511"/>
      <c r="I171" s="511"/>
      <c r="J171" s="589"/>
      <c r="K171" s="589"/>
      <c r="L171" s="589"/>
      <c r="M171" s="589"/>
      <c r="N171" s="531">
        <f t="shared" si="8"/>
        <v>0</v>
      </c>
      <c r="O171" s="220">
        <f t="shared" si="7"/>
        <v>0</v>
      </c>
      <c r="P171" s="220"/>
      <c r="Q171" s="220"/>
      <c r="R171" s="10" t="s">
        <v>240</v>
      </c>
    </row>
    <row r="172" spans="1:18" ht="12" customHeight="1" x14ac:dyDescent="0.25">
      <c r="B172" s="25"/>
      <c r="D172" s="522" t="s">
        <v>140</v>
      </c>
      <c r="E172" s="511"/>
      <c r="F172" s="511"/>
      <c r="G172" s="511"/>
      <c r="H172" s="511"/>
      <c r="I172" s="511"/>
      <c r="J172" s="589">
        <f>'3.1. Income Statement'!M44</f>
        <v>0</v>
      </c>
      <c r="K172" s="589">
        <f>'3.1. Income Statement'!N44</f>
        <v>0</v>
      </c>
      <c r="L172" s="589">
        <f>'3.1. Income Statement'!O44</f>
        <v>0</v>
      </c>
      <c r="M172" s="589">
        <f>'3.1. Income Statement'!P44</f>
        <v>0</v>
      </c>
      <c r="N172" s="531">
        <f t="shared" si="8"/>
        <v>0</v>
      </c>
      <c r="O172" s="220">
        <f t="shared" si="7"/>
        <v>0</v>
      </c>
      <c r="P172" s="220"/>
      <c r="Q172" s="220"/>
      <c r="R172" s="10" t="s">
        <v>240</v>
      </c>
    </row>
    <row r="173" spans="1:18" ht="12" customHeight="1" x14ac:dyDescent="0.25">
      <c r="B173" s="25"/>
      <c r="D173" s="522" t="s">
        <v>226</v>
      </c>
      <c r="E173" s="511"/>
      <c r="F173" s="511"/>
      <c r="G173" s="511"/>
      <c r="H173" s="511"/>
      <c r="I173" s="511"/>
      <c r="J173" s="589">
        <f>'3.1. Income Statement'!M45</f>
        <v>16.175816207251444</v>
      </c>
      <c r="K173" s="589">
        <f>'3.1. Income Statement'!N45</f>
        <v>0.18994999999999998</v>
      </c>
      <c r="L173" s="589">
        <f>'3.1. Income Statement'!O45</f>
        <v>2.3864115868997261E-4</v>
      </c>
      <c r="M173" s="589">
        <f>'3.1. Income Statement'!P45</f>
        <v>2.4332039709565835E-4</v>
      </c>
      <c r="N173" s="531">
        <f t="shared" si="8"/>
        <v>-0.97531475524585365</v>
      </c>
      <c r="O173" s="220">
        <f t="shared" si="7"/>
        <v>1.9607843137254832E-2</v>
      </c>
      <c r="P173" s="220"/>
      <c r="Q173" s="220"/>
      <c r="R173" s="10" t="s">
        <v>240</v>
      </c>
    </row>
    <row r="174" spans="1:18" ht="12" customHeight="1" x14ac:dyDescent="0.25">
      <c r="B174" s="25"/>
      <c r="D174" s="522" t="s">
        <v>249</v>
      </c>
      <c r="E174" s="511"/>
      <c r="F174" s="511"/>
      <c r="G174" s="511"/>
      <c r="H174" s="511"/>
      <c r="I174" s="511"/>
      <c r="J174" s="589">
        <f>'3.1. Income Statement'!M46</f>
        <v>0</v>
      </c>
      <c r="K174" s="589">
        <f>'3.1. Income Statement'!N46</f>
        <v>0</v>
      </c>
      <c r="L174" s="589">
        <f>'3.1. Income Statement'!O46</f>
        <v>0</v>
      </c>
      <c r="M174" s="589">
        <f>'3.1. Income Statement'!P46</f>
        <v>0</v>
      </c>
      <c r="N174" s="531">
        <f t="shared" si="8"/>
        <v>0</v>
      </c>
      <c r="O174" s="220">
        <f t="shared" si="7"/>
        <v>0</v>
      </c>
      <c r="P174" s="220"/>
      <c r="Q174" s="220"/>
      <c r="R174" s="10" t="s">
        <v>240</v>
      </c>
    </row>
    <row r="175" spans="1:18" ht="12" customHeight="1" x14ac:dyDescent="0.25">
      <c r="B175" s="25"/>
      <c r="D175" s="522" t="s">
        <v>142</v>
      </c>
      <c r="E175" s="511"/>
      <c r="F175" s="511"/>
      <c r="G175" s="511"/>
      <c r="H175" s="511"/>
      <c r="I175" s="511"/>
      <c r="J175" s="589">
        <f>'3.1. Income Statement'!M47</f>
        <v>0</v>
      </c>
      <c r="K175" s="589">
        <f>'3.1. Income Statement'!N47</f>
        <v>0</v>
      </c>
      <c r="L175" s="589">
        <f>'3.1. Income Statement'!O47</f>
        <v>0</v>
      </c>
      <c r="M175" s="589">
        <f>'3.1. Income Statement'!P47</f>
        <v>0</v>
      </c>
      <c r="N175" s="531">
        <f t="shared" si="8"/>
        <v>0</v>
      </c>
      <c r="O175" s="220">
        <f t="shared" si="7"/>
        <v>0</v>
      </c>
      <c r="P175" s="220"/>
      <c r="Q175" s="220"/>
      <c r="R175" s="10" t="s">
        <v>240</v>
      </c>
    </row>
    <row r="176" spans="1:18" ht="12" customHeight="1" x14ac:dyDescent="0.25">
      <c r="B176" s="25"/>
      <c r="D176" s="522" t="s">
        <v>39</v>
      </c>
      <c r="E176" s="511"/>
      <c r="F176" s="511"/>
      <c r="G176" s="511"/>
      <c r="H176" s="511"/>
      <c r="I176" s="511"/>
      <c r="J176" s="589">
        <f>'3.1. Income Statement'!M48</f>
        <v>0</v>
      </c>
      <c r="K176" s="589">
        <f>'3.1. Income Statement'!N48</f>
        <v>0</v>
      </c>
      <c r="L176" s="589">
        <f>'3.1. Income Statement'!O48</f>
        <v>0</v>
      </c>
      <c r="M176" s="589">
        <f>'3.1. Income Statement'!P48</f>
        <v>0</v>
      </c>
      <c r="N176" s="531">
        <f t="shared" si="8"/>
        <v>0</v>
      </c>
      <c r="O176" s="220">
        <f t="shared" si="7"/>
        <v>0</v>
      </c>
      <c r="P176" s="220"/>
      <c r="Q176" s="220"/>
      <c r="R176" s="10" t="s">
        <v>240</v>
      </c>
    </row>
    <row r="177" spans="1:18" ht="12" customHeight="1" x14ac:dyDescent="0.25">
      <c r="B177" s="25"/>
      <c r="D177" s="595" t="s">
        <v>250</v>
      </c>
      <c r="E177" s="538"/>
      <c r="F177" s="538"/>
      <c r="G177" s="538"/>
      <c r="H177" s="538"/>
      <c r="I177" s="538"/>
      <c r="J177" s="590">
        <f>'3.1. Income Statement'!M49</f>
        <v>1.4194210716607578</v>
      </c>
      <c r="K177" s="590">
        <f>'3.1. Income Statement'!N49</f>
        <v>1.4903921252437957</v>
      </c>
      <c r="L177" s="590">
        <f>'3.1. Income Statement'!O49</f>
        <v>1.5649117315059853</v>
      </c>
      <c r="M177" s="590">
        <f>'3.1. Income Statement'!P49</f>
        <v>1.6431573180812846</v>
      </c>
      <c r="N177" s="558">
        <f t="shared" si="8"/>
        <v>5.0000000000000044E-2</v>
      </c>
      <c r="O177" s="220">
        <f t="shared" si="7"/>
        <v>5.0000000000000044E-2</v>
      </c>
      <c r="P177" s="220"/>
      <c r="Q177" s="220"/>
      <c r="R177" s="10" t="s">
        <v>240</v>
      </c>
    </row>
    <row r="178" spans="1:18" ht="12" customHeight="1" x14ac:dyDescent="0.25">
      <c r="B178" s="25"/>
      <c r="D178" s="523" t="s">
        <v>376</v>
      </c>
      <c r="E178" s="524"/>
      <c r="F178" s="524"/>
      <c r="G178" s="524"/>
      <c r="H178" s="524"/>
      <c r="I178" s="524"/>
      <c r="J178" s="591">
        <f>'3.1. Income Statement'!M50</f>
        <v>14.756395135590687</v>
      </c>
      <c r="K178" s="591">
        <f>'3.1. Income Statement'!N50</f>
        <v>-1.3004421252437957</v>
      </c>
      <c r="L178" s="591">
        <f>'3.1. Income Statement'!O50</f>
        <v>-1.5646730903472954</v>
      </c>
      <c r="M178" s="591">
        <f>'3.1. Income Statement'!P50</f>
        <v>-1.6429139976841889</v>
      </c>
      <c r="N178" s="533">
        <f t="shared" si="8"/>
        <v>-1.4810735925836092</v>
      </c>
      <c r="O178" s="220">
        <f t="shared" si="7"/>
        <v>5.0004635357745686E-2</v>
      </c>
      <c r="P178" s="220"/>
      <c r="Q178" s="220"/>
      <c r="R178" s="10" t="s">
        <v>240</v>
      </c>
    </row>
    <row r="179" spans="1:18" ht="12" customHeight="1" outlineLevel="1" x14ac:dyDescent="0.25">
      <c r="B179" s="25"/>
      <c r="D179" s="520" t="s">
        <v>54</v>
      </c>
      <c r="E179" s="511"/>
      <c r="F179" s="511"/>
      <c r="G179" s="511"/>
      <c r="H179" s="511"/>
      <c r="I179" s="511"/>
      <c r="J179" s="589">
        <f ca="1">'3.1. Income Statement'!M51</f>
        <v>749.37388387955195</v>
      </c>
      <c r="K179" s="589">
        <f ca="1">'3.1. Income Statement'!N51</f>
        <v>804.51854415356127</v>
      </c>
      <c r="L179" s="589">
        <f ca="1">'3.1. Income Statement'!O51</f>
        <v>857.34524936158857</v>
      </c>
      <c r="M179" s="589">
        <f ca="1">'3.1. Income Statement'!P51</f>
        <v>902.31094886651931</v>
      </c>
      <c r="N179" s="531">
        <f t="shared" ca="1" si="8"/>
        <v>6.3863456486968673E-2</v>
      </c>
      <c r="O179" s="220">
        <f t="shared" ca="1" si="7"/>
        <v>5.2447598605595447E-2</v>
      </c>
      <c r="P179" s="220"/>
      <c r="Q179" s="220"/>
      <c r="R179" s="10" t="s">
        <v>240</v>
      </c>
    </row>
    <row r="180" spans="1:18" s="13" customFormat="1" ht="12" customHeight="1" outlineLevel="1" x14ac:dyDescent="0.25">
      <c r="A180" s="43"/>
      <c r="B180" s="56"/>
      <c r="C180" s="43"/>
      <c r="D180" s="520" t="s">
        <v>400</v>
      </c>
      <c r="E180" s="511"/>
      <c r="F180" s="511"/>
      <c r="G180" s="511"/>
      <c r="H180" s="511"/>
      <c r="I180" s="511"/>
      <c r="J180" s="592">
        <f ca="1">'3.1. Income Statement'!M52</f>
        <v>6.259455324667354E-2</v>
      </c>
      <c r="K180" s="592">
        <f ca="1">'3.1. Income Statement'!N52</f>
        <v>6.4017828370297528E-2</v>
      </c>
      <c r="L180" s="592">
        <f ca="1">'3.1. Income Statement'!O52</f>
        <v>6.4972761454450995E-2</v>
      </c>
      <c r="M180" s="592">
        <f ca="1">'3.1. Income Statement'!P52</f>
        <v>6.5124215969058236E-2</v>
      </c>
      <c r="N180" s="531">
        <f t="shared" ca="1" si="8"/>
        <v>1.3293650425508341E-2</v>
      </c>
      <c r="O180" s="220">
        <f t="shared" ca="1" si="7"/>
        <v>2.3310462910433039E-3</v>
      </c>
      <c r="P180" s="220"/>
      <c r="Q180" s="220"/>
      <c r="R180" s="10" t="s">
        <v>240</v>
      </c>
    </row>
    <row r="181" spans="1:18" ht="12" customHeight="1" x14ac:dyDescent="0.25">
      <c r="B181" s="25"/>
      <c r="D181" s="520" t="s">
        <v>227</v>
      </c>
      <c r="E181" s="511"/>
      <c r="F181" s="511"/>
      <c r="G181" s="511"/>
      <c r="H181" s="511"/>
      <c r="I181" s="511"/>
      <c r="J181" s="589">
        <f ca="1">'3.1. Income Statement'!M53</f>
        <v>119.89982142072832</v>
      </c>
      <c r="K181" s="589">
        <f ca="1">'3.1. Income Statement'!N53</f>
        <v>128.72296706456981</v>
      </c>
      <c r="L181" s="589">
        <f ca="1">'3.1. Income Statement'!O53</f>
        <v>137.17523989785417</v>
      </c>
      <c r="M181" s="589">
        <f ca="1">'3.1. Income Statement'!P53</f>
        <v>144.3697518186431</v>
      </c>
      <c r="N181" s="531">
        <f t="shared" ca="1" si="8"/>
        <v>6.3863456486968673E-2</v>
      </c>
      <c r="O181" s="220">
        <f t="shared" ca="1" si="7"/>
        <v>5.2447598605595447E-2</v>
      </c>
      <c r="P181" s="220"/>
      <c r="Q181" s="220"/>
      <c r="R181" s="10" t="s">
        <v>240</v>
      </c>
    </row>
    <row r="182" spans="1:18" ht="12" customHeight="1" x14ac:dyDescent="0.25">
      <c r="B182" s="25"/>
      <c r="D182" s="523" t="s">
        <v>53</v>
      </c>
      <c r="E182" s="524"/>
      <c r="F182" s="524"/>
      <c r="G182" s="524"/>
      <c r="H182" s="524"/>
      <c r="I182" s="524"/>
      <c r="J182" s="591">
        <f ca="1">'3.1. Income Statement'!M54</f>
        <v>629.4740624588236</v>
      </c>
      <c r="K182" s="591">
        <f ca="1">'3.1. Income Statement'!N54</f>
        <v>675.79557708899142</v>
      </c>
      <c r="L182" s="591">
        <f ca="1">'3.1. Income Statement'!O54</f>
        <v>720.17000946373446</v>
      </c>
      <c r="M182" s="591">
        <f ca="1">'3.1. Income Statement'!P54</f>
        <v>757.94119704787624</v>
      </c>
      <c r="N182" s="533">
        <f t="shared" ca="1" si="8"/>
        <v>6.3863456486968673E-2</v>
      </c>
      <c r="O182" s="220">
        <f t="shared" ca="1" si="7"/>
        <v>5.2447598605595447E-2</v>
      </c>
      <c r="P182" s="220"/>
      <c r="Q182" s="220"/>
      <c r="R182" s="10" t="s">
        <v>240</v>
      </c>
    </row>
    <row r="183" spans="1:18" s="13" customFormat="1" ht="12" customHeight="1" thickBot="1" x14ac:dyDescent="0.3">
      <c r="A183" s="43"/>
      <c r="B183" s="56"/>
      <c r="C183" s="43"/>
      <c r="D183" s="521" t="s">
        <v>401</v>
      </c>
      <c r="E183" s="512"/>
      <c r="F183" s="512"/>
      <c r="G183" s="512"/>
      <c r="H183" s="512"/>
      <c r="I183" s="512"/>
      <c r="J183" s="594">
        <f ca="1">'3.1. Income Statement'!M55</f>
        <v>5.2579424727205774E-2</v>
      </c>
      <c r="K183" s="594">
        <f ca="1">'3.1. Income Statement'!N55</f>
        <v>5.3774975831049919E-2</v>
      </c>
      <c r="L183" s="594">
        <f ca="1">'3.1. Income Statement'!O55</f>
        <v>5.4577119621738848E-2</v>
      </c>
      <c r="M183" s="594">
        <f ca="1">'3.1. Income Statement'!P55</f>
        <v>5.4704341414008921E-2</v>
      </c>
      <c r="N183" s="534">
        <f t="shared" ca="1" si="8"/>
        <v>1.3293650425508341E-2</v>
      </c>
      <c r="O183" s="220">
        <f t="shared" ca="1" si="7"/>
        <v>2.3310462910430818E-3</v>
      </c>
      <c r="P183" s="220"/>
      <c r="Q183" s="220"/>
      <c r="R183" s="10" t="s">
        <v>240</v>
      </c>
    </row>
    <row r="186" spans="1:18" ht="19.5" customHeight="1" x14ac:dyDescent="0.25">
      <c r="D186" s="515" t="s">
        <v>402</v>
      </c>
      <c r="E186" s="513"/>
      <c r="F186" s="513"/>
      <c r="G186" s="513"/>
      <c r="H186" s="513"/>
      <c r="I186" s="513"/>
      <c r="J186" s="513"/>
      <c r="K186" s="513"/>
      <c r="L186" s="513"/>
      <c r="M186" s="513"/>
      <c r="N186" s="516"/>
    </row>
    <row r="187" spans="1:18" ht="20.399999999999999" collapsed="1" x14ac:dyDescent="0.2">
      <c r="D187" s="517" t="s">
        <v>385</v>
      </c>
      <c r="E187" s="539"/>
      <c r="F187" s="539"/>
      <c r="G187" s="539"/>
      <c r="H187" s="539"/>
      <c r="I187" s="539"/>
      <c r="J187" s="539" t="s">
        <v>412</v>
      </c>
      <c r="K187" s="539" t="s">
        <v>411</v>
      </c>
      <c r="L187" s="539" t="s">
        <v>410</v>
      </c>
      <c r="M187" s="539" t="s">
        <v>409</v>
      </c>
      <c r="N187" s="535" t="s">
        <v>408</v>
      </c>
    </row>
    <row r="188" spans="1:18" ht="12" hidden="1" customHeight="1" outlineLevel="1" x14ac:dyDescent="0.25">
      <c r="D188" s="540" t="s">
        <v>72</v>
      </c>
      <c r="E188" s="541"/>
      <c r="F188" s="541"/>
      <c r="G188" s="541"/>
      <c r="H188" s="541"/>
      <c r="I188" s="541"/>
      <c r="J188" s="542"/>
      <c r="K188" s="541"/>
      <c r="L188" s="541"/>
      <c r="M188" s="541"/>
      <c r="N188" s="544"/>
    </row>
    <row r="189" spans="1:18" ht="12" customHeight="1" collapsed="1" x14ac:dyDescent="0.25">
      <c r="D189" s="520" t="s">
        <v>107</v>
      </c>
      <c r="E189" s="511"/>
      <c r="F189" s="511"/>
      <c r="G189" s="511"/>
      <c r="H189" s="511"/>
      <c r="I189" s="511"/>
      <c r="J189" s="537">
        <f>'3.3. Balance sheet'!M9</f>
        <v>1.1904886468406277</v>
      </c>
      <c r="K189" s="537">
        <f>'3.3. Balance sheet'!N9</f>
        <v>1.1904886468406277</v>
      </c>
      <c r="L189" s="537">
        <f>'3.3. Balance sheet'!O9</f>
        <v>1.1904886468406277</v>
      </c>
      <c r="M189" s="537">
        <f>'3.3. Balance sheet'!P9</f>
        <v>1.1904886468406277</v>
      </c>
      <c r="N189" s="531">
        <f t="shared" ref="N189:N252" si="10">IF(ISERROR((($L189/$J189)^(1/($L$3-$J$3))-1)),0,(($L189/$J189)^(1/($L$3-$J$3))-1))</f>
        <v>0</v>
      </c>
    </row>
    <row r="190" spans="1:18" ht="12" hidden="1" customHeight="1" outlineLevel="1" x14ac:dyDescent="0.25">
      <c r="D190" s="520" t="s">
        <v>105</v>
      </c>
      <c r="E190" s="511"/>
      <c r="F190" s="511"/>
      <c r="G190" s="511"/>
      <c r="H190" s="511"/>
      <c r="I190" s="511"/>
      <c r="J190" s="537">
        <f>'3.3. Balance sheet'!M10</f>
        <v>0</v>
      </c>
      <c r="K190" s="537">
        <f>'3.3. Balance sheet'!N10</f>
        <v>0</v>
      </c>
      <c r="L190" s="537">
        <f>'3.3. Balance sheet'!O10</f>
        <v>0</v>
      </c>
      <c r="M190" s="537">
        <f>'3.3. Balance sheet'!P10</f>
        <v>0</v>
      </c>
      <c r="N190" s="531">
        <f t="shared" si="10"/>
        <v>0</v>
      </c>
    </row>
    <row r="191" spans="1:18" ht="12" hidden="1" customHeight="1" outlineLevel="1" x14ac:dyDescent="0.25">
      <c r="D191" s="520" t="s">
        <v>120</v>
      </c>
      <c r="E191" s="511"/>
      <c r="F191" s="511"/>
      <c r="G191" s="511"/>
      <c r="H191" s="511"/>
      <c r="I191" s="511"/>
      <c r="J191" s="537">
        <f>'3.3. Balance sheet'!M11</f>
        <v>0</v>
      </c>
      <c r="K191" s="537">
        <f>'3.3. Balance sheet'!N11</f>
        <v>0</v>
      </c>
      <c r="L191" s="537">
        <f>'3.3. Balance sheet'!O11</f>
        <v>0</v>
      </c>
      <c r="M191" s="537">
        <f>'3.3. Balance sheet'!P11</f>
        <v>0</v>
      </c>
      <c r="N191" s="531">
        <f t="shared" si="10"/>
        <v>0</v>
      </c>
    </row>
    <row r="192" spans="1:18" ht="12" hidden="1" customHeight="1" outlineLevel="1" x14ac:dyDescent="0.25">
      <c r="D192" s="520" t="s">
        <v>45</v>
      </c>
      <c r="E192" s="511"/>
      <c r="F192" s="511"/>
      <c r="G192" s="511"/>
      <c r="H192" s="511"/>
      <c r="I192" s="511"/>
      <c r="J192" s="537">
        <f>'3.3. Balance sheet'!M12</f>
        <v>0</v>
      </c>
      <c r="K192" s="537">
        <f>'3.3. Balance sheet'!N12</f>
        <v>0</v>
      </c>
      <c r="L192" s="537">
        <f>'3.3. Balance sheet'!O12</f>
        <v>0</v>
      </c>
      <c r="M192" s="537">
        <f>'3.3. Balance sheet'!P12</f>
        <v>0</v>
      </c>
      <c r="N192" s="531">
        <f t="shared" si="10"/>
        <v>0</v>
      </c>
    </row>
    <row r="193" spans="4:14" ht="12" customHeight="1" x14ac:dyDescent="0.25">
      <c r="D193" s="520" t="s">
        <v>108</v>
      </c>
      <c r="E193" s="511"/>
      <c r="F193" s="511"/>
      <c r="G193" s="511"/>
      <c r="H193" s="511"/>
      <c r="I193" s="511"/>
      <c r="J193" s="537">
        <f ca="1">'3.3. Balance sheet'!M13</f>
        <v>47.646898518407262</v>
      </c>
      <c r="K193" s="537">
        <f ca="1">'3.3. Balance sheet'!N13</f>
        <v>33.465220211756353</v>
      </c>
      <c r="L193" s="537">
        <f ca="1">'3.3. Balance sheet'!O13</f>
        <v>30.976027131279295</v>
      </c>
      <c r="M193" s="537">
        <f ca="1">'3.3. Balance sheet'!P13</f>
        <v>30.460804180811905</v>
      </c>
      <c r="N193" s="531">
        <f t="shared" ca="1" si="10"/>
        <v>-0.19370207929156225</v>
      </c>
    </row>
    <row r="194" spans="4:14" ht="12" customHeight="1" x14ac:dyDescent="0.25">
      <c r="D194" s="522" t="s">
        <v>212</v>
      </c>
      <c r="E194" s="511"/>
      <c r="F194" s="511"/>
      <c r="G194" s="511"/>
      <c r="H194" s="511"/>
      <c r="I194" s="511"/>
      <c r="J194" s="537">
        <f>'3.3. Balance sheet'!M14</f>
        <v>4.288256609275499</v>
      </c>
      <c r="K194" s="537">
        <f>'3.3. Balance sheet'!N14</f>
        <v>4.288256609275499</v>
      </c>
      <c r="L194" s="537">
        <f>'3.3. Balance sheet'!O14</f>
        <v>4.288256609275499</v>
      </c>
      <c r="M194" s="537">
        <f>'3.3. Balance sheet'!P14</f>
        <v>4.288256609275499</v>
      </c>
      <c r="N194" s="531">
        <f t="shared" si="10"/>
        <v>0</v>
      </c>
    </row>
    <row r="195" spans="4:14" ht="12" customHeight="1" x14ac:dyDescent="0.25">
      <c r="D195" s="522" t="s">
        <v>213</v>
      </c>
      <c r="E195" s="511"/>
      <c r="F195" s="511"/>
      <c r="G195" s="511"/>
      <c r="H195" s="511"/>
      <c r="I195" s="511"/>
      <c r="J195" s="537">
        <f>'3.3. Balance sheet'!M15</f>
        <v>0</v>
      </c>
      <c r="K195" s="537">
        <f>'3.3. Balance sheet'!N15</f>
        <v>0</v>
      </c>
      <c r="L195" s="537">
        <f>'3.3. Balance sheet'!O15</f>
        <v>0</v>
      </c>
      <c r="M195" s="537">
        <f>'3.3. Balance sheet'!P15</f>
        <v>0</v>
      </c>
      <c r="N195" s="531">
        <f t="shared" si="10"/>
        <v>0</v>
      </c>
    </row>
    <row r="196" spans="4:14" ht="12" customHeight="1" collapsed="1" x14ac:dyDescent="0.25">
      <c r="D196" s="522" t="s">
        <v>238</v>
      </c>
      <c r="E196" s="511"/>
      <c r="F196" s="511"/>
      <c r="G196" s="511"/>
      <c r="H196" s="511"/>
      <c r="I196" s="511"/>
      <c r="J196" s="537">
        <f ca="1">'3.3. Balance sheet'!M16</f>
        <v>0.71337721649256025</v>
      </c>
      <c r="K196" s="537">
        <f ca="1">'3.3. Balance sheet'!N16</f>
        <v>-12.17133536543502</v>
      </c>
      <c r="L196" s="537">
        <f ca="1">'3.3. Balance sheet'!O16</f>
        <v>-14.455095975728348</v>
      </c>
      <c r="M196" s="537">
        <f ca="1">'3.3. Balance sheet'!P16</f>
        <v>-14.970318926195738</v>
      </c>
      <c r="N196" s="531">
        <f t="shared" ca="1" si="10"/>
        <v>0</v>
      </c>
    </row>
    <row r="197" spans="4:14" ht="12" hidden="1" customHeight="1" outlineLevel="1" x14ac:dyDescent="0.25">
      <c r="D197" s="522" t="s">
        <v>167</v>
      </c>
      <c r="E197" s="511"/>
      <c r="F197" s="511"/>
      <c r="G197" s="511"/>
      <c r="H197" s="511"/>
      <c r="I197" s="511"/>
      <c r="J197" s="537">
        <f>'3.3. Balance sheet'!M17</f>
        <v>0</v>
      </c>
      <c r="K197" s="537">
        <f>'3.3. Balance sheet'!N17</f>
        <v>0</v>
      </c>
      <c r="L197" s="537">
        <f>'3.3. Balance sheet'!O17</f>
        <v>0</v>
      </c>
      <c r="M197" s="537">
        <f>'3.3. Balance sheet'!P17</f>
        <v>0</v>
      </c>
      <c r="N197" s="531">
        <f t="shared" si="10"/>
        <v>0</v>
      </c>
    </row>
    <row r="198" spans="4:14" ht="12" hidden="1" customHeight="1" outlineLevel="1" x14ac:dyDescent="0.25">
      <c r="D198" s="522" t="s">
        <v>214</v>
      </c>
      <c r="E198" s="511"/>
      <c r="F198" s="511"/>
      <c r="G198" s="511"/>
      <c r="H198" s="511"/>
      <c r="I198" s="511"/>
      <c r="J198" s="537">
        <f>'3.3. Balance sheet'!M18</f>
        <v>0</v>
      </c>
      <c r="K198" s="537">
        <f>'3.3. Balance sheet'!N18</f>
        <v>0</v>
      </c>
      <c r="L198" s="537">
        <f>'3.3. Balance sheet'!O18</f>
        <v>0</v>
      </c>
      <c r="M198" s="537">
        <f>'3.3. Balance sheet'!P18</f>
        <v>0</v>
      </c>
      <c r="N198" s="531">
        <f t="shared" si="10"/>
        <v>0</v>
      </c>
    </row>
    <row r="199" spans="4:14" ht="12" hidden="1" customHeight="1" outlineLevel="1" x14ac:dyDescent="0.25">
      <c r="D199" s="522" t="s">
        <v>215</v>
      </c>
      <c r="E199" s="511"/>
      <c r="F199" s="511"/>
      <c r="G199" s="511"/>
      <c r="H199" s="511"/>
      <c r="I199" s="511"/>
      <c r="J199" s="537">
        <f>'3.3. Balance sheet'!M19</f>
        <v>0</v>
      </c>
      <c r="K199" s="537">
        <f>'3.3. Balance sheet'!N19</f>
        <v>0</v>
      </c>
      <c r="L199" s="537">
        <f>'3.3. Balance sheet'!O19</f>
        <v>0</v>
      </c>
      <c r="M199" s="537">
        <f>'3.3. Balance sheet'!P19</f>
        <v>0</v>
      </c>
      <c r="N199" s="531">
        <f t="shared" si="10"/>
        <v>0</v>
      </c>
    </row>
    <row r="200" spans="4:14" ht="12" hidden="1" customHeight="1" outlineLevel="1" x14ac:dyDescent="0.25">
      <c r="D200" s="522" t="s">
        <v>277</v>
      </c>
      <c r="E200" s="511"/>
      <c r="F200" s="511"/>
      <c r="G200" s="511"/>
      <c r="H200" s="511"/>
      <c r="I200" s="511"/>
      <c r="J200" s="537">
        <f>'3.3. Balance sheet'!M20</f>
        <v>0</v>
      </c>
      <c r="K200" s="537">
        <f>'3.3. Balance sheet'!N20</f>
        <v>0</v>
      </c>
      <c r="L200" s="537">
        <f>'3.3. Balance sheet'!O20</f>
        <v>0</v>
      </c>
      <c r="M200" s="537">
        <f>'3.3. Balance sheet'!P20</f>
        <v>0</v>
      </c>
      <c r="N200" s="531">
        <f t="shared" si="10"/>
        <v>0</v>
      </c>
    </row>
    <row r="201" spans="4:14" ht="12" customHeight="1" x14ac:dyDescent="0.25">
      <c r="D201" s="522" t="s">
        <v>44</v>
      </c>
      <c r="E201" s="511"/>
      <c r="F201" s="511"/>
      <c r="G201" s="511"/>
      <c r="H201" s="511"/>
      <c r="I201" s="511"/>
      <c r="J201" s="537">
        <f>'3.3. Balance sheet'!M21</f>
        <v>42.645264692639202</v>
      </c>
      <c r="K201" s="537">
        <f>'3.3. Balance sheet'!N21</f>
        <v>41.348298967915873</v>
      </c>
      <c r="L201" s="537">
        <f>'3.3. Balance sheet'!O21</f>
        <v>41.142866497732143</v>
      </c>
      <c r="M201" s="537">
        <f>'3.3. Balance sheet'!P21</f>
        <v>41.142866497732143</v>
      </c>
      <c r="N201" s="531">
        <f t="shared" si="10"/>
        <v>-1.7773004563046868E-2</v>
      </c>
    </row>
    <row r="202" spans="4:14" ht="12" customHeight="1" x14ac:dyDescent="0.25">
      <c r="D202" s="522" t="s">
        <v>278</v>
      </c>
      <c r="E202" s="511"/>
      <c r="F202" s="511"/>
      <c r="G202" s="511"/>
      <c r="H202" s="511"/>
      <c r="I202" s="511"/>
      <c r="J202" s="537" t="e">
        <f>'3.3. Balance sheet'!#REF!</f>
        <v>#REF!</v>
      </c>
      <c r="K202" s="537" t="e">
        <f>'3.3. Balance sheet'!#REF!</f>
        <v>#REF!</v>
      </c>
      <c r="L202" s="537" t="e">
        <f>'3.3. Balance sheet'!#REF!</f>
        <v>#REF!</v>
      </c>
      <c r="M202" s="537" t="e">
        <f>'3.3. Balance sheet'!#REF!</f>
        <v>#REF!</v>
      </c>
      <c r="N202" s="531">
        <f t="shared" si="10"/>
        <v>0</v>
      </c>
    </row>
    <row r="203" spans="4:14" ht="12" customHeight="1" collapsed="1" x14ac:dyDescent="0.25">
      <c r="D203" s="522" t="s">
        <v>46</v>
      </c>
      <c r="E203" s="511"/>
      <c r="F203" s="511"/>
      <c r="G203" s="511"/>
      <c r="H203" s="511"/>
      <c r="I203" s="511"/>
      <c r="J203" s="537">
        <f>'3.3. Balance sheet'!M22</f>
        <v>0</v>
      </c>
      <c r="K203" s="537">
        <f>'3.3. Balance sheet'!N22</f>
        <v>0</v>
      </c>
      <c r="L203" s="537">
        <f>'3.3. Balance sheet'!O22</f>
        <v>0</v>
      </c>
      <c r="M203" s="537">
        <f>'3.3. Balance sheet'!P22</f>
        <v>0</v>
      </c>
      <c r="N203" s="531">
        <f t="shared" si="10"/>
        <v>0</v>
      </c>
    </row>
    <row r="204" spans="4:14" ht="12" hidden="1" customHeight="1" outlineLevel="1" x14ac:dyDescent="0.25">
      <c r="D204" s="520" t="s">
        <v>279</v>
      </c>
      <c r="E204" s="511"/>
      <c r="F204" s="511"/>
      <c r="G204" s="511"/>
      <c r="H204" s="511"/>
      <c r="I204" s="511"/>
      <c r="J204" s="537">
        <f>'3.3. Balance sheet'!M23</f>
        <v>0</v>
      </c>
      <c r="K204" s="537">
        <f>'3.3. Balance sheet'!N23</f>
        <v>0</v>
      </c>
      <c r="L204" s="537">
        <f>'3.3. Balance sheet'!O23</f>
        <v>0</v>
      </c>
      <c r="M204" s="537">
        <f>'3.3. Balance sheet'!P23</f>
        <v>0</v>
      </c>
      <c r="N204" s="531">
        <f t="shared" si="10"/>
        <v>0</v>
      </c>
    </row>
    <row r="205" spans="4:14" ht="12" hidden="1" customHeight="1" outlineLevel="1" x14ac:dyDescent="0.25">
      <c r="D205" s="520" t="s">
        <v>106</v>
      </c>
      <c r="E205" s="511"/>
      <c r="F205" s="511"/>
      <c r="G205" s="511"/>
      <c r="H205" s="511"/>
      <c r="I205" s="511"/>
      <c r="J205" s="537">
        <f>'3.3. Balance sheet'!M24</f>
        <v>0</v>
      </c>
      <c r="K205" s="537">
        <f>'3.3. Balance sheet'!N24</f>
        <v>0</v>
      </c>
      <c r="L205" s="537">
        <f>'3.3. Balance sheet'!O24</f>
        <v>0</v>
      </c>
      <c r="M205" s="537">
        <f>'3.3. Balance sheet'!P24</f>
        <v>0</v>
      </c>
      <c r="N205" s="531">
        <f t="shared" si="10"/>
        <v>0</v>
      </c>
    </row>
    <row r="206" spans="4:14" ht="12" hidden="1" customHeight="1" outlineLevel="1" x14ac:dyDescent="0.25">
      <c r="D206" s="520" t="s">
        <v>149</v>
      </c>
      <c r="E206" s="511"/>
      <c r="F206" s="511"/>
      <c r="G206" s="511"/>
      <c r="H206" s="511"/>
      <c r="I206" s="511"/>
      <c r="J206" s="537">
        <f>'3.3. Balance sheet'!M25</f>
        <v>0</v>
      </c>
      <c r="K206" s="537">
        <f>'3.3. Balance sheet'!N25</f>
        <v>0</v>
      </c>
      <c r="L206" s="537">
        <f>'3.3. Balance sheet'!O25</f>
        <v>0</v>
      </c>
      <c r="M206" s="537">
        <f>'3.3. Balance sheet'!P25</f>
        <v>0</v>
      </c>
      <c r="N206" s="531">
        <f t="shared" si="10"/>
        <v>0</v>
      </c>
    </row>
    <row r="207" spans="4:14" ht="12" hidden="1" customHeight="1" outlineLevel="1" x14ac:dyDescent="0.25">
      <c r="D207" s="520" t="s">
        <v>148</v>
      </c>
      <c r="E207" s="511"/>
      <c r="F207" s="511"/>
      <c r="G207" s="511"/>
      <c r="H207" s="511"/>
      <c r="I207" s="511"/>
      <c r="J207" s="537">
        <f>'3.3. Balance sheet'!M26</f>
        <v>0</v>
      </c>
      <c r="K207" s="537">
        <f>'3.3. Balance sheet'!N26</f>
        <v>0</v>
      </c>
      <c r="L207" s="537">
        <f>'3.3. Balance sheet'!O26</f>
        <v>0</v>
      </c>
      <c r="M207" s="537">
        <f>'3.3. Balance sheet'!P26</f>
        <v>0</v>
      </c>
      <c r="N207" s="531">
        <f t="shared" si="10"/>
        <v>0</v>
      </c>
    </row>
    <row r="208" spans="4:14" ht="12" hidden="1" customHeight="1" outlineLevel="1" x14ac:dyDescent="0.25">
      <c r="D208" s="520" t="s">
        <v>150</v>
      </c>
      <c r="E208" s="511"/>
      <c r="F208" s="511"/>
      <c r="G208" s="511"/>
      <c r="H208" s="511"/>
      <c r="I208" s="511"/>
      <c r="J208" s="537">
        <f>'3.3. Balance sheet'!M27</f>
        <v>0</v>
      </c>
      <c r="K208" s="537">
        <f>'3.3. Balance sheet'!N27</f>
        <v>0</v>
      </c>
      <c r="L208" s="537">
        <f>'3.3. Balance sheet'!O27</f>
        <v>0</v>
      </c>
      <c r="M208" s="537">
        <f>'3.3. Balance sheet'!P27</f>
        <v>0</v>
      </c>
      <c r="N208" s="531">
        <f t="shared" si="10"/>
        <v>0</v>
      </c>
    </row>
    <row r="209" spans="4:18" ht="12" customHeight="1" collapsed="1" x14ac:dyDescent="0.25">
      <c r="D209" s="525" t="s">
        <v>388</v>
      </c>
      <c r="E209" s="526"/>
      <c r="F209" s="526"/>
      <c r="G209" s="526"/>
      <c r="H209" s="526"/>
      <c r="I209" s="526"/>
      <c r="J209" s="543">
        <f ca="1">'3.3. Balance sheet'!M28</f>
        <v>48.83738716524789</v>
      </c>
      <c r="K209" s="543">
        <f ca="1">'3.3. Balance sheet'!N28</f>
        <v>34.655708858596981</v>
      </c>
      <c r="L209" s="543">
        <f ca="1">'3.3. Balance sheet'!O28</f>
        <v>32.166515778119923</v>
      </c>
      <c r="M209" s="543">
        <f ca="1">'3.3. Balance sheet'!P28</f>
        <v>31.651292827652533</v>
      </c>
      <c r="N209" s="532">
        <f t="shared" ca="1" si="10"/>
        <v>-0.18843034478144938</v>
      </c>
    </row>
    <row r="210" spans="4:18" ht="12" hidden="1" customHeight="1" outlineLevel="1" x14ac:dyDescent="0.25">
      <c r="D210" s="520" t="s">
        <v>71</v>
      </c>
      <c r="E210" s="511"/>
      <c r="F210" s="511"/>
      <c r="G210" s="511"/>
      <c r="H210" s="511"/>
      <c r="I210" s="511"/>
      <c r="J210" s="537">
        <f>'3.3. Balance sheet'!M29</f>
        <v>0</v>
      </c>
      <c r="K210" s="537">
        <f>'3.3. Balance sheet'!N29</f>
        <v>0</v>
      </c>
      <c r="L210" s="537">
        <f>'3.3. Balance sheet'!O29</f>
        <v>0</v>
      </c>
      <c r="M210" s="537">
        <f>'3.3. Balance sheet'!P29</f>
        <v>0</v>
      </c>
      <c r="N210" s="531">
        <f t="shared" si="10"/>
        <v>0</v>
      </c>
    </row>
    <row r="211" spans="4:18" ht="12" customHeight="1" collapsed="1" x14ac:dyDescent="0.25">
      <c r="D211" s="520" t="s">
        <v>109</v>
      </c>
      <c r="E211" s="511"/>
      <c r="F211" s="511"/>
      <c r="G211" s="511"/>
      <c r="H211" s="511"/>
      <c r="I211" s="511"/>
      <c r="J211" s="537">
        <f>'3.3. Balance sheet'!M30</f>
        <v>2628.146953517381</v>
      </c>
      <c r="K211" s="537">
        <f>'3.3. Balance sheet'!N30</f>
        <v>2752.0145353429962</v>
      </c>
      <c r="L211" s="537">
        <f>'3.3. Balance sheet'!O30</f>
        <v>2897.5320162529129</v>
      </c>
      <c r="M211" s="537">
        <f>'3.3. Balance sheet'!P30</f>
        <v>3042.4086170655587</v>
      </c>
      <c r="N211" s="531">
        <f t="shared" si="10"/>
        <v>5.0000000000000044E-2</v>
      </c>
    </row>
    <row r="212" spans="4:18" ht="12" hidden="1" customHeight="1" outlineLevel="1" x14ac:dyDescent="0.25">
      <c r="D212" s="520" t="s">
        <v>280</v>
      </c>
      <c r="E212" s="511"/>
      <c r="F212" s="511"/>
      <c r="G212" s="511"/>
      <c r="H212" s="511"/>
      <c r="I212" s="511"/>
      <c r="J212" s="537">
        <f>'3.3. Balance sheet'!M31</f>
        <v>1497.6596951428053</v>
      </c>
      <c r="K212" s="537">
        <f>'3.3. Balance sheet'!N31</f>
        <v>1568.2461152007656</v>
      </c>
      <c r="L212" s="537">
        <f>'3.3. Balance sheet'!O31</f>
        <v>1651.169813894943</v>
      </c>
      <c r="M212" s="537">
        <f>'3.3. Balance sheet'!P31</f>
        <v>1733.7283045896902</v>
      </c>
      <c r="N212" s="531">
        <f t="shared" si="10"/>
        <v>5.0000000000000044E-2</v>
      </c>
    </row>
    <row r="213" spans="4:18" ht="12" customHeight="1" x14ac:dyDescent="0.25">
      <c r="D213" s="520" t="s">
        <v>217</v>
      </c>
      <c r="E213" s="511"/>
      <c r="F213" s="511"/>
      <c r="G213" s="511"/>
      <c r="H213" s="511"/>
      <c r="I213" s="511"/>
      <c r="J213" s="537">
        <f>'3.3. Balance sheet'!M32</f>
        <v>852.68340417454704</v>
      </c>
      <c r="K213" s="537">
        <f>'3.3. Balance sheet'!N32</f>
        <v>892.87135150244603</v>
      </c>
      <c r="L213" s="537">
        <f>'3.3. Balance sheet'!O32</f>
        <v>940.08345310243817</v>
      </c>
      <c r="M213" s="537">
        <f>'3.3. Balance sheet'!P32</f>
        <v>987.0876257575602</v>
      </c>
      <c r="N213" s="531">
        <f t="shared" si="10"/>
        <v>5.0000000000000044E-2</v>
      </c>
    </row>
    <row r="214" spans="4:18" ht="12" customHeight="1" x14ac:dyDescent="0.25">
      <c r="D214" s="520" t="s">
        <v>281</v>
      </c>
      <c r="E214" s="511"/>
      <c r="F214" s="511"/>
      <c r="G214" s="511"/>
      <c r="H214" s="511"/>
      <c r="I214" s="511"/>
      <c r="J214" s="537">
        <f>'3.3. Balance sheet'!M33</f>
        <v>277.80385420002875</v>
      </c>
      <c r="K214" s="537">
        <f>'3.3. Balance sheet'!N33</f>
        <v>290.89706863978427</v>
      </c>
      <c r="L214" s="537">
        <f>'3.3. Balance sheet'!O33</f>
        <v>306.27874925553169</v>
      </c>
      <c r="M214" s="537">
        <f>'3.3. Balance sheet'!P33</f>
        <v>321.59268671830836</v>
      </c>
      <c r="N214" s="531">
        <f t="shared" si="10"/>
        <v>5.0000000000000044E-2</v>
      </c>
    </row>
    <row r="215" spans="4:18" ht="12" customHeight="1" x14ac:dyDescent="0.25">
      <c r="D215" s="520" t="s">
        <v>232</v>
      </c>
      <c r="E215" s="511"/>
      <c r="F215" s="511"/>
      <c r="G215" s="511"/>
      <c r="H215" s="511"/>
      <c r="I215" s="511"/>
      <c r="J215" s="537">
        <f>'3.3. Balance sheet'!M34</f>
        <v>2519.2859041075876</v>
      </c>
      <c r="K215" s="537">
        <f ca="1">'3.3. Balance sheet'!N34</f>
        <v>2638.022739752003</v>
      </c>
      <c r="L215" s="537">
        <f ca="1">'3.3. Balance sheet'!O34</f>
        <v>2777.5127092786151</v>
      </c>
      <c r="M215" s="537">
        <f ca="1">'3.3. Balance sheet'!P34</f>
        <v>2916.388344742546</v>
      </c>
      <c r="N215" s="531">
        <f t="shared" ca="1" si="10"/>
        <v>4.9999999999999822E-2</v>
      </c>
    </row>
    <row r="216" spans="4:18" ht="12" customHeight="1" collapsed="1" x14ac:dyDescent="0.25">
      <c r="D216" s="520" t="s">
        <v>143</v>
      </c>
      <c r="E216" s="511"/>
      <c r="F216" s="511"/>
      <c r="G216" s="511"/>
      <c r="H216" s="511"/>
      <c r="I216" s="511"/>
      <c r="J216" s="537">
        <f>'3.3. Balance sheet'!M35</f>
        <v>180.14829337204424</v>
      </c>
      <c r="K216" s="537">
        <f ca="1">'3.3. Balance sheet'!N35</f>
        <v>188.63888916621846</v>
      </c>
      <c r="L216" s="537">
        <f ca="1">'3.3. Balance sheet'!O35</f>
        <v>198.61349344267876</v>
      </c>
      <c r="M216" s="537">
        <f ca="1">'3.3. Balance sheet'!P35</f>
        <v>208.54416811481269</v>
      </c>
      <c r="N216" s="531">
        <f t="shared" ca="1" si="10"/>
        <v>5.0000000000000044E-2</v>
      </c>
    </row>
    <row r="217" spans="4:18" ht="12" hidden="1" customHeight="1" outlineLevel="1" x14ac:dyDescent="0.25">
      <c r="D217" s="520" t="s">
        <v>151</v>
      </c>
      <c r="E217" s="511"/>
      <c r="F217" s="511"/>
      <c r="G217" s="511"/>
      <c r="H217" s="511"/>
      <c r="I217" s="511"/>
      <c r="J217" s="537">
        <f>'3.3. Balance sheet'!M36</f>
        <v>0</v>
      </c>
      <c r="K217" s="537">
        <f ca="1">'3.3. Balance sheet'!N36</f>
        <v>0</v>
      </c>
      <c r="L217" s="537">
        <f ca="1">'3.3. Balance sheet'!O36</f>
        <v>0</v>
      </c>
      <c r="M217" s="537">
        <f ca="1">'3.3. Balance sheet'!P36</f>
        <v>0</v>
      </c>
      <c r="N217" s="531">
        <f t="shared" ca="1" si="10"/>
        <v>0</v>
      </c>
    </row>
    <row r="218" spans="4:18" ht="12" customHeight="1" collapsed="1" x14ac:dyDescent="0.25">
      <c r="D218" s="520" t="s">
        <v>152</v>
      </c>
      <c r="E218" s="511"/>
      <c r="F218" s="511"/>
      <c r="G218" s="511"/>
      <c r="H218" s="511"/>
      <c r="I218" s="511"/>
      <c r="J218" s="537">
        <f>'3.3. Balance sheet'!M37</f>
        <v>672.26699645175506</v>
      </c>
      <c r="K218" s="537">
        <f ca="1">'3.3. Balance sheet'!N37</f>
        <v>703.95171144845665</v>
      </c>
      <c r="L218" s="537">
        <f ca="1">'3.3. Balance sheet'!O37</f>
        <v>741.17436358805992</v>
      </c>
      <c r="M218" s="537">
        <f ca="1">'3.3. Balance sheet'!P37</f>
        <v>778.23308176746298</v>
      </c>
      <c r="N218" s="531">
        <f t="shared" ca="1" si="10"/>
        <v>5.0000000000000044E-2</v>
      </c>
    </row>
    <row r="219" spans="4:18" ht="12" hidden="1" customHeight="1" outlineLevel="1" x14ac:dyDescent="0.25">
      <c r="D219" s="520" t="s">
        <v>113</v>
      </c>
      <c r="E219" s="511"/>
      <c r="F219" s="511"/>
      <c r="G219" s="511"/>
      <c r="H219" s="511"/>
      <c r="I219" s="511"/>
      <c r="J219" s="537">
        <f>'3.3. Balance sheet'!M38</f>
        <v>0</v>
      </c>
      <c r="K219" s="537">
        <f ca="1">'3.3. Balance sheet'!N38</f>
        <v>0</v>
      </c>
      <c r="L219" s="537">
        <f ca="1">'3.3. Balance sheet'!O38</f>
        <v>0</v>
      </c>
      <c r="M219" s="537">
        <f ca="1">'3.3. Balance sheet'!P38</f>
        <v>0</v>
      </c>
      <c r="N219" s="531">
        <f t="shared" ca="1" si="10"/>
        <v>0</v>
      </c>
    </row>
    <row r="220" spans="4:18" ht="12" customHeight="1" x14ac:dyDescent="0.25">
      <c r="D220" s="520" t="s">
        <v>41</v>
      </c>
      <c r="E220" s="511"/>
      <c r="F220" s="511"/>
      <c r="G220" s="511"/>
      <c r="H220" s="511"/>
      <c r="I220" s="511"/>
      <c r="J220" s="537">
        <f ca="1">'3.3. Balance sheet'!M39</f>
        <v>1419.3636002193971</v>
      </c>
      <c r="K220" s="537">
        <f ca="1">'3.3. Balance sheet'!N39</f>
        <v>1702.969858507156</v>
      </c>
      <c r="L220" s="537">
        <f ca="1">'3.3. Balance sheet'!O39</f>
        <v>2381.4340852068431</v>
      </c>
      <c r="M220" s="537">
        <f ca="1">'3.3. Balance sheet'!P39</f>
        <v>3039.7447724879676</v>
      </c>
      <c r="N220" s="531">
        <f t="shared" ca="1" si="10"/>
        <v>0.29530621980231531</v>
      </c>
    </row>
    <row r="221" spans="4:18" ht="12" customHeight="1" x14ac:dyDescent="0.25">
      <c r="D221" s="525" t="s">
        <v>389</v>
      </c>
      <c r="E221" s="526"/>
      <c r="F221" s="526"/>
      <c r="G221" s="526"/>
      <c r="H221" s="526"/>
      <c r="I221" s="526"/>
      <c r="J221" s="550">
        <f ca="1">'3.3. Balance sheet'!M40</f>
        <v>7419.2117476681651</v>
      </c>
      <c r="K221" s="550">
        <f ca="1">'3.3. Balance sheet'!N40</f>
        <v>7985.5977342168298</v>
      </c>
      <c r="L221" s="550">
        <f ca="1">'3.3. Balance sheet'!O40</f>
        <v>8996.2666677691104</v>
      </c>
      <c r="M221" s="550">
        <f ca="1">'3.3. Balance sheet'!P40</f>
        <v>9985.3189841783478</v>
      </c>
      <c r="N221" s="560">
        <f t="shared" ca="1" si="10"/>
        <v>0.10116469055707089</v>
      </c>
      <c r="O221" s="13">
        <f ca="1">J221-J220</f>
        <v>5999.848147448768</v>
      </c>
      <c r="P221" s="13">
        <f ca="1">K221-K220</f>
        <v>6282.6278757096734</v>
      </c>
      <c r="R221" s="13">
        <f ca="1">L221-L220</f>
        <v>6614.8325825622669</v>
      </c>
    </row>
    <row r="222" spans="4:18" ht="12" customHeight="1" x14ac:dyDescent="0.25">
      <c r="D222" s="525" t="s">
        <v>70</v>
      </c>
      <c r="E222" s="526"/>
      <c r="F222" s="526"/>
      <c r="G222" s="526"/>
      <c r="H222" s="526"/>
      <c r="I222" s="526"/>
      <c r="J222" s="559">
        <f ca="1">'3.3. Balance sheet'!M41</f>
        <v>7468.0491348334126</v>
      </c>
      <c r="K222" s="559">
        <f ca="1">'3.3. Balance sheet'!N41</f>
        <v>8020.2534430754267</v>
      </c>
      <c r="L222" s="559">
        <f ca="1">'3.3. Balance sheet'!O41</f>
        <v>9028.4331835472312</v>
      </c>
      <c r="M222" s="559">
        <f ca="1">'3.3. Balance sheet'!P41</f>
        <v>10016.970277006001</v>
      </c>
      <c r="N222" s="533">
        <f t="shared" ca="1" si="10"/>
        <v>9.9518676796157113E-2</v>
      </c>
      <c r="R222" s="556">
        <f ca="1">(R221/O221)^(1/2)-1</f>
        <v>5.0000000000000044E-2</v>
      </c>
    </row>
    <row r="223" spans="4:18" ht="3" customHeight="1" collapsed="1" x14ac:dyDescent="0.25">
      <c r="D223" s="536"/>
      <c r="E223" s="511"/>
      <c r="F223" s="511"/>
      <c r="G223" s="511"/>
      <c r="H223" s="511"/>
      <c r="I223" s="511"/>
      <c r="J223" s="537">
        <f>'3.3. Balance sheet'!M42</f>
        <v>0</v>
      </c>
      <c r="K223" s="537">
        <f>'3.3. Balance sheet'!N42</f>
        <v>0</v>
      </c>
      <c r="L223" s="537">
        <f>'3.3. Balance sheet'!O42</f>
        <v>0</v>
      </c>
      <c r="M223" s="537">
        <f>'3.3. Balance sheet'!P42</f>
        <v>0</v>
      </c>
      <c r="N223" s="531">
        <f t="shared" si="10"/>
        <v>0</v>
      </c>
    </row>
    <row r="224" spans="4:18" ht="12" hidden="1" customHeight="1" outlineLevel="1" x14ac:dyDescent="0.25">
      <c r="D224" s="536" t="s">
        <v>69</v>
      </c>
      <c r="E224" s="511"/>
      <c r="F224" s="511"/>
      <c r="G224" s="511"/>
      <c r="H224" s="511"/>
      <c r="I224" s="511"/>
      <c r="J224" s="537">
        <f>'3.3. Balance sheet'!M43</f>
        <v>0</v>
      </c>
      <c r="K224" s="537">
        <f>'3.3. Balance sheet'!N43</f>
        <v>0</v>
      </c>
      <c r="L224" s="537">
        <f>'3.3. Balance sheet'!O43</f>
        <v>0</v>
      </c>
      <c r="M224" s="537">
        <f>'3.3. Balance sheet'!P43</f>
        <v>0</v>
      </c>
      <c r="N224" s="531">
        <f t="shared" si="10"/>
        <v>0</v>
      </c>
    </row>
    <row r="225" spans="4:14" ht="12" customHeight="1" collapsed="1" x14ac:dyDescent="0.25">
      <c r="D225" s="536" t="s">
        <v>51</v>
      </c>
      <c r="E225" s="511"/>
      <c r="F225" s="511"/>
      <c r="G225" s="511"/>
      <c r="H225" s="511"/>
      <c r="I225" s="511"/>
      <c r="J225" s="537">
        <f>'3.3. Balance sheet'!M44</f>
        <v>42.882566092754992</v>
      </c>
      <c r="K225" s="537">
        <f>'3.3. Balance sheet'!N44</f>
        <v>42.882566092754992</v>
      </c>
      <c r="L225" s="537">
        <f>'3.3. Balance sheet'!O44</f>
        <v>42.882566092754992</v>
      </c>
      <c r="M225" s="537">
        <f>'3.3. Balance sheet'!P44</f>
        <v>42.882566092754992</v>
      </c>
      <c r="N225" s="531">
        <f t="shared" si="10"/>
        <v>0</v>
      </c>
    </row>
    <row r="226" spans="4:14" ht="12" hidden="1" customHeight="1" outlineLevel="1" x14ac:dyDescent="0.25">
      <c r="D226" s="536" t="s">
        <v>50</v>
      </c>
      <c r="E226" s="511"/>
      <c r="F226" s="511"/>
      <c r="G226" s="511"/>
      <c r="H226" s="511"/>
      <c r="I226" s="511"/>
      <c r="J226" s="537">
        <f>'3.3. Balance sheet'!M45</f>
        <v>0</v>
      </c>
      <c r="K226" s="537">
        <f>'3.3. Balance sheet'!N45</f>
        <v>0</v>
      </c>
      <c r="L226" s="537">
        <f>'3.3. Balance sheet'!O45</f>
        <v>0</v>
      </c>
      <c r="M226" s="537">
        <f>'3.3. Balance sheet'!P45</f>
        <v>0</v>
      </c>
      <c r="N226" s="531">
        <f t="shared" si="10"/>
        <v>0</v>
      </c>
    </row>
    <row r="227" spans="4:14" ht="12" customHeight="1" collapsed="1" x14ac:dyDescent="0.25">
      <c r="D227" s="536" t="s">
        <v>49</v>
      </c>
      <c r="E227" s="511"/>
      <c r="F227" s="511"/>
      <c r="G227" s="511"/>
      <c r="H227" s="511"/>
      <c r="I227" s="511"/>
      <c r="J227" s="537">
        <f>'3.3. Balance sheet'!M46</f>
        <v>8.576513218550998</v>
      </c>
      <c r="K227" s="537">
        <f>'3.3. Balance sheet'!N46</f>
        <v>8.576513218550998</v>
      </c>
      <c r="L227" s="537">
        <f>'3.3. Balance sheet'!O46</f>
        <v>8.576513218550998</v>
      </c>
      <c r="M227" s="537">
        <f>'3.3. Balance sheet'!P46</f>
        <v>8.576513218550998</v>
      </c>
      <c r="N227" s="531">
        <f t="shared" si="10"/>
        <v>0</v>
      </c>
    </row>
    <row r="228" spans="4:14" ht="12" hidden="1" customHeight="1" outlineLevel="1" x14ac:dyDescent="0.25">
      <c r="D228" s="536" t="s">
        <v>153</v>
      </c>
      <c r="E228" s="511"/>
      <c r="F228" s="511"/>
      <c r="G228" s="511"/>
      <c r="H228" s="511"/>
      <c r="I228" s="511"/>
      <c r="J228" s="537">
        <f>'3.3. Balance sheet'!M47</f>
        <v>0</v>
      </c>
      <c r="K228" s="537">
        <f>'3.3. Balance sheet'!N47</f>
        <v>0</v>
      </c>
      <c r="L228" s="537">
        <f>'3.3. Balance sheet'!O47</f>
        <v>0</v>
      </c>
      <c r="M228" s="537">
        <f>'3.3. Balance sheet'!P47</f>
        <v>0</v>
      </c>
      <c r="N228" s="531">
        <f t="shared" si="10"/>
        <v>0</v>
      </c>
    </row>
    <row r="229" spans="4:14" ht="12" customHeight="1" x14ac:dyDescent="0.25">
      <c r="D229" s="536" t="s">
        <v>115</v>
      </c>
      <c r="E229" s="511"/>
      <c r="F229" s="511"/>
      <c r="G229" s="511"/>
      <c r="H229" s="511"/>
      <c r="I229" s="511"/>
      <c r="J229" s="537">
        <f>'3.3. Balance sheet'!M48</f>
        <v>119.09630137867448</v>
      </c>
      <c r="K229" s="537">
        <f>'3.3. Balance sheet'!N48</f>
        <v>119.09630137867448</v>
      </c>
      <c r="L229" s="537">
        <f>'3.3. Balance sheet'!O48</f>
        <v>119.09630137867448</v>
      </c>
      <c r="M229" s="537">
        <f>'3.3. Balance sheet'!P48</f>
        <v>119.09630137867448</v>
      </c>
      <c r="N229" s="531">
        <f t="shared" si="10"/>
        <v>0</v>
      </c>
    </row>
    <row r="230" spans="4:14" ht="12" customHeight="1" x14ac:dyDescent="0.25">
      <c r="D230" s="536" t="s">
        <v>48</v>
      </c>
      <c r="E230" s="511"/>
      <c r="F230" s="511"/>
      <c r="G230" s="511"/>
      <c r="H230" s="511"/>
      <c r="I230" s="511"/>
      <c r="J230" s="537">
        <f>'3.3. Balance sheet'!M49</f>
        <v>996.04982954179991</v>
      </c>
      <c r="K230" s="537">
        <f ca="1">'3.3. Balance sheet'!N49</f>
        <v>1625.5238920006236</v>
      </c>
      <c r="L230" s="537">
        <f ca="1">'3.3. Balance sheet'!O49</f>
        <v>2301.3194690896153</v>
      </c>
      <c r="M230" s="537">
        <f ca="1">'3.3. Balance sheet'!P49</f>
        <v>3021.4894785533497</v>
      </c>
      <c r="N230" s="531">
        <f t="shared" ca="1" si="10"/>
        <v>0.52001517266056285</v>
      </c>
    </row>
    <row r="231" spans="4:14" ht="12" customHeight="1" x14ac:dyDescent="0.25">
      <c r="D231" s="536" t="s">
        <v>230</v>
      </c>
      <c r="E231" s="511"/>
      <c r="F231" s="511"/>
      <c r="G231" s="511"/>
      <c r="H231" s="511"/>
      <c r="I231" s="511"/>
      <c r="J231" s="537">
        <f ca="1">'3.3. Balance sheet'!M50</f>
        <v>629.4740624588236</v>
      </c>
      <c r="K231" s="537">
        <f ca="1">'3.3. Balance sheet'!N50</f>
        <v>675.79557708899142</v>
      </c>
      <c r="L231" s="537">
        <f ca="1">'3.3. Balance sheet'!O50</f>
        <v>720.17000946373446</v>
      </c>
      <c r="M231" s="537">
        <f ca="1">'3.3. Balance sheet'!P50</f>
        <v>757.94119704787624</v>
      </c>
      <c r="N231" s="531">
        <f t="shared" ca="1" si="10"/>
        <v>6.961773708161334E-2</v>
      </c>
    </row>
    <row r="232" spans="4:14" ht="12" customHeight="1" x14ac:dyDescent="0.25">
      <c r="D232" s="536" t="s">
        <v>47</v>
      </c>
      <c r="E232" s="511"/>
      <c r="F232" s="511"/>
      <c r="G232" s="511"/>
      <c r="H232" s="511"/>
      <c r="I232" s="511"/>
      <c r="J232" s="537">
        <f>'3.3. Balance sheet'!M51</f>
        <v>0</v>
      </c>
      <c r="K232" s="537">
        <f>'3.3. Balance sheet'!N51</f>
        <v>0</v>
      </c>
      <c r="L232" s="537">
        <f>'3.3. Balance sheet'!O51</f>
        <v>0</v>
      </c>
      <c r="M232" s="537">
        <f>'3.3. Balance sheet'!P51</f>
        <v>0</v>
      </c>
      <c r="N232" s="531">
        <f t="shared" si="10"/>
        <v>0</v>
      </c>
    </row>
    <row r="233" spans="4:14" ht="12" customHeight="1" collapsed="1" x14ac:dyDescent="0.25">
      <c r="D233" s="547" t="s">
        <v>390</v>
      </c>
      <c r="E233" s="526"/>
      <c r="F233" s="526"/>
      <c r="G233" s="526"/>
      <c r="H233" s="526"/>
      <c r="I233" s="526"/>
      <c r="J233" s="543">
        <f ca="1">'3.3. Balance sheet'!M52</f>
        <v>1796.0792726906038</v>
      </c>
      <c r="K233" s="543">
        <f ca="1">'3.3. Balance sheet'!N52</f>
        <v>2471.8748497795955</v>
      </c>
      <c r="L233" s="543">
        <f ca="1">'3.3. Balance sheet'!O52</f>
        <v>3192.0448592433304</v>
      </c>
      <c r="M233" s="543">
        <f ca="1">'3.3. Balance sheet'!P52</f>
        <v>3949.9860562912068</v>
      </c>
      <c r="N233" s="532">
        <f t="shared" ca="1" si="10"/>
        <v>0.33312766976840691</v>
      </c>
    </row>
    <row r="234" spans="4:14" ht="12" hidden="1" customHeight="1" outlineLevel="1" x14ac:dyDescent="0.25">
      <c r="D234" s="536" t="s">
        <v>68</v>
      </c>
      <c r="E234" s="511"/>
      <c r="F234" s="511"/>
      <c r="G234" s="511"/>
      <c r="H234" s="511"/>
      <c r="I234" s="511"/>
      <c r="J234" s="537">
        <f>'3.3. Balance sheet'!M53</f>
        <v>0</v>
      </c>
      <c r="K234" s="537">
        <f>'3.3. Balance sheet'!N53</f>
        <v>0</v>
      </c>
      <c r="L234" s="537">
        <f>'3.3. Balance sheet'!O53</f>
        <v>0</v>
      </c>
      <c r="M234" s="537">
        <f>'3.3. Balance sheet'!P53</f>
        <v>0</v>
      </c>
      <c r="N234" s="531">
        <f t="shared" si="10"/>
        <v>0</v>
      </c>
    </row>
    <row r="235" spans="4:14" ht="12" customHeight="1" collapsed="1" x14ac:dyDescent="0.25">
      <c r="D235" s="536" t="s">
        <v>112</v>
      </c>
      <c r="E235" s="511"/>
      <c r="F235" s="511"/>
      <c r="G235" s="511"/>
      <c r="H235" s="511"/>
      <c r="I235" s="511"/>
      <c r="J235" s="537">
        <f>'3.3. Balance sheet'!M54</f>
        <v>364.33967923840567</v>
      </c>
      <c r="K235" s="537">
        <f>'3.3. Balance sheet'!N54</f>
        <v>4.6792384056857372E-3</v>
      </c>
      <c r="L235" s="537">
        <f>'3.3. Balance sheet'!O54</f>
        <v>4.6792384056857372E-3</v>
      </c>
      <c r="M235" s="537">
        <f>'3.3. Balance sheet'!P54</f>
        <v>4.6792384056857372E-3</v>
      </c>
      <c r="N235" s="531">
        <f t="shared" si="10"/>
        <v>-0.99641627768758911</v>
      </c>
    </row>
    <row r="236" spans="4:14" ht="12" hidden="1" customHeight="1" outlineLevel="1" x14ac:dyDescent="0.25">
      <c r="D236" s="536" t="s">
        <v>161</v>
      </c>
      <c r="E236" s="511"/>
      <c r="F236" s="511"/>
      <c r="G236" s="511"/>
      <c r="H236" s="511"/>
      <c r="I236" s="511"/>
      <c r="J236" s="537">
        <f>'3.3. Balance sheet'!M55</f>
        <v>364.33967923840567</v>
      </c>
      <c r="K236" s="537">
        <f>'3.3. Balance sheet'!N55</f>
        <v>4.6792384056857372E-3</v>
      </c>
      <c r="L236" s="537">
        <f>'3.3. Balance sheet'!O55</f>
        <v>4.6792384056857372E-3</v>
      </c>
      <c r="M236" s="537">
        <f>'3.3. Balance sheet'!P55</f>
        <v>4.6792384056857372E-3</v>
      </c>
      <c r="N236" s="531">
        <f t="shared" si="10"/>
        <v>-0.99641627768758911</v>
      </c>
    </row>
    <row r="237" spans="4:14" ht="12" hidden="1" customHeight="1" outlineLevel="1" x14ac:dyDescent="0.25">
      <c r="D237" s="536" t="s">
        <v>155</v>
      </c>
      <c r="E237" s="511"/>
      <c r="F237" s="511"/>
      <c r="G237" s="511"/>
      <c r="H237" s="511"/>
      <c r="I237" s="511"/>
      <c r="J237" s="537">
        <f>'3.3. Balance sheet'!M56</f>
        <v>0</v>
      </c>
      <c r="K237" s="537">
        <f>'3.3. Balance sheet'!N56</f>
        <v>0</v>
      </c>
      <c r="L237" s="537">
        <f>'3.3. Balance sheet'!O56</f>
        <v>0</v>
      </c>
      <c r="M237" s="537">
        <f>'3.3. Balance sheet'!P56</f>
        <v>0</v>
      </c>
      <c r="N237" s="531">
        <f t="shared" si="10"/>
        <v>0</v>
      </c>
    </row>
    <row r="238" spans="4:14" ht="12" hidden="1" customHeight="1" outlineLevel="1" x14ac:dyDescent="0.25">
      <c r="D238" s="536" t="s">
        <v>154</v>
      </c>
      <c r="E238" s="511"/>
      <c r="F238" s="511"/>
      <c r="G238" s="511"/>
      <c r="H238" s="511"/>
      <c r="I238" s="511"/>
      <c r="J238" s="537">
        <f>'3.3. Balance sheet'!M57</f>
        <v>0</v>
      </c>
      <c r="K238" s="537">
        <f>'3.3. Balance sheet'!N57</f>
        <v>0</v>
      </c>
      <c r="L238" s="537">
        <f>'3.3. Balance sheet'!O57</f>
        <v>0</v>
      </c>
      <c r="M238" s="537">
        <f>'3.3. Balance sheet'!P57</f>
        <v>0</v>
      </c>
      <c r="N238" s="531">
        <f t="shared" si="10"/>
        <v>0</v>
      </c>
    </row>
    <row r="239" spans="4:14" ht="12" customHeight="1" x14ac:dyDescent="0.25">
      <c r="D239" s="536" t="s">
        <v>38</v>
      </c>
      <c r="E239" s="511"/>
      <c r="F239" s="511"/>
      <c r="G239" s="511"/>
      <c r="H239" s="511"/>
      <c r="I239" s="511"/>
      <c r="J239" s="537">
        <f>'3.3. Balance sheet'!M58</f>
        <v>0</v>
      </c>
      <c r="K239" s="537">
        <f>'3.3. Balance sheet'!N58</f>
        <v>0</v>
      </c>
      <c r="L239" s="537">
        <f>'3.3. Balance sheet'!O58</f>
        <v>0</v>
      </c>
      <c r="M239" s="537">
        <f>'3.3. Balance sheet'!P58</f>
        <v>0</v>
      </c>
      <c r="N239" s="531">
        <f t="shared" si="10"/>
        <v>0</v>
      </c>
    </row>
    <row r="240" spans="4:14" ht="12" customHeight="1" x14ac:dyDescent="0.25">
      <c r="D240" s="536" t="s">
        <v>237</v>
      </c>
      <c r="E240" s="511"/>
      <c r="F240" s="511"/>
      <c r="G240" s="511"/>
      <c r="H240" s="511"/>
      <c r="I240" s="511"/>
      <c r="J240" s="537">
        <f>'3.3. Balance sheet'!M59</f>
        <v>5299.6608742817916</v>
      </c>
      <c r="K240" s="537">
        <f>'3.3. Balance sheet'!N59</f>
        <v>5546.4536454348145</v>
      </c>
      <c r="L240" s="537">
        <f>'3.3. Balance sheet'!O59</f>
        <v>5836.381500937191</v>
      </c>
      <c r="M240" s="537">
        <f>'3.3. Balance sheet'!P59</f>
        <v>6066.9773973480842</v>
      </c>
      <c r="N240" s="531">
        <f t="shared" si="10"/>
        <v>4.9416277229979988E-2</v>
      </c>
    </row>
    <row r="241" spans="4:14" ht="12" customHeight="1" x14ac:dyDescent="0.25">
      <c r="D241" s="557" t="s">
        <v>110</v>
      </c>
      <c r="E241" s="511"/>
      <c r="F241" s="511"/>
      <c r="G241" s="511"/>
      <c r="H241" s="511"/>
      <c r="I241" s="511"/>
      <c r="J241" s="537">
        <f>'3.3. Balance sheet'!M60</f>
        <v>2918.7616906968419</v>
      </c>
      <c r="K241" s="537">
        <f>'3.3. Balance sheet'!N60</f>
        <v>3056.3262785780457</v>
      </c>
      <c r="L241" s="537">
        <f>'3.3. Balance sheet'!O60</f>
        <v>3217.9347639932676</v>
      </c>
      <c r="M241" s="537">
        <f>'3.3. Balance sheet'!P60</f>
        <v>3378.8315021929316</v>
      </c>
      <c r="N241" s="531">
        <f t="shared" si="10"/>
        <v>4.9999999999999822E-2</v>
      </c>
    </row>
    <row r="242" spans="4:14" ht="12" customHeight="1" x14ac:dyDescent="0.25">
      <c r="D242" s="557" t="s">
        <v>43</v>
      </c>
      <c r="E242" s="511"/>
      <c r="F242" s="511"/>
      <c r="G242" s="511"/>
      <c r="H242" s="511"/>
      <c r="I242" s="511"/>
      <c r="J242" s="537">
        <f>'3.3. Balance sheet'!M61</f>
        <v>2263.0677615906752</v>
      </c>
      <c r="K242" s="537">
        <f>'3.3. Balance sheet'!N61</f>
        <v>2369.7287421574488</v>
      </c>
      <c r="L242" s="537">
        <f>'3.3. Balance sheet'!O61</f>
        <v>2495.0322071537189</v>
      </c>
      <c r="M242" s="537">
        <f>'3.3. Balance sheet'!P61</f>
        <v>2619.7838175114052</v>
      </c>
      <c r="N242" s="531">
        <f t="shared" si="10"/>
        <v>4.9999999999999822E-2</v>
      </c>
    </row>
    <row r="243" spans="4:14" ht="12" customHeight="1" x14ac:dyDescent="0.25">
      <c r="D243" s="557" t="s">
        <v>219</v>
      </c>
      <c r="E243" s="511"/>
      <c r="F243" s="511"/>
      <c r="G243" s="511"/>
      <c r="H243" s="511"/>
      <c r="I243" s="511"/>
      <c r="J243" s="537">
        <f>'3.3. Balance sheet'!M62</f>
        <v>0</v>
      </c>
      <c r="K243" s="537">
        <f>'3.3. Balance sheet'!N62</f>
        <v>0</v>
      </c>
      <c r="L243" s="537">
        <f>'3.3. Balance sheet'!O62</f>
        <v>0</v>
      </c>
      <c r="M243" s="537">
        <f>'3.3. Balance sheet'!P62</f>
        <v>0</v>
      </c>
      <c r="N243" s="531">
        <f t="shared" si="10"/>
        <v>0</v>
      </c>
    </row>
    <row r="244" spans="4:14" ht="12" customHeight="1" x14ac:dyDescent="0.25">
      <c r="D244" s="557" t="s">
        <v>248</v>
      </c>
      <c r="E244" s="511"/>
      <c r="F244" s="511"/>
      <c r="G244" s="511"/>
      <c r="H244" s="511"/>
      <c r="I244" s="511"/>
      <c r="J244" s="537">
        <f>'3.3. Balance sheet'!M63</f>
        <v>0</v>
      </c>
      <c r="K244" s="537">
        <f>'3.3. Balance sheet'!N63</f>
        <v>0</v>
      </c>
      <c r="L244" s="537">
        <f>'3.3. Balance sheet'!O63</f>
        <v>0</v>
      </c>
      <c r="M244" s="537">
        <f>'3.3. Balance sheet'!P63</f>
        <v>0</v>
      </c>
      <c r="N244" s="531">
        <f t="shared" si="10"/>
        <v>0</v>
      </c>
    </row>
    <row r="245" spans="4:14" ht="12" customHeight="1" collapsed="1" x14ac:dyDescent="0.25">
      <c r="D245" s="557" t="s">
        <v>220</v>
      </c>
      <c r="E245" s="511"/>
      <c r="F245" s="511"/>
      <c r="G245" s="511"/>
      <c r="H245" s="511"/>
      <c r="I245" s="511"/>
      <c r="J245" s="537">
        <f>'3.3. Balance sheet'!M64</f>
        <v>0</v>
      </c>
      <c r="K245" s="537">
        <f>'3.3. Balance sheet'!N64</f>
        <v>0</v>
      </c>
      <c r="L245" s="537">
        <f>'3.3. Balance sheet'!O64</f>
        <v>0</v>
      </c>
      <c r="M245" s="537">
        <f>'3.3. Balance sheet'!P64</f>
        <v>0</v>
      </c>
      <c r="N245" s="531">
        <f t="shared" si="10"/>
        <v>0</v>
      </c>
    </row>
    <row r="246" spans="4:14" ht="12" hidden="1" customHeight="1" outlineLevel="1" x14ac:dyDescent="0.25">
      <c r="D246" s="557" t="s">
        <v>221</v>
      </c>
      <c r="E246" s="511"/>
      <c r="F246" s="511"/>
      <c r="G246" s="511"/>
      <c r="H246" s="511"/>
      <c r="I246" s="511"/>
      <c r="J246" s="537">
        <f>'3.3. Balance sheet'!M65</f>
        <v>0</v>
      </c>
      <c r="K246" s="537">
        <f>'3.3. Balance sheet'!N65</f>
        <v>0</v>
      </c>
      <c r="L246" s="537">
        <f>'3.3. Balance sheet'!O65</f>
        <v>0</v>
      </c>
      <c r="M246" s="537">
        <f>'3.3. Balance sheet'!P65</f>
        <v>0</v>
      </c>
      <c r="N246" s="531">
        <f t="shared" si="10"/>
        <v>0</v>
      </c>
    </row>
    <row r="247" spans="4:14" ht="12" customHeight="1" x14ac:dyDescent="0.25">
      <c r="D247" s="557" t="s">
        <v>222</v>
      </c>
      <c r="E247" s="511"/>
      <c r="F247" s="511"/>
      <c r="G247" s="511"/>
      <c r="H247" s="511"/>
      <c r="I247" s="511"/>
      <c r="J247" s="537">
        <f>'3.3. Balance sheet'!M66</f>
        <v>63.362077643747547</v>
      </c>
      <c r="K247" s="537">
        <f>'3.3. Balance sheet'!N66</f>
        <v>63.362077643747547</v>
      </c>
      <c r="L247" s="537">
        <f>'3.3. Balance sheet'!O66</f>
        <v>63.362077643747547</v>
      </c>
      <c r="M247" s="537">
        <f>'3.3. Balance sheet'!P66</f>
        <v>63.362077643747547</v>
      </c>
      <c r="N247" s="531">
        <f t="shared" si="10"/>
        <v>0</v>
      </c>
    </row>
    <row r="248" spans="4:14" ht="12" customHeight="1" x14ac:dyDescent="0.25">
      <c r="D248" s="557" t="s">
        <v>42</v>
      </c>
      <c r="E248" s="511"/>
      <c r="F248" s="511"/>
      <c r="G248" s="511"/>
      <c r="H248" s="511"/>
      <c r="I248" s="511"/>
      <c r="J248" s="537">
        <f>'3.3. Balance sheet'!M67</f>
        <v>54.469344350527372</v>
      </c>
      <c r="K248" s="537">
        <f>'3.3. Balance sheet'!N67</f>
        <v>57.036547055572726</v>
      </c>
      <c r="L248" s="537">
        <f>'3.3. Balance sheet'!O67</f>
        <v>60.052452146456417</v>
      </c>
      <c r="M248" s="537">
        <f>'3.3. Balance sheet'!P67</f>
        <v>5</v>
      </c>
      <c r="N248" s="531">
        <f t="shared" si="10"/>
        <v>4.9999999999999822E-2</v>
      </c>
    </row>
    <row r="249" spans="4:14" ht="12" customHeight="1" x14ac:dyDescent="0.25">
      <c r="D249" s="536" t="s">
        <v>111</v>
      </c>
      <c r="E249" s="511"/>
      <c r="F249" s="511"/>
      <c r="G249" s="511"/>
      <c r="H249" s="511"/>
      <c r="I249" s="511"/>
      <c r="J249" s="537">
        <f ca="1">'3.3. Balance sheet'!M69</f>
        <v>0</v>
      </c>
      <c r="K249" s="537">
        <f ca="1">'3.3. Balance sheet'!N69</f>
        <v>0</v>
      </c>
      <c r="L249" s="537">
        <f ca="1">'3.3. Balance sheet'!O69</f>
        <v>0</v>
      </c>
      <c r="M249" s="537">
        <f ca="1">'3.3. Balance sheet'!P69</f>
        <v>0</v>
      </c>
      <c r="N249" s="531">
        <f t="shared" ca="1" si="10"/>
        <v>0</v>
      </c>
    </row>
    <row r="250" spans="4:14" ht="12" customHeight="1" collapsed="1" x14ac:dyDescent="0.25">
      <c r="D250" s="557" t="s">
        <v>282</v>
      </c>
      <c r="E250" s="511"/>
      <c r="F250" s="511"/>
      <c r="G250" s="511"/>
      <c r="H250" s="511"/>
      <c r="I250" s="511"/>
      <c r="J250" s="537">
        <f ca="1">'3.3. Balance sheet'!M70</f>
        <v>0</v>
      </c>
      <c r="K250" s="537">
        <f ca="1">'3.3. Balance sheet'!N70</f>
        <v>0</v>
      </c>
      <c r="L250" s="537">
        <f ca="1">'3.3. Balance sheet'!O70</f>
        <v>0</v>
      </c>
      <c r="M250" s="537">
        <f ca="1">'3.3. Balance sheet'!P70</f>
        <v>0</v>
      </c>
      <c r="N250" s="531">
        <f t="shared" ca="1" si="10"/>
        <v>0</v>
      </c>
    </row>
    <row r="251" spans="4:14" ht="12" hidden="1" customHeight="1" outlineLevel="1" x14ac:dyDescent="0.25">
      <c r="D251" s="536" t="s">
        <v>114</v>
      </c>
      <c r="E251" s="511"/>
      <c r="F251" s="511"/>
      <c r="G251" s="511"/>
      <c r="H251" s="511"/>
      <c r="I251" s="511"/>
      <c r="J251" s="537">
        <f>'3.3. Balance sheet'!M71</f>
        <v>0</v>
      </c>
      <c r="K251" s="537">
        <f>'3.3. Balance sheet'!N71</f>
        <v>0</v>
      </c>
      <c r="L251" s="537">
        <f>'3.3. Balance sheet'!O71</f>
        <v>0</v>
      </c>
      <c r="M251" s="537">
        <f>'3.3. Balance sheet'!P71</f>
        <v>0</v>
      </c>
      <c r="N251" s="531">
        <f t="shared" si="10"/>
        <v>0</v>
      </c>
    </row>
    <row r="252" spans="4:14" ht="12" customHeight="1" x14ac:dyDescent="0.25">
      <c r="D252" s="547" t="s">
        <v>391</v>
      </c>
      <c r="E252" s="526"/>
      <c r="F252" s="526"/>
      <c r="G252" s="526"/>
      <c r="H252" s="526"/>
      <c r="I252" s="526"/>
      <c r="J252" s="543">
        <f ca="1">'3.3. Balance sheet'!M72</f>
        <v>5664.0026976485015</v>
      </c>
      <c r="K252" s="543">
        <f ca="1">'3.3. Balance sheet'!N72</f>
        <v>5546.4604688015243</v>
      </c>
      <c r="L252" s="543">
        <f ca="1">'3.3. Balance sheet'!O72</f>
        <v>5836.3883243039008</v>
      </c>
      <c r="M252" s="543">
        <f ca="1">'3.3. Balance sheet'!P72</f>
        <v>6066.984220714794</v>
      </c>
      <c r="N252" s="532">
        <f t="shared" ca="1" si="10"/>
        <v>1.5103591238280645E-2</v>
      </c>
    </row>
    <row r="253" spans="4:14" ht="12" customHeight="1" collapsed="1" x14ac:dyDescent="0.25">
      <c r="D253" s="536" t="s">
        <v>67</v>
      </c>
      <c r="E253" s="511"/>
      <c r="F253" s="511"/>
      <c r="G253" s="511"/>
      <c r="H253" s="511"/>
      <c r="I253" s="511"/>
      <c r="J253" s="537">
        <f>'3.3. Balance sheet'!M73</f>
        <v>0</v>
      </c>
      <c r="K253" s="537">
        <f>'3.3. Balance sheet'!N73</f>
        <v>0</v>
      </c>
      <c r="L253" s="537">
        <f>'3.3. Balance sheet'!O73</f>
        <v>0</v>
      </c>
      <c r="M253" s="537">
        <f>'3.3. Balance sheet'!P73</f>
        <v>0</v>
      </c>
      <c r="N253" s="531">
        <f t="shared" ref="N253:N261" si="11">IF(ISERROR((($L253/$J253)^(1/($L$3-$J$3))-1)),0,(($L253/$J253)^(1/($L$3-$J$3))-1))</f>
        <v>0</v>
      </c>
    </row>
    <row r="254" spans="4:14" ht="12" hidden="1" customHeight="1" outlineLevel="1" x14ac:dyDescent="0.25">
      <c r="D254" s="536" t="s">
        <v>231</v>
      </c>
      <c r="E254" s="511"/>
      <c r="F254" s="511"/>
      <c r="G254" s="511"/>
      <c r="H254" s="511"/>
      <c r="I254" s="511"/>
      <c r="J254" s="537">
        <f>'3.3. Balance sheet'!M74</f>
        <v>0</v>
      </c>
      <c r="K254" s="537">
        <f>'3.3. Balance sheet'!N74</f>
        <v>0</v>
      </c>
      <c r="L254" s="537">
        <f>'3.3. Balance sheet'!O74</f>
        <v>0</v>
      </c>
      <c r="M254" s="537">
        <f>'3.3. Balance sheet'!P74</f>
        <v>0</v>
      </c>
      <c r="N254" s="531">
        <f t="shared" si="11"/>
        <v>0</v>
      </c>
    </row>
    <row r="255" spans="4:14" ht="12" hidden="1" customHeight="1" outlineLevel="1" x14ac:dyDescent="0.25">
      <c r="D255" s="536" t="s">
        <v>156</v>
      </c>
      <c r="E255" s="511"/>
      <c r="F255" s="511"/>
      <c r="G255" s="511"/>
      <c r="H255" s="511"/>
      <c r="I255" s="511"/>
      <c r="J255" s="537">
        <f>'3.3. Balance sheet'!M75</f>
        <v>7.9671644943073385</v>
      </c>
      <c r="K255" s="537">
        <f>'3.3. Balance sheet'!N75</f>
        <v>1.9181244943073388</v>
      </c>
      <c r="L255" s="537">
        <f>'3.3. Balance sheet'!O75</f>
        <v>0</v>
      </c>
      <c r="M255" s="537">
        <f>'3.3. Balance sheet'!P75</f>
        <v>0</v>
      </c>
      <c r="N255" s="531">
        <f t="shared" si="11"/>
        <v>-1</v>
      </c>
    </row>
    <row r="256" spans="4:14" ht="12" hidden="1" customHeight="1" outlineLevel="1" x14ac:dyDescent="0.25">
      <c r="D256" s="536" t="s">
        <v>119</v>
      </c>
      <c r="E256" s="511"/>
      <c r="F256" s="511"/>
      <c r="G256" s="511"/>
      <c r="H256" s="511"/>
      <c r="I256" s="511"/>
      <c r="J256" s="537">
        <f>'3.3. Balance sheet'!M76</f>
        <v>0</v>
      </c>
      <c r="K256" s="537">
        <f>'3.3. Balance sheet'!N76</f>
        <v>0</v>
      </c>
      <c r="L256" s="537">
        <f>'3.3. Balance sheet'!O76</f>
        <v>0</v>
      </c>
      <c r="M256" s="537">
        <f>'3.3. Balance sheet'!P76</f>
        <v>0</v>
      </c>
      <c r="N256" s="531">
        <f t="shared" si="11"/>
        <v>0</v>
      </c>
    </row>
    <row r="257" spans="4:17" ht="12" hidden="1" customHeight="1" outlineLevel="1" x14ac:dyDescent="0.25">
      <c r="D257" s="536" t="s">
        <v>111</v>
      </c>
      <c r="E257" s="511"/>
      <c r="F257" s="511"/>
      <c r="G257" s="511"/>
      <c r="H257" s="511"/>
      <c r="I257" s="511"/>
      <c r="J257" s="537">
        <f>'3.3. Balance sheet'!M77</f>
        <v>0</v>
      </c>
      <c r="K257" s="537">
        <f>'3.3. Balance sheet'!N77</f>
        <v>0</v>
      </c>
      <c r="L257" s="537">
        <f>'3.3. Balance sheet'!O77</f>
        <v>0</v>
      </c>
      <c r="M257" s="537">
        <f>'3.3. Balance sheet'!P77</f>
        <v>0</v>
      </c>
      <c r="N257" s="531">
        <f t="shared" si="11"/>
        <v>0</v>
      </c>
    </row>
    <row r="258" spans="4:17" ht="12" hidden="1" customHeight="1" outlineLevel="1" x14ac:dyDescent="0.25">
      <c r="D258" s="536" t="s">
        <v>66</v>
      </c>
      <c r="E258" s="511"/>
      <c r="F258" s="511"/>
      <c r="G258" s="511"/>
      <c r="H258" s="511"/>
      <c r="I258" s="511"/>
      <c r="J258" s="537">
        <f>'3.3. Balance sheet'!M78</f>
        <v>0</v>
      </c>
      <c r="K258" s="537">
        <f>'3.3. Balance sheet'!N78</f>
        <v>0</v>
      </c>
      <c r="L258" s="537">
        <f>'3.3. Balance sheet'!O78</f>
        <v>0</v>
      </c>
      <c r="M258" s="537">
        <f>'3.3. Balance sheet'!P78</f>
        <v>0</v>
      </c>
      <c r="N258" s="531">
        <f t="shared" si="11"/>
        <v>0</v>
      </c>
    </row>
    <row r="259" spans="4:17" ht="12" hidden="1" customHeight="1" outlineLevel="1" x14ac:dyDescent="0.25">
      <c r="D259" s="536" t="s">
        <v>392</v>
      </c>
      <c r="E259" s="511"/>
      <c r="F259" s="511"/>
      <c r="G259" s="511"/>
      <c r="H259" s="511"/>
      <c r="I259" s="511"/>
      <c r="J259" s="537">
        <f>'3.3. Balance sheet'!M79</f>
        <v>7.9671644943073385</v>
      </c>
      <c r="K259" s="537">
        <f>'3.3. Balance sheet'!N79</f>
        <v>1.9181244943073388</v>
      </c>
      <c r="L259" s="537">
        <f>'3.3. Balance sheet'!O79</f>
        <v>0</v>
      </c>
      <c r="M259" s="537">
        <f>'3.3. Balance sheet'!P79</f>
        <v>0</v>
      </c>
      <c r="N259" s="531">
        <f t="shared" si="11"/>
        <v>-1</v>
      </c>
    </row>
    <row r="260" spans="4:17" ht="12" customHeight="1" x14ac:dyDescent="0.25">
      <c r="D260" s="548" t="s">
        <v>65</v>
      </c>
      <c r="E260" s="549"/>
      <c r="F260" s="549"/>
      <c r="G260" s="549"/>
      <c r="H260" s="549"/>
      <c r="I260" s="549"/>
      <c r="J260" s="550">
        <f ca="1">'3.3. Balance sheet'!M80</f>
        <v>5671.9698621428088</v>
      </c>
      <c r="K260" s="550">
        <f ca="1">'3.3. Balance sheet'!N80</f>
        <v>5548.3785932958317</v>
      </c>
      <c r="L260" s="550">
        <f ca="1">'3.3. Balance sheet'!O80</f>
        <v>5836.3883243039008</v>
      </c>
      <c r="M260" s="550">
        <f ca="1">'3.3. Balance sheet'!P80</f>
        <v>6066.984220714794</v>
      </c>
      <c r="N260" s="560">
        <f t="shared" ca="1" si="11"/>
        <v>1.4390405209408152E-2</v>
      </c>
    </row>
    <row r="261" spans="4:17" ht="12" customHeight="1" thickBot="1" x14ac:dyDescent="0.3">
      <c r="D261" s="552" t="s">
        <v>64</v>
      </c>
      <c r="E261" s="553"/>
      <c r="F261" s="553"/>
      <c r="G261" s="553"/>
      <c r="H261" s="553"/>
      <c r="I261" s="553"/>
      <c r="J261" s="554">
        <f ca="1">'3.3. Balance sheet'!M81</f>
        <v>7468.0491348334126</v>
      </c>
      <c r="K261" s="554">
        <f ca="1">'3.3. Balance sheet'!N81</f>
        <v>8020.2534430754276</v>
      </c>
      <c r="L261" s="554">
        <f ca="1">'3.3. Balance sheet'!O81</f>
        <v>9028.4331835472312</v>
      </c>
      <c r="M261" s="554">
        <f ca="1">'3.3. Balance sheet'!P81</f>
        <v>10016.970277006001</v>
      </c>
      <c r="N261" s="561">
        <f t="shared" ca="1" si="11"/>
        <v>9.9518676796157113E-2</v>
      </c>
    </row>
    <row r="264" spans="4:17" ht="19.2" customHeight="1" x14ac:dyDescent="0.25">
      <c r="D264" s="515" t="s">
        <v>413</v>
      </c>
      <c r="E264" s="513"/>
      <c r="F264" s="513"/>
      <c r="G264" s="513"/>
      <c r="H264" s="513"/>
      <c r="I264" s="513"/>
      <c r="J264" s="513"/>
      <c r="K264" s="513"/>
      <c r="L264" s="513"/>
      <c r="M264" s="513"/>
      <c r="N264" s="513"/>
      <c r="O264" s="513"/>
      <c r="P264" s="513"/>
      <c r="Q264" s="513"/>
    </row>
    <row r="265" spans="4:17" ht="21.6" customHeight="1" x14ac:dyDescent="0.2">
      <c r="D265" s="517" t="s">
        <v>385</v>
      </c>
      <c r="E265" s="539"/>
      <c r="F265" s="539"/>
      <c r="G265" s="539"/>
      <c r="H265" s="539"/>
      <c r="I265" s="539"/>
      <c r="J265" s="539" t="s">
        <v>381</v>
      </c>
      <c r="K265" s="539" t="s">
        <v>382</v>
      </c>
      <c r="L265" s="539" t="s">
        <v>383</v>
      </c>
      <c r="M265" s="539" t="s">
        <v>404</v>
      </c>
      <c r="N265" s="539" t="s">
        <v>405</v>
      </c>
      <c r="O265" s="539" t="s">
        <v>406</v>
      </c>
      <c r="P265" s="539" t="s">
        <v>407</v>
      </c>
      <c r="Q265" s="535" t="s">
        <v>414</v>
      </c>
    </row>
    <row r="266" spans="4:17" ht="12" customHeight="1" x14ac:dyDescent="0.25">
      <c r="D266" s="564" t="s">
        <v>415</v>
      </c>
      <c r="E266" s="565"/>
      <c r="F266" s="565"/>
      <c r="G266" s="565"/>
      <c r="H266" s="565"/>
      <c r="I266" s="565"/>
      <c r="J266" s="566">
        <f>'3.1. Income Statement'!J17</f>
        <v>5386.1701166829962</v>
      </c>
      <c r="K266" s="566">
        <f>'3.1. Income Statement'!K17</f>
        <v>9637.6317046474451</v>
      </c>
      <c r="L266" s="566">
        <f>'3.1. Income Statement'!L17</f>
        <v>8153.0268228215327</v>
      </c>
      <c r="M266" s="566">
        <f>'3.1. Income Statement'!M17</f>
        <v>11971.870474518897</v>
      </c>
      <c r="N266" s="566">
        <f ca="1">'3.1. Income Statement'!N17</f>
        <v>12567.101456487944</v>
      </c>
      <c r="O266" s="566">
        <f ca="1">'3.1. Income Statement'!O17</f>
        <v>13195.45652931234</v>
      </c>
      <c r="P266" s="566">
        <f ca="1">'3.1. Income Statement'!P17</f>
        <v>13855.229355777958</v>
      </c>
      <c r="Q266" s="531">
        <f ca="1">IF(ISERROR((($P266/$J266)^(1/($P$3-$J$3))-1)),0,(($P266/$J266)^(1/($P$3-$J$3))-1))</f>
        <v>0.1705472317253991</v>
      </c>
    </row>
    <row r="267" spans="4:17" ht="12" customHeight="1" x14ac:dyDescent="0.25">
      <c r="D267" s="522" t="s">
        <v>416</v>
      </c>
      <c r="E267" s="511"/>
      <c r="F267" s="511"/>
      <c r="G267" s="511"/>
      <c r="H267" s="511"/>
      <c r="I267" s="511"/>
      <c r="J267" s="537">
        <f>'3.1. Income Statement'!J10</f>
        <v>3581.311171728868</v>
      </c>
      <c r="K267" s="537">
        <f>'3.1. Income Statement'!K10</f>
        <v>8365.4754405551539</v>
      </c>
      <c r="L267" s="537">
        <f>'3.1. Income Statement'!L10</f>
        <v>6263.9606425271304</v>
      </c>
      <c r="M267" s="537">
        <f>'3.1. Income Statement'!M10</f>
        <v>9801.1922500000001</v>
      </c>
      <c r="N267" s="537">
        <f>'3.1. Income Statement'!N10</f>
        <v>10291.251862500001</v>
      </c>
      <c r="O267" s="537">
        <f>'3.1. Income Statement'!O10</f>
        <v>10805.814455625001</v>
      </c>
      <c r="P267" s="537">
        <f>'3.1. Income Statement'!P10</f>
        <v>11346.105178406251</v>
      </c>
      <c r="Q267" s="531">
        <f t="shared" ref="Q267:Q270" si="12">IF(ISERROR((($P267/$J267)^(1/($P$3-$J$3))-1)),0,(($P267/$J267)^(1/($P$3-$J$3))-1))</f>
        <v>0.21190187653739634</v>
      </c>
    </row>
    <row r="268" spans="4:17" ht="12" customHeight="1" x14ac:dyDescent="0.25">
      <c r="D268" s="523" t="s">
        <v>57</v>
      </c>
      <c r="E268" s="524"/>
      <c r="F268" s="524"/>
      <c r="G268" s="524"/>
      <c r="H268" s="524"/>
      <c r="I268" s="524"/>
      <c r="J268" s="559">
        <f>'3.1. Income Statement'!J38</f>
        <v>383.00553353522719</v>
      </c>
      <c r="K268" s="559">
        <f>'3.1. Income Statement'!K38</f>
        <v>619.71054705457209</v>
      </c>
      <c r="L268" s="559">
        <f>'3.1. Income Statement'!L38</f>
        <v>673.23358332438056</v>
      </c>
      <c r="M268" s="559">
        <f>'3.1. Income Statement'!M38</f>
        <v>798.88783813948066</v>
      </c>
      <c r="N268" s="559">
        <f ca="1">'3.1. Income Statement'!N38</f>
        <v>817.39978033496845</v>
      </c>
      <c r="O268" s="559">
        <f ca="1">'3.1. Income Statement'!O38</f>
        <v>858.26976935171842</v>
      </c>
      <c r="P268" s="559">
        <f ca="1">'3.1. Income Statement'!P38</f>
        <v>901.18325781930253</v>
      </c>
      <c r="Q268" s="531">
        <f t="shared" ca="1" si="12"/>
        <v>0.1532797798076222</v>
      </c>
    </row>
    <row r="269" spans="4:17" ht="12" customHeight="1" x14ac:dyDescent="0.25">
      <c r="D269" s="528" t="str">
        <f>D166</f>
        <v>EBITDA mg (%)</v>
      </c>
      <c r="E269" s="511"/>
      <c r="F269" s="511"/>
      <c r="G269" s="511"/>
      <c r="H269" s="511"/>
      <c r="I269" s="511"/>
      <c r="J269" s="530">
        <f>'3.1. Income Statement'!J39</f>
        <v>7.1109067340616464E-2</v>
      </c>
      <c r="K269" s="530">
        <f>'3.1. Income Statement'!K39</f>
        <v>6.4301123558782203E-2</v>
      </c>
      <c r="L269" s="530">
        <f>'3.1. Income Statement'!L39</f>
        <v>8.2574680294182259E-2</v>
      </c>
      <c r="M269" s="530">
        <f>'3.1. Income Statement'!M39</f>
        <v>6.6730411078189084E-2</v>
      </c>
      <c r="N269" s="530">
        <f ca="1">'3.1. Income Statement'!N39</f>
        <v>6.5042824963665286E-2</v>
      </c>
      <c r="O269" s="530">
        <f ca="1">'3.1. Income Statement'!O39</f>
        <v>6.504282496366541E-2</v>
      </c>
      <c r="P269" s="530">
        <f ca="1">'3.1. Income Statement'!P39</f>
        <v>6.5042824963665272E-2</v>
      </c>
      <c r="Q269" s="531">
        <f t="shared" ca="1" si="12"/>
        <v>-1.4751606299836739E-2</v>
      </c>
    </row>
    <row r="270" spans="4:17" ht="13.8" thickBot="1" x14ac:dyDescent="0.3">
      <c r="D270" s="521" t="s">
        <v>417</v>
      </c>
      <c r="E270" s="512"/>
      <c r="F270" s="512"/>
      <c r="G270" s="512"/>
      <c r="H270" s="512"/>
      <c r="I270" s="512"/>
      <c r="J270" s="567">
        <f>'3.3. Balance sheet'!J79+'3.3. Balance sheet'!J66</f>
        <v>89.418660676928496</v>
      </c>
      <c r="K270" s="567">
        <f>'3.3. Balance sheet'!K79+'3.3. Balance sheet'!K66</f>
        <v>77.397856085155695</v>
      </c>
      <c r="L270" s="567">
        <f>'3.3. Balance sheet'!L79+'3.3. Balance sheet'!L66</f>
        <v>51.59541156542808</v>
      </c>
      <c r="M270" s="567">
        <f>'3.3. Balance sheet'!M79+'3.3. Balance sheet'!M66</f>
        <v>71.32924213805488</v>
      </c>
      <c r="N270" s="567">
        <f>'3.3. Balance sheet'!N79+'3.3. Balance sheet'!N66</f>
        <v>65.280202138054889</v>
      </c>
      <c r="O270" s="567">
        <f>'3.3. Balance sheet'!O79+'3.3. Balance sheet'!O66</f>
        <v>63.362077643747547</v>
      </c>
      <c r="P270" s="567">
        <f>'3.3. Balance sheet'!P79+'3.3. Balance sheet'!P66</f>
        <v>63.362077643747547</v>
      </c>
      <c r="Q270" s="534">
        <f t="shared" si="12"/>
        <v>-5.5793741431271138E-2</v>
      </c>
    </row>
    <row r="273" spans="4:17" ht="19.2" customHeight="1" x14ac:dyDescent="0.25">
      <c r="D273" s="515" t="s">
        <v>418</v>
      </c>
      <c r="E273" s="513"/>
      <c r="F273" s="513"/>
      <c r="G273" s="513"/>
      <c r="H273" s="513"/>
      <c r="I273" s="513"/>
      <c r="J273" s="513"/>
      <c r="K273" s="513"/>
      <c r="L273" s="513"/>
      <c r="M273" s="513"/>
      <c r="N273" s="513"/>
      <c r="O273" s="513"/>
      <c r="P273" s="513"/>
      <c r="Q273" s="513"/>
    </row>
    <row r="274" spans="4:17" ht="13.2" x14ac:dyDescent="0.2">
      <c r="D274" s="517"/>
      <c r="E274" s="539"/>
      <c r="F274" s="539"/>
      <c r="G274" s="539"/>
      <c r="H274" s="539"/>
      <c r="I274" s="539"/>
      <c r="J274" s="539" t="s">
        <v>381</v>
      </c>
      <c r="K274" s="539" t="s">
        <v>382</v>
      </c>
      <c r="L274" s="539" t="s">
        <v>383</v>
      </c>
      <c r="M274" s="539" t="s">
        <v>404</v>
      </c>
      <c r="N274" s="539" t="s">
        <v>405</v>
      </c>
      <c r="O274" s="539" t="s">
        <v>406</v>
      </c>
      <c r="P274" s="539" t="s">
        <v>407</v>
      </c>
      <c r="Q274" s="535" t="s">
        <v>414</v>
      </c>
    </row>
    <row r="275" spans="4:17" ht="13.2" x14ac:dyDescent="0.25">
      <c r="D275" s="572" t="s">
        <v>682</v>
      </c>
      <c r="E275" s="568"/>
      <c r="F275" s="568"/>
      <c r="G275" s="568"/>
      <c r="H275" s="568"/>
      <c r="I275" s="568"/>
      <c r="J275" s="603" t="e">
        <f>SUM(J276:J284)</f>
        <v>#REF!</v>
      </c>
      <c r="K275" s="603" t="e">
        <f t="shared" ref="K275:P275" si="13">SUM(K276:K284)</f>
        <v>#REF!</v>
      </c>
      <c r="L275" s="603" t="e">
        <f t="shared" si="13"/>
        <v>#REF!</v>
      </c>
      <c r="M275" s="603" t="e">
        <f t="shared" si="13"/>
        <v>#REF!</v>
      </c>
      <c r="N275" s="603" t="e">
        <f t="shared" si="13"/>
        <v>#REF!</v>
      </c>
      <c r="O275" s="603" t="e">
        <f t="shared" si="13"/>
        <v>#REF!</v>
      </c>
      <c r="P275" s="603" t="e">
        <f t="shared" si="13"/>
        <v>#REF!</v>
      </c>
      <c r="Q275" s="582">
        <f t="shared" ref="Q275" si="14">IF(ISERROR((($P275/$J275)^(1/($P$3-$J$3))-1)),0,(($P275/$J275)^(1/($P$3-$J$3))-1))</f>
        <v>0</v>
      </c>
    </row>
    <row r="276" spans="4:17" ht="12" customHeight="1" x14ac:dyDescent="0.25">
      <c r="D276" s="573" t="e">
        <f>'1.5 Assumptions book'!#REF!</f>
        <v>#REF!</v>
      </c>
      <c r="E276" s="571"/>
      <c r="F276" s="571"/>
      <c r="G276" s="571"/>
      <c r="H276" s="571"/>
      <c r="I276" s="571"/>
      <c r="J276" s="604" t="e">
        <f>'1.5 Assumptions book'!#REF!</f>
        <v>#REF!</v>
      </c>
      <c r="K276" s="604" t="e">
        <f>'1.5 Assumptions book'!#REF!</f>
        <v>#REF!</v>
      </c>
      <c r="L276" s="604" t="e">
        <f>'1.5 Assumptions book'!#REF!</f>
        <v>#REF!</v>
      </c>
      <c r="M276" s="604" t="e">
        <f>'1.5 Assumptions book'!#REF!</f>
        <v>#REF!</v>
      </c>
      <c r="N276" s="604" t="e">
        <f>'1.5 Assumptions book'!#REF!</f>
        <v>#REF!</v>
      </c>
      <c r="O276" s="604" t="e">
        <f>'1.5 Assumptions book'!#REF!</f>
        <v>#REF!</v>
      </c>
      <c r="P276" s="604" t="e">
        <f>'1.5 Assumptions book'!#REF!</f>
        <v>#REF!</v>
      </c>
      <c r="Q276" s="569"/>
    </row>
    <row r="277" spans="4:17" ht="12" customHeight="1" x14ac:dyDescent="0.25">
      <c r="D277" s="573" t="e">
        <f>'1.5 Assumptions book'!#REF!</f>
        <v>#REF!</v>
      </c>
      <c r="E277" s="571"/>
      <c r="F277" s="571"/>
      <c r="G277" s="571"/>
      <c r="H277" s="571"/>
      <c r="I277" s="571"/>
      <c r="J277" s="604" t="e">
        <f>'1.5 Assumptions book'!#REF!</f>
        <v>#REF!</v>
      </c>
      <c r="K277" s="604" t="e">
        <f>'1.5 Assumptions book'!#REF!</f>
        <v>#REF!</v>
      </c>
      <c r="L277" s="604" t="e">
        <f>'1.5 Assumptions book'!#REF!</f>
        <v>#REF!</v>
      </c>
      <c r="M277" s="604" t="e">
        <f>'1.5 Assumptions book'!#REF!</f>
        <v>#REF!</v>
      </c>
      <c r="N277" s="604" t="e">
        <f>'1.5 Assumptions book'!#REF!</f>
        <v>#REF!</v>
      </c>
      <c r="O277" s="604" t="e">
        <f>'1.5 Assumptions book'!#REF!</f>
        <v>#REF!</v>
      </c>
      <c r="P277" s="604" t="e">
        <f>'1.5 Assumptions book'!#REF!</f>
        <v>#REF!</v>
      </c>
      <c r="Q277" s="569"/>
    </row>
    <row r="278" spans="4:17" ht="12" customHeight="1" x14ac:dyDescent="0.25">
      <c r="D278" s="573" t="e">
        <f>'1.5 Assumptions book'!#REF!</f>
        <v>#REF!</v>
      </c>
      <c r="E278" s="571"/>
      <c r="F278" s="571"/>
      <c r="G278" s="571"/>
      <c r="H278" s="571"/>
      <c r="I278" s="571"/>
      <c r="J278" s="604" t="e">
        <f>'1.5 Assumptions book'!#REF!</f>
        <v>#REF!</v>
      </c>
      <c r="K278" s="604" t="e">
        <f>'1.5 Assumptions book'!#REF!</f>
        <v>#REF!</v>
      </c>
      <c r="L278" s="604" t="e">
        <f>'1.5 Assumptions book'!#REF!</f>
        <v>#REF!</v>
      </c>
      <c r="M278" s="604" t="e">
        <f>'1.5 Assumptions book'!#REF!</f>
        <v>#REF!</v>
      </c>
      <c r="N278" s="604" t="e">
        <f>'1.5 Assumptions book'!#REF!</f>
        <v>#REF!</v>
      </c>
      <c r="O278" s="604" t="e">
        <f>'1.5 Assumptions book'!#REF!</f>
        <v>#REF!</v>
      </c>
      <c r="P278" s="604" t="e">
        <f>'1.5 Assumptions book'!#REF!</f>
        <v>#REF!</v>
      </c>
      <c r="Q278" s="569"/>
    </row>
    <row r="279" spans="4:17" ht="12" customHeight="1" x14ac:dyDescent="0.25">
      <c r="D279" s="573" t="e">
        <f>'1.5 Assumptions book'!#REF!</f>
        <v>#REF!</v>
      </c>
      <c r="E279" s="506"/>
      <c r="F279" s="509"/>
      <c r="G279" s="509"/>
      <c r="H279" s="574"/>
      <c r="I279" s="509"/>
      <c r="J279" s="604" t="e">
        <f>'1.5 Assumptions book'!#REF!</f>
        <v>#REF!</v>
      </c>
      <c r="K279" s="604" t="e">
        <f>'1.5 Assumptions book'!#REF!</f>
        <v>#REF!</v>
      </c>
      <c r="L279" s="604" t="e">
        <f>'1.5 Assumptions book'!#REF!</f>
        <v>#REF!</v>
      </c>
      <c r="M279" s="604" t="e">
        <f>'1.5 Assumptions book'!#REF!</f>
        <v>#REF!</v>
      </c>
      <c r="N279" s="604" t="e">
        <f>'1.5 Assumptions book'!#REF!</f>
        <v>#REF!</v>
      </c>
      <c r="O279" s="604" t="e">
        <f>'1.5 Assumptions book'!#REF!</f>
        <v>#REF!</v>
      </c>
      <c r="P279" s="604" t="e">
        <f>'1.5 Assumptions book'!#REF!</f>
        <v>#REF!</v>
      </c>
      <c r="Q279" s="569"/>
    </row>
    <row r="280" spans="4:17" ht="12" customHeight="1" x14ac:dyDescent="0.25">
      <c r="D280" s="573" t="e">
        <f>'1.5 Assumptions book'!#REF!</f>
        <v>#REF!</v>
      </c>
      <c r="E280" s="506"/>
      <c r="F280" s="509"/>
      <c r="G280" s="509"/>
      <c r="H280" s="574"/>
      <c r="I280" s="509"/>
      <c r="J280" s="604" t="e">
        <f>'1.5 Assumptions book'!#REF!</f>
        <v>#REF!</v>
      </c>
      <c r="K280" s="604" t="e">
        <f>'1.5 Assumptions book'!#REF!</f>
        <v>#REF!</v>
      </c>
      <c r="L280" s="604" t="e">
        <f>'1.5 Assumptions book'!#REF!</f>
        <v>#REF!</v>
      </c>
      <c r="M280" s="604" t="e">
        <f>'1.5 Assumptions book'!#REF!</f>
        <v>#REF!</v>
      </c>
      <c r="N280" s="604" t="e">
        <f>'1.5 Assumptions book'!#REF!</f>
        <v>#REF!</v>
      </c>
      <c r="O280" s="604" t="e">
        <f>'1.5 Assumptions book'!#REF!</f>
        <v>#REF!</v>
      </c>
      <c r="P280" s="604" t="e">
        <f>'1.5 Assumptions book'!#REF!</f>
        <v>#REF!</v>
      </c>
      <c r="Q280" s="569"/>
    </row>
    <row r="281" spans="4:17" ht="12" customHeight="1" x14ac:dyDescent="0.25">
      <c r="D281" s="573" t="e">
        <f>'1.5 Assumptions book'!#REF!</f>
        <v>#REF!</v>
      </c>
      <c r="E281" s="506"/>
      <c r="F281" s="509"/>
      <c r="G281" s="509"/>
      <c r="H281" s="574"/>
      <c r="I281" s="509"/>
      <c r="J281" s="605"/>
      <c r="K281" s="605"/>
      <c r="L281" s="605"/>
      <c r="M281" s="604" t="e">
        <f>'1.5 Assumptions book'!#REF!</f>
        <v>#REF!</v>
      </c>
      <c r="N281" s="604" t="e">
        <f>'1.5 Assumptions book'!#REF!</f>
        <v>#REF!</v>
      </c>
      <c r="O281" s="604" t="e">
        <f>'1.5 Assumptions book'!#REF!</f>
        <v>#REF!</v>
      </c>
      <c r="P281" s="604" t="e">
        <f>'1.5 Assumptions book'!#REF!</f>
        <v>#REF!</v>
      </c>
      <c r="Q281" s="569"/>
    </row>
    <row r="282" spans="4:17" ht="12" customHeight="1" x14ac:dyDescent="0.25">
      <c r="D282" s="573" t="e">
        <f>'1.5 Assumptions book'!#REF!</f>
        <v>#REF!</v>
      </c>
      <c r="E282" s="506"/>
      <c r="F282" s="509"/>
      <c r="G282" s="509"/>
      <c r="H282" s="574"/>
      <c r="I282" s="509"/>
      <c r="J282" s="605"/>
      <c r="K282" s="605"/>
      <c r="L282" s="605"/>
      <c r="M282" s="604"/>
      <c r="N282" s="604" t="e">
        <f>'1.5 Assumptions book'!#REF!</f>
        <v>#REF!</v>
      </c>
      <c r="O282" s="604" t="e">
        <f>'1.5 Assumptions book'!#REF!</f>
        <v>#REF!</v>
      </c>
      <c r="P282" s="604" t="e">
        <f>'1.5 Assumptions book'!#REF!</f>
        <v>#REF!</v>
      </c>
      <c r="Q282" s="569"/>
    </row>
    <row r="283" spans="4:17" ht="12" customHeight="1" x14ac:dyDescent="0.25">
      <c r="D283" s="573" t="e">
        <f>'1.5 Assumptions book'!#REF!</f>
        <v>#REF!</v>
      </c>
      <c r="E283" s="506"/>
      <c r="F283" s="509"/>
      <c r="G283" s="509"/>
      <c r="H283" s="574"/>
      <c r="I283" s="509"/>
      <c r="J283" s="605"/>
      <c r="K283" s="605"/>
      <c r="L283" s="605"/>
      <c r="M283" s="604"/>
      <c r="N283" s="604"/>
      <c r="O283" s="604" t="e">
        <f>'1.5 Assumptions book'!#REF!</f>
        <v>#REF!</v>
      </c>
      <c r="P283" s="604" t="e">
        <f>'1.5 Assumptions book'!#REF!</f>
        <v>#REF!</v>
      </c>
      <c r="Q283" s="569"/>
    </row>
    <row r="284" spans="4:17" ht="12" customHeight="1" x14ac:dyDescent="0.25">
      <c r="D284" s="573" t="e">
        <f>'1.5 Assumptions book'!#REF!</f>
        <v>#REF!</v>
      </c>
      <c r="E284" s="506"/>
      <c r="F284" s="509"/>
      <c r="G284" s="509"/>
      <c r="H284" s="574"/>
      <c r="I284" s="509"/>
      <c r="J284" s="605"/>
      <c r="K284" s="605"/>
      <c r="L284" s="605"/>
      <c r="M284" s="604"/>
      <c r="N284" s="604" t="e">
        <f>'1.5 Assumptions book'!#REF!</f>
        <v>#REF!</v>
      </c>
      <c r="O284" s="604" t="e">
        <f>'1.5 Assumptions book'!#REF!</f>
        <v>#REF!</v>
      </c>
      <c r="P284" s="604" t="e">
        <f>'1.5 Assumptions book'!#REF!</f>
        <v>#REF!</v>
      </c>
      <c r="Q284" s="569"/>
    </row>
    <row r="285" spans="4:17" ht="3" customHeight="1" x14ac:dyDescent="0.25">
      <c r="D285" s="570"/>
      <c r="E285" s="506"/>
      <c r="F285" s="509"/>
      <c r="G285" s="509"/>
      <c r="H285" s="574"/>
      <c r="I285" s="509"/>
      <c r="J285" s="510"/>
      <c r="K285" s="510"/>
      <c r="L285" s="510"/>
      <c r="M285" s="510"/>
      <c r="N285" s="575"/>
      <c r="O285" s="575"/>
      <c r="P285" s="575"/>
      <c r="Q285" s="569"/>
    </row>
    <row r="286" spans="4:17" ht="12" customHeight="1" thickBot="1" x14ac:dyDescent="0.3">
      <c r="D286" s="576" t="s">
        <v>419</v>
      </c>
      <c r="E286" s="577"/>
      <c r="F286" s="578"/>
      <c r="G286" s="578"/>
      <c r="H286" s="579"/>
      <c r="I286" s="578"/>
      <c r="J286" s="580" t="e">
        <f>'1.5 Assumptions book'!#REF!</f>
        <v>#REF!</v>
      </c>
      <c r="K286" s="580" t="e">
        <f>'1.5 Assumptions book'!#REF!</f>
        <v>#REF!</v>
      </c>
      <c r="L286" s="580" t="e">
        <f>'1.5 Assumptions book'!#REF!</f>
        <v>#REF!</v>
      </c>
      <c r="M286" s="580" t="e">
        <f>'1.5 Assumptions book'!#REF!</f>
        <v>#REF!</v>
      </c>
      <c r="N286" s="580" t="e">
        <f>'1.5 Assumptions book'!#REF!</f>
        <v>#REF!</v>
      </c>
      <c r="O286" s="580" t="e">
        <f>'1.5 Assumptions book'!#REF!</f>
        <v>#REF!</v>
      </c>
      <c r="P286" s="580" t="e">
        <f>'1.5 Assumptions book'!#REF!</f>
        <v>#REF!</v>
      </c>
      <c r="Q286" s="581">
        <f t="shared" ref="Q286" si="15">IF(ISERROR((($P286/$J286)^(1/($P$3-$J$3))-1)),0,(($P286/$J286)^(1/($P$3-$J$3))-1))</f>
        <v>0</v>
      </c>
    </row>
    <row r="289" spans="4:16" ht="12" customHeight="1" x14ac:dyDescent="0.2">
      <c r="J289" s="562" t="str">
        <f>J274</f>
        <v>2014a</v>
      </c>
      <c r="K289" s="562" t="str">
        <f t="shared" ref="K289:P289" si="16">K274</f>
        <v>2015a</v>
      </c>
      <c r="L289" s="562" t="str">
        <f t="shared" si="16"/>
        <v>2016a</v>
      </c>
      <c r="M289" s="562" t="str">
        <f t="shared" si="16"/>
        <v>2017e</v>
      </c>
      <c r="N289" s="562" t="str">
        <f t="shared" si="16"/>
        <v>2018f</v>
      </c>
      <c r="O289" s="562" t="str">
        <f t="shared" si="16"/>
        <v>2019f</v>
      </c>
      <c r="P289" s="562" t="str">
        <f t="shared" si="16"/>
        <v>2020f</v>
      </c>
    </row>
    <row r="290" spans="4:16" ht="12" customHeight="1" x14ac:dyDescent="0.25">
      <c r="D290" s="583" t="str">
        <f>D275</f>
        <v>Maximum installed capacity (kg/ h)</v>
      </c>
      <c r="J290" s="571" t="e">
        <f>J275</f>
        <v>#REF!</v>
      </c>
      <c r="K290" s="571" t="e">
        <f t="shared" ref="K290:P290" si="17">K275</f>
        <v>#REF!</v>
      </c>
      <c r="L290" s="571" t="e">
        <f t="shared" si="17"/>
        <v>#REF!</v>
      </c>
      <c r="M290" s="571" t="e">
        <f t="shared" si="17"/>
        <v>#REF!</v>
      </c>
      <c r="N290" s="571" t="e">
        <f t="shared" si="17"/>
        <v>#REF!</v>
      </c>
      <c r="O290" s="571" t="e">
        <f t="shared" si="17"/>
        <v>#REF!</v>
      </c>
      <c r="P290" s="571" t="e">
        <f t="shared" si="17"/>
        <v>#REF!</v>
      </c>
    </row>
    <row r="291" spans="4:16" ht="12" customHeight="1" x14ac:dyDescent="0.25">
      <c r="D291" s="583" t="str">
        <f>D165</f>
        <v>EBITDA</v>
      </c>
      <c r="J291" s="571">
        <f>J268</f>
        <v>383.00553353522719</v>
      </c>
      <c r="K291" s="571">
        <f t="shared" ref="K291:P291" si="18">K268</f>
        <v>619.71054705457209</v>
      </c>
      <c r="L291" s="571">
        <f t="shared" si="18"/>
        <v>673.23358332438056</v>
      </c>
      <c r="M291" s="571">
        <f t="shared" si="18"/>
        <v>798.88783813948066</v>
      </c>
      <c r="N291" s="571">
        <f t="shared" ca="1" si="18"/>
        <v>817.39978033496845</v>
      </c>
      <c r="O291" s="571">
        <f t="shared" ca="1" si="18"/>
        <v>858.26976935171842</v>
      </c>
      <c r="P291" s="571">
        <f t="shared" ca="1" si="18"/>
        <v>901.18325781930253</v>
      </c>
    </row>
    <row r="292" spans="4:16" ht="12" customHeight="1" x14ac:dyDescent="0.25">
      <c r="D292" s="583" t="str">
        <f>D267</f>
        <v>Sales</v>
      </c>
      <c r="J292" s="571">
        <f>J267</f>
        <v>3581.311171728868</v>
      </c>
      <c r="K292" s="571">
        <f t="shared" ref="K292:P292" si="19">K267</f>
        <v>8365.4754405551539</v>
      </c>
      <c r="L292" s="571">
        <f t="shared" si="19"/>
        <v>6263.9606425271304</v>
      </c>
      <c r="M292" s="571">
        <f t="shared" si="19"/>
        <v>9801.1922500000001</v>
      </c>
      <c r="N292" s="571">
        <f t="shared" si="19"/>
        <v>10291.251862500001</v>
      </c>
      <c r="O292" s="571">
        <f t="shared" si="19"/>
        <v>10805.814455625001</v>
      </c>
      <c r="P292" s="571">
        <f t="shared" si="19"/>
        <v>11346.105178406251</v>
      </c>
    </row>
    <row r="293" spans="4:16" ht="12" customHeight="1" x14ac:dyDescent="0.25">
      <c r="D293" s="583"/>
    </row>
    <row r="294" spans="4:16" ht="12" customHeight="1" x14ac:dyDescent="0.25">
      <c r="D294" s="583"/>
    </row>
    <row r="309" spans="4:16" ht="12" customHeight="1" x14ac:dyDescent="0.25">
      <c r="J309" s="583"/>
      <c r="K309" s="583"/>
      <c r="L309" s="583"/>
      <c r="M309" s="583"/>
      <c r="N309" s="583"/>
      <c r="O309" s="583"/>
      <c r="P309" s="583"/>
    </row>
    <row r="310" spans="4:16" ht="12" customHeight="1" x14ac:dyDescent="0.25">
      <c r="J310" s="587" t="str">
        <f>J137</f>
        <v>2017e</v>
      </c>
      <c r="K310" s="587" t="str">
        <f t="shared" ref="K310:M310" si="20">K137</f>
        <v>2018f</v>
      </c>
      <c r="L310" s="587" t="str">
        <f t="shared" si="20"/>
        <v>2019f</v>
      </c>
      <c r="M310" s="587" t="str">
        <f t="shared" si="20"/>
        <v>2020f</v>
      </c>
      <c r="N310" s="583"/>
      <c r="O310" s="583"/>
      <c r="P310" s="583"/>
    </row>
    <row r="311" spans="4:16" ht="12" customHeight="1" x14ac:dyDescent="0.25">
      <c r="D311" s="583" t="str">
        <f>D147</f>
        <v>Salaries, wages and related costs</v>
      </c>
      <c r="J311" s="584">
        <f>(J147)/1000</f>
        <v>0.24953682413476119</v>
      </c>
      <c r="K311" s="584">
        <f>(K147)/1000</f>
        <v>0.28008357329608535</v>
      </c>
      <c r="L311" s="584">
        <f>(L147)/1000</f>
        <v>0.29408775196088971</v>
      </c>
      <c r="M311" s="584">
        <f>(M147)/1000</f>
        <v>0.3087921395589342</v>
      </c>
      <c r="N311" s="584"/>
    </row>
    <row r="312" spans="4:16" ht="12" customHeight="1" x14ac:dyDescent="0.25">
      <c r="D312" s="583" t="str">
        <f>D152</f>
        <v>Raw materials</v>
      </c>
      <c r="J312" s="584">
        <f t="shared" ref="J312:M313" si="21">(J152)/1000</f>
        <v>6.9087134053006185</v>
      </c>
      <c r="K312" s="584">
        <f t="shared" si="21"/>
        <v>7.2541490755656497</v>
      </c>
      <c r="L312" s="584">
        <f t="shared" si="21"/>
        <v>7.6168565293439316</v>
      </c>
      <c r="M312" s="584">
        <f t="shared" si="21"/>
        <v>7.997699355811128</v>
      </c>
      <c r="N312" s="584"/>
    </row>
    <row r="313" spans="4:16" ht="12" customHeight="1" x14ac:dyDescent="0.25">
      <c r="D313" s="583" t="str">
        <f>D153</f>
        <v>Consumables</v>
      </c>
      <c r="J313" s="584">
        <f t="shared" si="21"/>
        <v>0.18632005414109615</v>
      </c>
      <c r="K313" s="584">
        <f t="shared" si="21"/>
        <v>0.19563605684815097</v>
      </c>
      <c r="L313" s="584">
        <f t="shared" si="21"/>
        <v>0.20541785969055848</v>
      </c>
      <c r="M313" s="584">
        <f t="shared" si="21"/>
        <v>0.21568875267508641</v>
      </c>
      <c r="N313" s="584"/>
    </row>
    <row r="314" spans="4:16" ht="12" customHeight="1" x14ac:dyDescent="0.25">
      <c r="D314" s="583" t="s">
        <v>40</v>
      </c>
      <c r="J314" s="584">
        <f>(J163-J147-J152-J153)/1000</f>
        <v>3.8284123528029412</v>
      </c>
      <c r="K314" s="584">
        <f t="shared" ref="K314:M314" si="22">(K163-K147-K152-K153)/1000</f>
        <v>4.0198329704430895</v>
      </c>
      <c r="L314" s="584">
        <f t="shared" si="22"/>
        <v>4.2208246189652421</v>
      </c>
      <c r="M314" s="584">
        <f t="shared" si="22"/>
        <v>4.431865849913506</v>
      </c>
      <c r="N314" s="584"/>
    </row>
    <row r="315" spans="4:16" ht="12" customHeight="1" x14ac:dyDescent="0.25">
      <c r="D315" s="583"/>
    </row>
    <row r="316" spans="4:16" ht="12" customHeight="1" x14ac:dyDescent="0.25">
      <c r="D316" s="583"/>
      <c r="J316" s="586" t="str">
        <f>J310</f>
        <v>2017e</v>
      </c>
      <c r="K316" s="586" t="str">
        <f t="shared" ref="K316:M316" si="23">K310</f>
        <v>2018f</v>
      </c>
      <c r="L316" s="586" t="str">
        <f t="shared" si="23"/>
        <v>2019f</v>
      </c>
      <c r="M316" s="586" t="str">
        <f t="shared" si="23"/>
        <v>2020f</v>
      </c>
    </row>
    <row r="317" spans="4:16" ht="12" customHeight="1" x14ac:dyDescent="0.25">
      <c r="D317" s="583" t="str">
        <f>D165</f>
        <v>EBITDA</v>
      </c>
      <c r="J317" s="584">
        <f>(J165)/1000</f>
        <v>0.79888783813948061</v>
      </c>
      <c r="K317" s="584">
        <f ca="1">(K165)/1000</f>
        <v>0.81739978033496841</v>
      </c>
      <c r="L317" s="584">
        <f ca="1">(L165)/1000</f>
        <v>0.85826976935171839</v>
      </c>
      <c r="M317" s="584">
        <f ca="1">(M165)/1000</f>
        <v>0.90118325781930253</v>
      </c>
    </row>
    <row r="318" spans="4:16" ht="12" customHeight="1" x14ac:dyDescent="0.25">
      <c r="D318" s="583" t="str">
        <f>D169</f>
        <v>EBIT</v>
      </c>
      <c r="J318" s="584">
        <f ca="1">(J169)/1000</f>
        <v>0.76413027901514263</v>
      </c>
      <c r="K318" s="584">
        <f ca="1">(K169)/1000</f>
        <v>0.80321810202831745</v>
      </c>
      <c r="L318" s="584">
        <f ca="1">(L169)/1000</f>
        <v>0.85578057627124138</v>
      </c>
      <c r="M318" s="584">
        <f ca="1">(M169)/1000</f>
        <v>0.90066803486883507</v>
      </c>
    </row>
    <row r="319" spans="4:16" ht="12" customHeight="1" x14ac:dyDescent="0.25">
      <c r="D319" s="583" t="str">
        <f>D166</f>
        <v>EBITDA mg (%)</v>
      </c>
      <c r="J319" s="588">
        <f t="shared" ref="J319:M319" si="24">J166</f>
        <v>6.6730411078189084E-2</v>
      </c>
      <c r="K319" s="588">
        <f t="shared" ca="1" si="24"/>
        <v>6.5042824963665286E-2</v>
      </c>
      <c r="L319" s="588">
        <f t="shared" ca="1" si="24"/>
        <v>6.504282496366541E-2</v>
      </c>
      <c r="M319" s="588">
        <f t="shared" ca="1" si="24"/>
        <v>6.5042824963665272E-2</v>
      </c>
    </row>
    <row r="320" spans="4:16" ht="12" customHeight="1" x14ac:dyDescent="0.25">
      <c r="D320" s="583" t="str">
        <f>D170</f>
        <v>EBIT mg (%)</v>
      </c>
      <c r="J320" s="588">
        <f t="shared" ref="J320:M320" ca="1" si="25">J170</f>
        <v>6.3827142186471911E-2</v>
      </c>
      <c r="K320" s="588">
        <f t="shared" ca="1" si="25"/>
        <v>6.3914348492320375E-2</v>
      </c>
      <c r="L320" s="588">
        <f t="shared" ca="1" si="25"/>
        <v>6.485418479991302E-2</v>
      </c>
      <c r="M320" s="588">
        <f t="shared" ca="1" si="25"/>
        <v>6.500563879104862E-2</v>
      </c>
    </row>
    <row r="345" spans="4:16" ht="12" customHeight="1" x14ac:dyDescent="0.25">
      <c r="J345" s="586" t="str">
        <f>J274</f>
        <v>2014a</v>
      </c>
      <c r="K345" s="586" t="str">
        <f t="shared" ref="K345:P345" si="26">K274</f>
        <v>2015a</v>
      </c>
      <c r="L345" s="586" t="str">
        <f t="shared" si="26"/>
        <v>2016a</v>
      </c>
      <c r="M345" s="586" t="str">
        <f t="shared" si="26"/>
        <v>2017e</v>
      </c>
      <c r="N345" s="586" t="str">
        <f t="shared" si="26"/>
        <v>2018f</v>
      </c>
      <c r="O345" s="586" t="str">
        <f t="shared" si="26"/>
        <v>2019f</v>
      </c>
      <c r="P345" s="586" t="str">
        <f t="shared" si="26"/>
        <v>2020f</v>
      </c>
    </row>
    <row r="346" spans="4:16" ht="12" customHeight="1" x14ac:dyDescent="0.25">
      <c r="D346" s="583" t="str">
        <f>D275</f>
        <v>Maximum installed capacity (kg/ h)</v>
      </c>
      <c r="J346" s="585" t="e">
        <f t="shared" ref="J346:M346" si="27">J275</f>
        <v>#REF!</v>
      </c>
      <c r="K346" s="585" t="e">
        <f t="shared" si="27"/>
        <v>#REF!</v>
      </c>
      <c r="L346" s="585" t="e">
        <f t="shared" si="27"/>
        <v>#REF!</v>
      </c>
      <c r="M346" s="585" t="e">
        <f t="shared" si="27"/>
        <v>#REF!</v>
      </c>
      <c r="N346" s="585" t="e">
        <f t="shared" ref="N346:P346" si="28">N275</f>
        <v>#REF!</v>
      </c>
      <c r="O346" s="585" t="e">
        <f t="shared" si="28"/>
        <v>#REF!</v>
      </c>
      <c r="P346" s="585" t="e">
        <f t="shared" si="28"/>
        <v>#REF!</v>
      </c>
    </row>
    <row r="347" spans="4:16" ht="12" customHeight="1" x14ac:dyDescent="0.25">
      <c r="D347" s="583" t="str">
        <f>D286</f>
        <v>Average price (EUR/ kg)</v>
      </c>
      <c r="J347" s="583" t="e">
        <f t="shared" ref="J347:M347" si="29">J286</f>
        <v>#REF!</v>
      </c>
      <c r="K347" s="583" t="e">
        <f t="shared" si="29"/>
        <v>#REF!</v>
      </c>
      <c r="L347" s="583" t="e">
        <f t="shared" si="29"/>
        <v>#REF!</v>
      </c>
      <c r="M347" s="583" t="e">
        <f t="shared" si="29"/>
        <v>#REF!</v>
      </c>
      <c r="N347" s="583" t="e">
        <f t="shared" ref="N347:P347" si="30">N286</f>
        <v>#REF!</v>
      </c>
      <c r="O347" s="583" t="e">
        <f t="shared" si="30"/>
        <v>#REF!</v>
      </c>
      <c r="P347" s="583" t="e">
        <f t="shared" si="30"/>
        <v>#REF!</v>
      </c>
    </row>
    <row r="368" spans="10:16" ht="12" customHeight="1" x14ac:dyDescent="0.25">
      <c r="J368" s="586" t="str">
        <f>J345</f>
        <v>2014a</v>
      </c>
      <c r="K368" s="586" t="str">
        <f t="shared" ref="K368:P368" si="31">K345</f>
        <v>2015a</v>
      </c>
      <c r="L368" s="586" t="str">
        <f t="shared" si="31"/>
        <v>2016a</v>
      </c>
      <c r="M368" s="586" t="str">
        <f t="shared" si="31"/>
        <v>2017e</v>
      </c>
      <c r="N368" s="586" t="str">
        <f t="shared" si="31"/>
        <v>2018f</v>
      </c>
      <c r="O368" s="586" t="str">
        <f t="shared" si="31"/>
        <v>2019f</v>
      </c>
      <c r="P368" s="586" t="str">
        <f t="shared" si="31"/>
        <v>2020f</v>
      </c>
    </row>
    <row r="369" spans="4:16" ht="12" customHeight="1" collapsed="1" x14ac:dyDescent="0.25">
      <c r="D369" s="583" t="s">
        <v>109</v>
      </c>
      <c r="J369" s="584">
        <f>('2.3. Working Capital'!J302)/1000</f>
        <v>0.83017515800136532</v>
      </c>
      <c r="K369" s="584">
        <f>('2.3. Working Capital'!K302)/1000</f>
        <v>0.88010040560551106</v>
      </c>
      <c r="L369" s="584">
        <f>('2.3. Working Capital'!L302)/1000</f>
        <v>0.81826755076223767</v>
      </c>
      <c r="M369" s="584">
        <f>('2.3. Working Capital'!M302)/1000</f>
        <v>1.4976596951428052</v>
      </c>
      <c r="N369" s="584">
        <f>('2.3. Working Capital'!N302)/1000</f>
        <v>1.5682461152007656</v>
      </c>
      <c r="O369" s="584">
        <f>('2.3. Working Capital'!O302)/1000</f>
        <v>1.6511698138949429</v>
      </c>
      <c r="P369" s="584">
        <f>('2.3. Working Capital'!P302)/1000</f>
        <v>1.7337283045896903</v>
      </c>
    </row>
    <row r="370" spans="4:16" ht="12" hidden="1" customHeight="1" outlineLevel="1" x14ac:dyDescent="0.25">
      <c r="D370" s="583" t="s">
        <v>280</v>
      </c>
      <c r="J370" s="606">
        <f>('2.3. Working Capital'!J303)/1000</f>
        <v>0.38007874303582839</v>
      </c>
      <c r="K370" s="606">
        <f>('2.3. Working Capital'!K303)/1000</f>
        <v>0.27373634568749056</v>
      </c>
      <c r="L370" s="606">
        <f>('2.3. Working Capital'!L303)/1000</f>
        <v>0.7901406548167843</v>
      </c>
      <c r="M370" s="606">
        <f>('2.3. Working Capital'!M303)/1000</f>
        <v>0.85268340417454702</v>
      </c>
      <c r="N370" s="606">
        <f>('2.3. Working Capital'!N303)/1000</f>
        <v>0.89287135150244601</v>
      </c>
      <c r="O370" s="606">
        <f>('2.3. Working Capital'!O303)/1000</f>
        <v>0.94008345310243813</v>
      </c>
      <c r="P370" s="606">
        <f>('2.3. Working Capital'!P303)/1000</f>
        <v>0.98708762575756015</v>
      </c>
    </row>
    <row r="371" spans="4:16" ht="12" customHeight="1" x14ac:dyDescent="0.25">
      <c r="D371" s="583" t="s">
        <v>217</v>
      </c>
      <c r="J371" s="584" t="e">
        <f>('2.3. Working Capital'!#REF!)/1000</f>
        <v>#REF!</v>
      </c>
      <c r="K371" s="584" t="e">
        <f>('2.3. Working Capital'!#REF!)/1000</f>
        <v>#REF!</v>
      </c>
      <c r="L371" s="584" t="e">
        <f>('2.3. Working Capital'!#REF!)/1000</f>
        <v>#REF!</v>
      </c>
      <c r="M371" s="584" t="e">
        <f>('2.3. Working Capital'!#REF!)/1000</f>
        <v>#REF!</v>
      </c>
      <c r="N371" s="584" t="e">
        <f>('2.3. Working Capital'!#REF!)/1000</f>
        <v>#REF!</v>
      </c>
      <c r="O371" s="584" t="e">
        <f>('2.3. Working Capital'!#REF!)/1000</f>
        <v>#REF!</v>
      </c>
      <c r="P371" s="584" t="e">
        <f>('2.3. Working Capital'!#REF!)/1000</f>
        <v>#REF!</v>
      </c>
    </row>
    <row r="372" spans="4:16" ht="12" customHeight="1" x14ac:dyDescent="0.25">
      <c r="D372" s="583" t="s">
        <v>281</v>
      </c>
      <c r="J372" s="584">
        <f>('2.3. Working Capital'!J304)/1000</f>
        <v>0.12638594393428901</v>
      </c>
      <c r="K372" s="584">
        <f>('2.3. Working Capital'!K304)/1000</f>
        <v>0.17018887911238922</v>
      </c>
      <c r="L372" s="584">
        <f>('2.3. Working Capital'!L304)/1000</f>
        <v>0.19335052852762713</v>
      </c>
      <c r="M372" s="584">
        <f>('2.3. Working Capital'!M304)/1000</f>
        <v>0.27780385420002873</v>
      </c>
      <c r="N372" s="584">
        <f>('2.3. Working Capital'!N304)/1000</f>
        <v>0.29089706863978426</v>
      </c>
      <c r="O372" s="584">
        <f>('2.3. Working Capital'!O304)/1000</f>
        <v>0.30627874925553167</v>
      </c>
      <c r="P372" s="584">
        <f>('2.3. Working Capital'!P304)/1000</f>
        <v>0.32159268671830837</v>
      </c>
    </row>
    <row r="373" spans="4:16" ht="12" customHeight="1" x14ac:dyDescent="0.25">
      <c r="D373" s="583" t="s">
        <v>232</v>
      </c>
      <c r="J373" s="584">
        <f>('2.3. Working Capital'!J305)/1000</f>
        <v>1.3150645526414302</v>
      </c>
      <c r="K373" s="584">
        <f>('2.3. Working Capital'!K305)/1000</f>
        <v>2.0941817048307829</v>
      </c>
      <c r="L373" s="584">
        <f>('2.3. Working Capital'!L305)/1000</f>
        <v>1.1812725251399043</v>
      </c>
      <c r="M373" s="584">
        <f>('2.3. Working Capital'!M305)/1000</f>
        <v>2.5192859041075875</v>
      </c>
      <c r="N373" s="584">
        <f ca="1">('2.3. Working Capital'!N305)/1000</f>
        <v>2.6380227397520031</v>
      </c>
      <c r="O373" s="584">
        <f ca="1">('2.3. Working Capital'!O305)/1000</f>
        <v>2.7775127092786152</v>
      </c>
      <c r="P373" s="584">
        <f ca="1">('2.3. Working Capital'!P305)/1000</f>
        <v>2.916388344742546</v>
      </c>
    </row>
    <row r="374" spans="4:16" ht="12" customHeight="1" collapsed="1" x14ac:dyDescent="0.25">
      <c r="D374" s="583" t="s">
        <v>143</v>
      </c>
      <c r="J374" s="584">
        <f>('2.3. Working Capital'!J306)/1000</f>
        <v>7.334137543766929E-2</v>
      </c>
      <c r="K374" s="584">
        <f>('2.3. Working Capital'!K306)/1000</f>
        <v>0.31786856449986051</v>
      </c>
      <c r="L374" s="584">
        <f>('2.3. Working Capital'!L306)/1000</f>
        <v>-1.5974013164947787E-2</v>
      </c>
      <c r="M374" s="584">
        <f>('2.3. Working Capital'!M306)/1000</f>
        <v>0.18014829337204424</v>
      </c>
      <c r="N374" s="584">
        <f ca="1">('2.3. Working Capital'!N306)/1000</f>
        <v>0.18863888916621846</v>
      </c>
      <c r="O374" s="584">
        <f ca="1">('2.3. Working Capital'!O306)/1000</f>
        <v>0.19861349344267876</v>
      </c>
      <c r="P374" s="584">
        <f ca="1">('2.3. Working Capital'!P306)/1000</f>
        <v>0.20854416811481269</v>
      </c>
    </row>
    <row r="375" spans="4:16" ht="12" hidden="1" customHeight="1" outlineLevel="2" x14ac:dyDescent="0.25">
      <c r="D375" s="583" t="s">
        <v>151</v>
      </c>
      <c r="J375" s="606">
        <f>('2.3. Working Capital'!J307)/1000</f>
        <v>0</v>
      </c>
      <c r="K375" s="606">
        <f>('2.3. Working Capital'!K307)/1000</f>
        <v>0</v>
      </c>
      <c r="L375" s="606">
        <f>('2.3. Working Capital'!L307)/1000</f>
        <v>0</v>
      </c>
      <c r="M375" s="606">
        <f>('2.3. Working Capital'!M307)/1000</f>
        <v>0</v>
      </c>
      <c r="N375" s="606">
        <f ca="1">('2.3. Working Capital'!N307)/1000</f>
        <v>0</v>
      </c>
      <c r="O375" s="606">
        <f ca="1">('2.3. Working Capital'!O307)/1000</f>
        <v>0</v>
      </c>
      <c r="P375" s="606">
        <f ca="1">('2.3. Working Capital'!P307)/1000</f>
        <v>0</v>
      </c>
    </row>
    <row r="376" spans="4:16" ht="12" customHeight="1" collapsed="1" x14ac:dyDescent="0.25">
      <c r="D376" s="583" t="s">
        <v>152</v>
      </c>
      <c r="J376" s="584">
        <f>('2.3. Working Capital'!J308)/1000</f>
        <v>0.2242534628173791</v>
      </c>
      <c r="K376" s="584">
        <f>('2.3. Working Capital'!K308)/1000</f>
        <v>0.71312222675279546</v>
      </c>
      <c r="L376" s="584">
        <f>('2.3. Working Capital'!L308)/1000</f>
        <v>0.38649156285512121</v>
      </c>
      <c r="M376" s="584">
        <f>('2.3. Working Capital'!M308)/1000</f>
        <v>0.67226699645175503</v>
      </c>
      <c r="N376" s="584">
        <f ca="1">('2.3. Working Capital'!N308)/1000</f>
        <v>0.7039517114484567</v>
      </c>
      <c r="O376" s="584">
        <f ca="1">('2.3. Working Capital'!O308)/1000</f>
        <v>0.74117436358805988</v>
      </c>
      <c r="P376" s="584">
        <f ca="1">('2.3. Working Capital'!P308)/1000</f>
        <v>0.77823308176746298</v>
      </c>
    </row>
    <row r="377" spans="4:16" ht="12" hidden="1" customHeight="1" outlineLevel="1" x14ac:dyDescent="0.25">
      <c r="D377" s="583" t="s">
        <v>113</v>
      </c>
      <c r="J377" s="606">
        <f>('2.3. Working Capital'!J309)/1000</f>
        <v>0</v>
      </c>
      <c r="K377" s="606">
        <f>('2.3. Working Capital'!K309)/1000</f>
        <v>0</v>
      </c>
      <c r="L377" s="606">
        <f>('2.3. Working Capital'!L309)/1000</f>
        <v>0</v>
      </c>
      <c r="M377" s="606">
        <f>('2.3. Working Capital'!M309)/1000</f>
        <v>0</v>
      </c>
      <c r="N377" s="606">
        <f ca="1">('2.3. Working Capital'!N309)/1000</f>
        <v>0</v>
      </c>
      <c r="O377" s="606">
        <f ca="1">('2.3. Working Capital'!O309)/1000</f>
        <v>0</v>
      </c>
      <c r="P377" s="606">
        <f ca="1">('2.3. Working Capital'!P309)/1000</f>
        <v>0</v>
      </c>
    </row>
    <row r="378" spans="4:16" ht="12" hidden="1" customHeight="1" outlineLevel="1" x14ac:dyDescent="0.25">
      <c r="J378" s="606">
        <v>0</v>
      </c>
      <c r="K378" s="606">
        <v>0</v>
      </c>
      <c r="L378" s="606">
        <v>0</v>
      </c>
      <c r="M378" s="606">
        <v>0</v>
      </c>
      <c r="N378" s="606">
        <v>0</v>
      </c>
      <c r="O378" s="606">
        <v>0</v>
      </c>
      <c r="P378" s="606">
        <v>0</v>
      </c>
    </row>
    <row r="379" spans="4:16" ht="12" customHeight="1" x14ac:dyDescent="0.25">
      <c r="D379" s="583" t="s">
        <v>110</v>
      </c>
      <c r="J379" s="584">
        <f>(-'2.3. Working Capital'!J311)/1000</f>
        <v>-0.97191871572966893</v>
      </c>
      <c r="K379" s="584">
        <f>(-'2.3. Working Capital'!K311)/1000</f>
        <v>-2.1544197888276071</v>
      </c>
      <c r="L379" s="584">
        <f>(-'2.3. Working Capital'!L311)/1000</f>
        <v>-1.9365341345226099</v>
      </c>
      <c r="M379" s="584">
        <f>(-'2.3. Working Capital'!M311)/1000</f>
        <v>-2.9187616906968419</v>
      </c>
      <c r="N379" s="584">
        <f>(-'2.3. Working Capital'!N311)/1000</f>
        <v>-3.0563262785780458</v>
      </c>
      <c r="O379" s="584">
        <f>(-'2.3. Working Capital'!O311)/1000</f>
        <v>-3.2179347639932674</v>
      </c>
      <c r="P379" s="584">
        <f>(-'2.3. Working Capital'!P311)/1000</f>
        <v>-3.3788315021929316</v>
      </c>
    </row>
    <row r="380" spans="4:16" ht="12" customHeight="1" x14ac:dyDescent="0.25">
      <c r="D380" s="583" t="s">
        <v>43</v>
      </c>
      <c r="J380" s="584">
        <f>(-'2.3. Working Capital'!J312)/1000</f>
        <v>-1.3421991499856865</v>
      </c>
      <c r="K380" s="584">
        <f>(-'2.3. Working Capital'!K312)/1000</f>
        <v>-1.6861100907783761</v>
      </c>
      <c r="L380" s="584">
        <f>(-'2.3. Working Capital'!L312)/1000</f>
        <v>-1.10231445571303</v>
      </c>
      <c r="M380" s="584">
        <f>(-'2.3. Working Capital'!M312)/1000</f>
        <v>-2.2630677615906754</v>
      </c>
      <c r="N380" s="584">
        <f>(-'2.3. Working Capital'!N312)/1000</f>
        <v>-2.3697287421574487</v>
      </c>
      <c r="O380" s="584">
        <f>(-'2.3. Working Capital'!O312)/1000</f>
        <v>-2.4950322071537188</v>
      </c>
      <c r="P380" s="584">
        <f>(-'2.3. Working Capital'!P312)/1000</f>
        <v>-2.6197838175114052</v>
      </c>
    </row>
    <row r="381" spans="4:16" ht="12" customHeight="1" x14ac:dyDescent="0.25">
      <c r="D381" s="583" t="s">
        <v>219</v>
      </c>
      <c r="J381" s="584">
        <f>(-'2.3. Working Capital'!J313)/1000</f>
        <v>0</v>
      </c>
      <c r="K381" s="584">
        <f>(-'2.3. Working Capital'!K313)/1000</f>
        <v>0</v>
      </c>
      <c r="L381" s="584">
        <f>(-'2.3. Working Capital'!L313)/1000</f>
        <v>0</v>
      </c>
      <c r="M381" s="584">
        <f>(-'2.3. Working Capital'!M313)/1000</f>
        <v>0</v>
      </c>
      <c r="N381" s="584">
        <f>(-'2.3. Working Capital'!N313)/1000</f>
        <v>0</v>
      </c>
      <c r="O381" s="584">
        <f>(-'2.3. Working Capital'!O313)/1000</f>
        <v>0</v>
      </c>
      <c r="P381" s="584">
        <f>(-'2.3. Working Capital'!P313)/1000</f>
        <v>0</v>
      </c>
    </row>
    <row r="382" spans="4:16" ht="12" customHeight="1" x14ac:dyDescent="0.25">
      <c r="D382" s="583" t="s">
        <v>248</v>
      </c>
      <c r="J382" s="584">
        <f>(-'2.3. Working Capital'!J314)/1000</f>
        <v>0</v>
      </c>
      <c r="K382" s="584">
        <f>(-'2.3. Working Capital'!K314)/1000</f>
        <v>0</v>
      </c>
      <c r="L382" s="584">
        <f>(-'2.3. Working Capital'!L314)/1000</f>
        <v>0</v>
      </c>
      <c r="M382" s="584">
        <f>(-'2.3. Working Capital'!M314)/1000</f>
        <v>0</v>
      </c>
      <c r="N382" s="584">
        <f>(-'2.3. Working Capital'!N314)/1000</f>
        <v>0</v>
      </c>
      <c r="O382" s="584">
        <f>(-'2.3. Working Capital'!O314)/1000</f>
        <v>0</v>
      </c>
      <c r="P382" s="584">
        <f>(-'2.3. Working Capital'!P314)/1000</f>
        <v>0</v>
      </c>
    </row>
    <row r="383" spans="4:16" ht="12" customHeight="1" collapsed="1" x14ac:dyDescent="0.25">
      <c r="D383" s="583" t="s">
        <v>422</v>
      </c>
      <c r="J383" s="584">
        <f>(-'2.3. Working Capital'!J315)/1000</f>
        <v>0</v>
      </c>
      <c r="K383" s="584">
        <f>(-'2.3. Working Capital'!K315)/1000</f>
        <v>0</v>
      </c>
      <c r="L383" s="584">
        <f>(-'2.3. Working Capital'!L315)/1000</f>
        <v>0</v>
      </c>
      <c r="M383" s="584">
        <f>(-'2.3. Working Capital'!M315)/1000</f>
        <v>0</v>
      </c>
      <c r="N383" s="584">
        <f>(-'2.3. Working Capital'!N315)/1000</f>
        <v>0</v>
      </c>
      <c r="O383" s="584">
        <f>(-'2.3. Working Capital'!O315)/1000</f>
        <v>0</v>
      </c>
      <c r="P383" s="584">
        <f>(-'2.3. Working Capital'!P315)/1000</f>
        <v>0</v>
      </c>
    </row>
    <row r="384" spans="4:16" ht="12" hidden="1" customHeight="1" outlineLevel="1" x14ac:dyDescent="0.25">
      <c r="D384" s="583" t="s">
        <v>421</v>
      </c>
      <c r="J384" s="606">
        <f>(-'2.3. Working Capital'!J316)/1000</f>
        <v>0</v>
      </c>
      <c r="K384" s="606">
        <f>(-'2.3. Working Capital'!K316)/1000</f>
        <v>0</v>
      </c>
      <c r="L384" s="606">
        <f>(-'2.3. Working Capital'!L316)/1000</f>
        <v>0</v>
      </c>
      <c r="M384" s="606">
        <f>(-'2.3. Working Capital'!M316)/1000</f>
        <v>0</v>
      </c>
      <c r="N384" s="606">
        <f>(-'2.3. Working Capital'!N316)/1000</f>
        <v>0</v>
      </c>
      <c r="O384" s="606">
        <f>(-'2.3. Working Capital'!O316)/1000</f>
        <v>0</v>
      </c>
      <c r="P384" s="606">
        <f>(-'2.3. Working Capital'!P316)/1000</f>
        <v>0</v>
      </c>
    </row>
    <row r="385" spans="4:16" ht="12" customHeight="1" x14ac:dyDescent="0.25">
      <c r="D385" s="583" t="s">
        <v>222</v>
      </c>
      <c r="J385" s="584">
        <f>(-'2.3. Working Capital'!J317)/1000</f>
        <v>-3.0829534694237073E-2</v>
      </c>
      <c r="K385" s="584">
        <f>(-'2.3. Working Capital'!K317)/1000</f>
        <v>-5.6474021932742438E-2</v>
      </c>
      <c r="L385" s="584">
        <f>(-'2.3. Working Capital'!L317)/1000</f>
        <v>-3.3379397071120739E-2</v>
      </c>
      <c r="M385" s="584">
        <f>(-'2.3. Working Capital'!M317)/1000</f>
        <v>-6.3362077643747544E-2</v>
      </c>
      <c r="N385" s="584">
        <f>(-'2.3. Working Capital'!N317)/1000</f>
        <v>-6.3362077643747544E-2</v>
      </c>
      <c r="O385" s="584">
        <f>(-'2.3. Working Capital'!O317)/1000</f>
        <v>-6.3362077643747544E-2</v>
      </c>
      <c r="P385" s="584">
        <f>(-'2.3. Working Capital'!P317)/1000</f>
        <v>-6.3362077643747544E-2</v>
      </c>
    </row>
    <row r="386" spans="4:16" ht="12" customHeight="1" x14ac:dyDescent="0.25">
      <c r="D386" s="583" t="s">
        <v>42</v>
      </c>
      <c r="J386" s="584">
        <f>(-'2.3. Working Capital'!J318)/1000</f>
        <v>-2.6747937724339914E-2</v>
      </c>
      <c r="K386" s="584">
        <f>(-'2.3. Working Capital'!K318)/1000</f>
        <v>-4.4544511449234922E-2</v>
      </c>
      <c r="L386" s="584">
        <f>(-'2.3. Working Capital'!L318)/1000</f>
        <v>-3.1618649627993732E-2</v>
      </c>
      <c r="M386" s="584">
        <f>(-'2.3. Working Capital'!M318)/1000</f>
        <v>-5.4469344350527374E-2</v>
      </c>
      <c r="N386" s="584">
        <f>(-'2.3. Working Capital'!N318)/1000</f>
        <v>-5.7036547055572727E-2</v>
      </c>
      <c r="O386" s="584">
        <f>(-'2.3. Working Capital'!O318)/1000</f>
        <v>-6.0052452146456416E-2</v>
      </c>
      <c r="P386" s="584">
        <f>(-'2.3. Working Capital'!P318)/1000</f>
        <v>-5.0000000000000001E-3</v>
      </c>
    </row>
    <row r="387" spans="4:16" ht="12" customHeight="1" x14ac:dyDescent="0.25">
      <c r="D387" s="583" t="s">
        <v>242</v>
      </c>
      <c r="J387" s="584" t="e">
        <f>SUM(J369:J386)</f>
        <v>#REF!</v>
      </c>
      <c r="K387" s="584" t="e">
        <f t="shared" ref="K387:P387" si="32">SUM(K369:K386)</f>
        <v>#REF!</v>
      </c>
      <c r="L387" s="584" t="e">
        <f t="shared" si="32"/>
        <v>#REF!</v>
      </c>
      <c r="M387" s="584" t="e">
        <f t="shared" si="32"/>
        <v>#REF!</v>
      </c>
      <c r="N387" s="584" t="e">
        <f t="shared" si="32"/>
        <v>#REF!</v>
      </c>
      <c r="O387" s="584" t="e">
        <f t="shared" si="32"/>
        <v>#REF!</v>
      </c>
      <c r="P387" s="584" t="e">
        <f t="shared" si="32"/>
        <v>#REF!</v>
      </c>
    </row>
    <row r="435" spans="4:15" ht="12" customHeight="1" x14ac:dyDescent="0.25">
      <c r="J435" s="607" t="str">
        <f>J137</f>
        <v>2017e</v>
      </c>
      <c r="K435" s="607" t="str">
        <f t="shared" ref="K435:M435" si="33">K137</f>
        <v>2018f</v>
      </c>
      <c r="L435" s="607" t="str">
        <f t="shared" si="33"/>
        <v>2019f</v>
      </c>
      <c r="M435" s="607" t="str">
        <f t="shared" si="33"/>
        <v>2020f</v>
      </c>
    </row>
    <row r="436" spans="4:15" ht="12" customHeight="1" x14ac:dyDescent="0.25">
      <c r="D436" s="583" t="str">
        <f>D138</f>
        <v>Turnover</v>
      </c>
      <c r="J436" s="584">
        <f>(J138)/1000</f>
        <v>11.882795996257355</v>
      </c>
      <c r="K436" s="584">
        <f>(K138)/1000</f>
        <v>12.476935796070224</v>
      </c>
      <c r="L436" s="584">
        <f>(L138)/1000</f>
        <v>13.100782585873734</v>
      </c>
      <c r="M436" s="584">
        <f>(M138)/1000</f>
        <v>13.755821715167421</v>
      </c>
      <c r="N436" s="9"/>
      <c r="O436" s="9"/>
    </row>
    <row r="437" spans="4:15" ht="12" customHeight="1" x14ac:dyDescent="0.25">
      <c r="D437" s="583" t="str">
        <f>D165</f>
        <v>EBITDA</v>
      </c>
      <c r="J437" s="584">
        <f>(J165)/1000</f>
        <v>0.79888783813948061</v>
      </c>
      <c r="K437" s="584">
        <f ca="1">(K165)/1000</f>
        <v>0.81739978033496841</v>
      </c>
      <c r="L437" s="584">
        <f ca="1">(L165)/1000</f>
        <v>0.85826976935171839</v>
      </c>
      <c r="M437" s="584">
        <f ca="1">(M165)/1000</f>
        <v>0.90118325781930253</v>
      </c>
      <c r="N437" s="9"/>
      <c r="O437" s="9"/>
    </row>
    <row r="438" spans="4:15" ht="12" customHeight="1" x14ac:dyDescent="0.25">
      <c r="D438" s="583" t="s">
        <v>423</v>
      </c>
      <c r="J438" s="584">
        <f ca="1">(J182)/1000</f>
        <v>0.62947406245882365</v>
      </c>
      <c r="K438" s="584">
        <f ca="1">(K182)/1000</f>
        <v>0.67579557708899141</v>
      </c>
      <c r="L438" s="584">
        <f ca="1">(L182)/1000</f>
        <v>0.72017000946373444</v>
      </c>
      <c r="M438" s="584">
        <f ca="1">(M182)/1000</f>
        <v>0.75794119704787621</v>
      </c>
      <c r="N438" s="9"/>
      <c r="O438" s="9"/>
    </row>
    <row r="441" spans="4:15" ht="12" customHeight="1" x14ac:dyDescent="0.25">
      <c r="J441" s="607" t="str">
        <f>J8</f>
        <v>2014a</v>
      </c>
      <c r="K441" s="607" t="str">
        <f>K8</f>
        <v>2015a</v>
      </c>
      <c r="L441" s="607" t="str">
        <f>L8</f>
        <v>2016a</v>
      </c>
      <c r="M441" s="607" t="str">
        <f>M8</f>
        <v>H1 2017a</v>
      </c>
    </row>
    <row r="442" spans="4:15" ht="12" customHeight="1" x14ac:dyDescent="0.25">
      <c r="D442" s="583" t="str">
        <f>D9</f>
        <v>Turnover</v>
      </c>
      <c r="J442" s="584">
        <f>(J9)/1000</f>
        <v>4.9790619087913068</v>
      </c>
      <c r="K442" s="584">
        <f>(K9)/1000</f>
        <v>9.6831007377246543</v>
      </c>
      <c r="L442" s="584">
        <f>(L9)/1000</f>
        <v>7.5570960395401325</v>
      </c>
      <c r="M442" s="584">
        <f>(M9)/1000</f>
        <v>0</v>
      </c>
    </row>
    <row r="443" spans="4:15" ht="12" customHeight="1" x14ac:dyDescent="0.25">
      <c r="D443" s="583" t="str">
        <f>D36</f>
        <v>EBITDA</v>
      </c>
      <c r="J443" s="584">
        <f>(J36)/1000</f>
        <v>0.37529179878863395</v>
      </c>
      <c r="K443" s="584">
        <f>(K36)/1000</f>
        <v>0.60949873470370408</v>
      </c>
      <c r="L443" s="584">
        <f>(L36)/1000</f>
        <v>0.63601205973998276</v>
      </c>
      <c r="M443" s="584">
        <f>(M36)/1000</f>
        <v>0</v>
      </c>
    </row>
    <row r="444" spans="4:15" ht="12" customHeight="1" x14ac:dyDescent="0.25">
      <c r="D444" s="583" t="s">
        <v>423</v>
      </c>
      <c r="J444" s="584">
        <f>(J53)/1000</f>
        <v>0.25092998797541582</v>
      </c>
      <c r="K444" s="584">
        <f>(K53)/1000</f>
        <v>0.43760727217004664</v>
      </c>
      <c r="L444" s="584">
        <f>(L53)/1000</f>
        <v>0.44406838293757595</v>
      </c>
      <c r="M444" s="584">
        <f>(M53)/1000</f>
        <v>0</v>
      </c>
    </row>
    <row r="456" spans="4:13" ht="12" customHeight="1" x14ac:dyDescent="0.25">
      <c r="J456" s="607" t="str">
        <f>J441</f>
        <v>2014a</v>
      </c>
      <c r="K456" s="607" t="str">
        <f t="shared" ref="K456:M456" si="34">K441</f>
        <v>2015a</v>
      </c>
      <c r="L456" s="607" t="str">
        <f t="shared" si="34"/>
        <v>2016a</v>
      </c>
      <c r="M456" s="607" t="str">
        <f t="shared" si="34"/>
        <v>H1 2017a</v>
      </c>
    </row>
    <row r="457" spans="4:13" ht="12" customHeight="1" x14ac:dyDescent="0.25">
      <c r="D457" s="583" t="s">
        <v>72</v>
      </c>
      <c r="J457" s="584">
        <f>(J80)/1000</f>
        <v>0.18026861112946205</v>
      </c>
      <c r="K457" s="584">
        <f>(K80)/1000</f>
        <v>0.11977430092066017</v>
      </c>
      <c r="L457" s="584">
        <f>(L80)/1000</f>
        <v>8.3594946289585914E-2</v>
      </c>
      <c r="M457" s="584">
        <f>(M80)/1000</f>
        <v>0</v>
      </c>
    </row>
    <row r="458" spans="4:13" ht="12" customHeight="1" x14ac:dyDescent="0.25">
      <c r="D458" s="583" t="s">
        <v>71</v>
      </c>
      <c r="J458" s="584">
        <f>(J92)/1000</f>
        <v>3.4262788245138842</v>
      </c>
      <c r="K458" s="584">
        <f>(K92)/1000</f>
        <v>5.5645869519496962</v>
      </c>
      <c r="L458" s="584">
        <f>(L92)/1000</f>
        <v>4.7626171594588218</v>
      </c>
      <c r="M458" s="584">
        <f>(M92)/1000</f>
        <v>0</v>
      </c>
    </row>
    <row r="460" spans="4:13" ht="12" customHeight="1" x14ac:dyDescent="0.25">
      <c r="J460" s="607" t="str">
        <f>J456</f>
        <v>2014a</v>
      </c>
      <c r="K460" s="607" t="str">
        <f t="shared" ref="K460:M460" si="35">K456</f>
        <v>2015a</v>
      </c>
      <c r="L460" s="607" t="str">
        <f t="shared" si="35"/>
        <v>2016a</v>
      </c>
      <c r="M460" s="607" t="str">
        <f t="shared" si="35"/>
        <v>H1 2017a</v>
      </c>
    </row>
    <row r="461" spans="4:13" ht="12" customHeight="1" x14ac:dyDescent="0.25">
      <c r="D461" s="583" t="s">
        <v>69</v>
      </c>
      <c r="J461" s="584">
        <f>(J104)/1000</f>
        <v>1.1555737046090153</v>
      </c>
      <c r="K461" s="584">
        <f>(K104)/1000</f>
        <v>0.83983950898126503</v>
      </c>
      <c r="L461" s="584">
        <f>(L104)/1000</f>
        <v>1.1666052102317803</v>
      </c>
      <c r="M461" s="584">
        <f>(M104)/1000</f>
        <v>0</v>
      </c>
    </row>
    <row r="462" spans="4:13" ht="12" customHeight="1" x14ac:dyDescent="0.25">
      <c r="D462" s="583" t="s">
        <v>68</v>
      </c>
      <c r="J462" s="584">
        <f t="shared" ref="J462:M463" si="36">(J123)/1000</f>
        <v>2.3923846314769555</v>
      </c>
      <c r="K462" s="584">
        <f t="shared" si="36"/>
        <v>4.8235979097366783</v>
      </c>
      <c r="L462" s="584">
        <f t="shared" si="36"/>
        <v>3.6613908810223208</v>
      </c>
      <c r="M462" s="584">
        <f t="shared" si="36"/>
        <v>0</v>
      </c>
    </row>
    <row r="463" spans="4:13" ht="12" customHeight="1" x14ac:dyDescent="0.25">
      <c r="D463" s="583" t="s">
        <v>67</v>
      </c>
      <c r="J463" s="584">
        <f t="shared" si="36"/>
        <v>0</v>
      </c>
      <c r="K463" s="584">
        <f t="shared" si="36"/>
        <v>0</v>
      </c>
      <c r="L463" s="584">
        <f t="shared" si="36"/>
        <v>0</v>
      </c>
      <c r="M463" s="584">
        <f t="shared" si="36"/>
        <v>0</v>
      </c>
    </row>
    <row r="498" spans="4:15" ht="19.5" customHeight="1" x14ac:dyDescent="0.25">
      <c r="D498" s="939" t="s">
        <v>1597</v>
      </c>
      <c r="E498" s="940"/>
      <c r="F498" s="940"/>
      <c r="G498" s="940"/>
      <c r="H498" s="940"/>
      <c r="I498" s="940"/>
      <c r="J498" s="940"/>
      <c r="K498" s="940"/>
      <c r="L498" s="940"/>
      <c r="M498" s="940"/>
      <c r="N498" s="940"/>
      <c r="O498" s="941"/>
    </row>
    <row r="499" spans="4:15" ht="20.399999999999999" x14ac:dyDescent="0.2">
      <c r="D499" s="942" t="s">
        <v>255</v>
      </c>
      <c r="E499" s="539"/>
      <c r="F499" s="539"/>
      <c r="G499" s="539"/>
      <c r="H499" s="539"/>
      <c r="I499" s="539"/>
      <c r="J499" s="539" t="s">
        <v>383</v>
      </c>
      <c r="K499" s="539" t="s">
        <v>1598</v>
      </c>
      <c r="L499" s="539" t="s">
        <v>1599</v>
      </c>
      <c r="M499" s="539" t="s">
        <v>1600</v>
      </c>
      <c r="N499" s="539" t="s">
        <v>1601</v>
      </c>
      <c r="O499" s="943" t="s">
        <v>1615</v>
      </c>
    </row>
    <row r="500" spans="4:15" ht="12" customHeight="1" x14ac:dyDescent="0.25">
      <c r="D500" s="974" t="s">
        <v>1602</v>
      </c>
      <c r="E500" s="541"/>
      <c r="F500" s="541"/>
      <c r="G500" s="541"/>
      <c r="H500" s="541"/>
      <c r="I500" s="541"/>
      <c r="J500" s="541"/>
      <c r="K500" s="541"/>
      <c r="L500" s="541"/>
      <c r="M500" s="541"/>
      <c r="N500" s="541"/>
      <c r="O500" s="975"/>
    </row>
    <row r="501" spans="4:15" ht="12" customHeight="1" x14ac:dyDescent="0.25">
      <c r="D501" s="970" t="s">
        <v>241</v>
      </c>
      <c r="E501" s="971"/>
      <c r="F501" s="971"/>
      <c r="G501" s="971"/>
      <c r="H501" s="971"/>
      <c r="I501" s="971"/>
      <c r="J501" s="972">
        <f>'3.1. Income Statement'!J9</f>
        <v>4986.7756435378997</v>
      </c>
      <c r="K501" s="972">
        <f>'3.1. Income Statement'!K9</f>
        <v>9693.3125500755232</v>
      </c>
      <c r="L501" s="972">
        <f>'3.1. Income Statement'!L9</f>
        <v>7594.3175631245304</v>
      </c>
      <c r="M501" s="972">
        <f>'3.1. Income Statement'!M9</f>
        <v>11882.795996257355</v>
      </c>
      <c r="N501" s="972">
        <f>'3.1. Income Statement'!P9</f>
        <v>13755.821715167422</v>
      </c>
      <c r="O501" s="973">
        <f>'3.1. Income Statement'!V9</f>
        <v>0.23405484654279185</v>
      </c>
    </row>
    <row r="502" spans="4:15" ht="12" customHeight="1" x14ac:dyDescent="0.25">
      <c r="D502" s="958" t="s">
        <v>57</v>
      </c>
      <c r="E502" s="959"/>
      <c r="F502" s="959"/>
      <c r="G502" s="959"/>
      <c r="H502" s="959"/>
      <c r="I502" s="959"/>
      <c r="J502" s="960">
        <f>'3.1. Income Statement'!J38</f>
        <v>383.00553353522719</v>
      </c>
      <c r="K502" s="960">
        <f>'3.1. Income Statement'!K38</f>
        <v>619.71054705457209</v>
      </c>
      <c r="L502" s="960">
        <f>'3.1. Income Statement'!L38</f>
        <v>673.23358332438056</v>
      </c>
      <c r="M502" s="960">
        <f>'3.1. Income Statement'!M38</f>
        <v>798.88783813948066</v>
      </c>
      <c r="N502" s="960">
        <f ca="1">'3.1. Income Statement'!P38</f>
        <v>901.18325781930253</v>
      </c>
      <c r="O502" s="961">
        <f>'3.1. Income Statement'!V38</f>
        <v>0.32580716502432772</v>
      </c>
    </row>
    <row r="503" spans="4:15" ht="12" customHeight="1" x14ac:dyDescent="0.25">
      <c r="D503" s="962" t="s">
        <v>1603</v>
      </c>
      <c r="E503" s="963"/>
      <c r="F503" s="963"/>
      <c r="G503" s="963"/>
      <c r="H503" s="963"/>
      <c r="I503" s="963"/>
      <c r="J503" s="964">
        <f>'3.1. Income Statement'!J39</f>
        <v>7.1109067340616464E-2</v>
      </c>
      <c r="K503" s="964">
        <f>'3.1. Income Statement'!K39</f>
        <v>6.4301123558782203E-2</v>
      </c>
      <c r="L503" s="964">
        <f>'3.1. Income Statement'!L39</f>
        <v>8.2574680294182259E-2</v>
      </c>
      <c r="M503" s="964">
        <f>'3.1. Income Statement'!M39</f>
        <v>6.6730411078189084E-2</v>
      </c>
      <c r="N503" s="964">
        <f ca="1">'3.1. Income Statement'!P39</f>
        <v>6.5042824963665272E-2</v>
      </c>
      <c r="O503" s="965"/>
    </row>
    <row r="504" spans="4:15" ht="12" customHeight="1" x14ac:dyDescent="0.25">
      <c r="D504" s="958" t="s">
        <v>1605</v>
      </c>
      <c r="E504" s="959"/>
      <c r="F504" s="959"/>
      <c r="G504" s="959"/>
      <c r="H504" s="959"/>
      <c r="I504" s="959"/>
      <c r="J504" s="960">
        <f>'3.1. Income Statement'!J54</f>
        <v>258.64372272200904</v>
      </c>
      <c r="K504" s="960">
        <f>'3.1. Income Statement'!K54</f>
        <v>447.81908452091471</v>
      </c>
      <c r="L504" s="960">
        <f>'3.1. Income Statement'!L54</f>
        <v>481.28990652197376</v>
      </c>
      <c r="M504" s="960">
        <f ca="1">'3.1. Income Statement'!M54</f>
        <v>629.4740624588236</v>
      </c>
      <c r="N504" s="960">
        <f ca="1">'3.1. Income Statement'!P54</f>
        <v>757.94119704787624</v>
      </c>
      <c r="O504" s="961">
        <f>'3.1. Income Statement'!V54</f>
        <v>0.36411946380605609</v>
      </c>
    </row>
    <row r="505" spans="4:15" ht="12" customHeight="1" x14ac:dyDescent="0.25">
      <c r="D505" s="966" t="s">
        <v>1604</v>
      </c>
      <c r="E505" s="967"/>
      <c r="F505" s="967"/>
      <c r="G505" s="967"/>
      <c r="H505" s="967"/>
      <c r="I505" s="967"/>
      <c r="J505" s="968">
        <f>'3.1. Income Statement'!J55</f>
        <v>4.8019969128136539E-2</v>
      </c>
      <c r="K505" s="968">
        <f>'3.1. Income Statement'!K55</f>
        <v>4.6465677278886681E-2</v>
      </c>
      <c r="L505" s="968">
        <f>'3.1. Income Statement'!L55</f>
        <v>5.9032052387558917E-2</v>
      </c>
      <c r="M505" s="968">
        <f ca="1">'3.1. Income Statement'!M55</f>
        <v>5.2579424727205774E-2</v>
      </c>
      <c r="N505" s="968">
        <f ca="1">'3.1. Income Statement'!P55</f>
        <v>5.4704341414008921E-2</v>
      </c>
      <c r="O505" s="969"/>
    </row>
    <row r="506" spans="4:15" ht="12" customHeight="1" x14ac:dyDescent="0.25">
      <c r="D506" s="536"/>
      <c r="E506" s="511"/>
      <c r="F506" s="511"/>
      <c r="G506" s="511"/>
      <c r="H506" s="511"/>
      <c r="I506" s="511"/>
      <c r="J506" s="511"/>
      <c r="K506" s="511"/>
      <c r="L506" s="511"/>
      <c r="M506" s="511"/>
      <c r="N506" s="511"/>
      <c r="O506" s="938"/>
    </row>
    <row r="507" spans="4:15" ht="12" customHeight="1" x14ac:dyDescent="0.25">
      <c r="D507" s="548" t="s">
        <v>1606</v>
      </c>
      <c r="E507" s="956"/>
      <c r="F507" s="956"/>
      <c r="G507" s="956"/>
      <c r="H507" s="956"/>
      <c r="I507" s="956"/>
      <c r="J507" s="956"/>
      <c r="K507" s="956"/>
      <c r="L507" s="956"/>
      <c r="M507" s="956"/>
      <c r="N507" s="956"/>
      <c r="O507" s="957"/>
    </row>
    <row r="508" spans="4:15" ht="12" customHeight="1" x14ac:dyDescent="0.25">
      <c r="D508" s="944" t="s">
        <v>1607</v>
      </c>
      <c r="E508" s="945"/>
      <c r="F508" s="945"/>
      <c r="G508" s="945"/>
      <c r="H508" s="945"/>
      <c r="I508" s="945"/>
      <c r="J508" s="946">
        <f>'3.3. Balance sheet'!J30</f>
        <v>1336.6398449714827</v>
      </c>
      <c r="K508" s="946">
        <f>'3.3. Balance sheet'!K30</f>
        <v>1324.025630405391</v>
      </c>
      <c r="L508" s="946">
        <f>'3.3. Balance sheet'!L30</f>
        <v>1801.7587341066494</v>
      </c>
      <c r="M508" s="946">
        <f>'3.3. Balance sheet'!M30</f>
        <v>2628.146953517381</v>
      </c>
      <c r="N508" s="946">
        <f>'3.3. Balance sheet'!P30</f>
        <v>3042.4086170655587</v>
      </c>
      <c r="O508" s="947">
        <f>'3.3. Balance sheet'!V30</f>
        <v>0.16102378367969039</v>
      </c>
    </row>
    <row r="509" spans="4:15" ht="12" customHeight="1" x14ac:dyDescent="0.25">
      <c r="D509" s="948" t="s">
        <v>232</v>
      </c>
      <c r="E509" s="949"/>
      <c r="F509" s="949"/>
      <c r="G509" s="949"/>
      <c r="H509" s="949"/>
      <c r="I509" s="949"/>
      <c r="J509" s="950">
        <f>'3.3. Balance sheet'!J34</f>
        <v>1315.0645526414303</v>
      </c>
      <c r="K509" s="950">
        <f>'3.3. Balance sheet'!K34</f>
        <v>2094.181704830783</v>
      </c>
      <c r="L509" s="950">
        <f>'3.3. Balance sheet'!L34</f>
        <v>1181.2725251399042</v>
      </c>
      <c r="M509" s="950">
        <f>'3.3. Balance sheet'!M34</f>
        <v>2519.2859041075876</v>
      </c>
      <c r="N509" s="950">
        <f ca="1">'3.3. Balance sheet'!P34</f>
        <v>2916.388344742546</v>
      </c>
      <c r="O509" s="951">
        <f>'3.3. Balance sheet'!V34</f>
        <v>-5.2233147039815186E-2</v>
      </c>
    </row>
    <row r="510" spans="4:15" ht="12" customHeight="1" x14ac:dyDescent="0.25">
      <c r="D510" s="948" t="s">
        <v>43</v>
      </c>
      <c r="E510" s="949"/>
      <c r="F510" s="949"/>
      <c r="G510" s="949"/>
      <c r="H510" s="949"/>
      <c r="I510" s="949"/>
      <c r="J510" s="950">
        <f>'3.3. Balance sheet'!J61</f>
        <v>1342.1991499856865</v>
      </c>
      <c r="K510" s="950">
        <f>'3.3. Balance sheet'!K61</f>
        <v>1686.1100907783762</v>
      </c>
      <c r="L510" s="950">
        <f>'3.3. Balance sheet'!L61</f>
        <v>1102.3144557130299</v>
      </c>
      <c r="M510" s="950">
        <f>'3.3. Balance sheet'!M61</f>
        <v>2263.0677615906752</v>
      </c>
      <c r="N510" s="950">
        <f>'3.3. Balance sheet'!P61</f>
        <v>2619.7838175114052</v>
      </c>
      <c r="O510" s="951">
        <f>'3.3. Balance sheet'!V61</f>
        <v>-9.3757820803171743E-2</v>
      </c>
    </row>
    <row r="511" spans="4:15" ht="12" customHeight="1" thickBot="1" x14ac:dyDescent="0.3">
      <c r="D511" s="952" t="s">
        <v>1608</v>
      </c>
      <c r="E511" s="953"/>
      <c r="F511" s="953"/>
      <c r="G511" s="953"/>
      <c r="H511" s="953"/>
      <c r="I511" s="953"/>
      <c r="J511" s="954">
        <f>'3.3. Balance sheet'!J55</f>
        <v>0</v>
      </c>
      <c r="K511" s="954">
        <f>'3.3. Balance sheet'!K55</f>
        <v>673.21651179260471</v>
      </c>
      <c r="L511" s="954">
        <f>'3.3. Balance sheet'!L55</f>
        <v>554.33967923840567</v>
      </c>
      <c r="M511" s="954">
        <f>'3.3. Balance sheet'!M55</f>
        <v>364.33967923840567</v>
      </c>
      <c r="N511" s="954">
        <v>0</v>
      </c>
      <c r="O511" s="955"/>
    </row>
    <row r="762" spans="1:18" ht="12" customHeight="1" x14ac:dyDescent="0.25">
      <c r="J762" s="78"/>
      <c r="K762" s="78"/>
      <c r="L762" s="78"/>
      <c r="M762" s="78"/>
    </row>
    <row r="764" spans="1:18" ht="12" customHeight="1" x14ac:dyDescent="0.25">
      <c r="A764" s="63" t="s">
        <v>0</v>
      </c>
      <c r="B764" s="63"/>
      <c r="C764" s="63"/>
      <c r="D764" s="64"/>
      <c r="E764" s="64"/>
      <c r="F764" s="63"/>
      <c r="G764" s="65"/>
      <c r="H764" s="66"/>
      <c r="I764" s="65"/>
      <c r="J764" s="455"/>
      <c r="K764" s="455"/>
      <c r="L764" s="67"/>
      <c r="M764" s="98"/>
      <c r="N764" s="69"/>
      <c r="O764" s="69"/>
      <c r="P764" s="69"/>
      <c r="Q764" s="563"/>
      <c r="R764" s="68"/>
    </row>
    <row r="766" spans="1:18" ht="12" customHeight="1" x14ac:dyDescent="0.25">
      <c r="M766" s="439"/>
    </row>
    <row r="767" spans="1:18" ht="12" customHeight="1" x14ac:dyDescent="0.25">
      <c r="M767" s="439"/>
    </row>
  </sheetData>
  <conditionalFormatting sqref="A3">
    <cfRule type="containsText" dxfId="1" priority="1" operator="containsText" text="OK">
      <formula>NOT(ISERROR(SEARCH("OK",A3)))</formula>
    </cfRule>
    <cfRule type="containsText" dxfId="0" priority="2" operator="containsText" text="Error">
      <formula>NOT(ISERROR(SEARCH("Error",A3)))</formula>
    </cfRule>
  </conditionalFormatting>
  <pageMargins left="0.7" right="0.7" top="0.75" bottom="0.75" header="0.3" footer="0.3"/>
  <pageSetup paperSize="9" orientation="portrait" r:id="rId1"/>
  <headerFooter>
    <oddFooter>&amp;C&amp;7&amp;B&amp;"Arial"Document Classification: KPMG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95393" r:id="rId4" name="Button 1">
              <controlPr defaultSize="0" autoFill="0" autoPict="0" macro="[0]!scenario1">
                <anchor moveWithCells="1" sizeWithCells="1">
                  <from>
                    <xdr:col>8</xdr:col>
                    <xdr:colOff>7620</xdr:colOff>
                    <xdr:row>1</xdr:row>
                    <xdr:rowOff>0</xdr:rowOff>
                  </from>
                  <to>
                    <xdr:col>8</xdr:col>
                    <xdr:colOff>7620</xdr:colOff>
                    <xdr:row>2</xdr:row>
                    <xdr:rowOff>83820</xdr:rowOff>
                  </to>
                </anchor>
              </controlPr>
            </control>
          </mc:Choice>
        </mc:AlternateContent>
        <mc:AlternateContent xmlns:mc="http://schemas.openxmlformats.org/markup-compatibility/2006">
          <mc:Choice Requires="x14">
            <control shapeId="1595394" r:id="rId5" name="Button 2">
              <controlPr defaultSize="0" autoFill="0" autoPict="0" macro="[0]!scenario2">
                <anchor moveWithCells="1" sizeWithCells="1">
                  <from>
                    <xdr:col>8</xdr:col>
                    <xdr:colOff>7620</xdr:colOff>
                    <xdr:row>1</xdr:row>
                    <xdr:rowOff>0</xdr:rowOff>
                  </from>
                  <to>
                    <xdr:col>8</xdr:col>
                    <xdr:colOff>7620</xdr:colOff>
                    <xdr:row>2</xdr:row>
                    <xdr:rowOff>83820</xdr:rowOff>
                  </to>
                </anchor>
              </controlPr>
            </control>
          </mc:Choice>
        </mc:AlternateContent>
        <mc:AlternateContent xmlns:mc="http://schemas.openxmlformats.org/markup-compatibility/2006">
          <mc:Choice Requires="x14">
            <control shapeId="1595395" r:id="rId6" name="Button 3">
              <controlPr defaultSize="0" autoFill="0" autoPict="0" macro="[0]!scenario3">
                <anchor moveWithCells="1" sizeWithCells="1">
                  <from>
                    <xdr:col>8</xdr:col>
                    <xdr:colOff>7620</xdr:colOff>
                    <xdr:row>1</xdr:row>
                    <xdr:rowOff>0</xdr:rowOff>
                  </from>
                  <to>
                    <xdr:col>8</xdr:col>
                    <xdr:colOff>7620</xdr:colOff>
                    <xdr:row>2</xdr:row>
                    <xdr:rowOff>83820</xdr:rowOff>
                  </to>
                </anchor>
              </controlPr>
            </control>
          </mc:Choice>
        </mc:AlternateContent>
        <mc:AlternateContent xmlns:mc="http://schemas.openxmlformats.org/markup-compatibility/2006">
          <mc:Choice Requires="x14">
            <control shapeId="1595396" r:id="rId7" name="Button 4">
              <controlPr defaultSize="0" print="0" autoFill="0" autoPict="0" macro="[0]!Module3.ModelMap">
                <anchor moveWithCells="1" sizeWithCells="1">
                  <from>
                    <xdr:col>4</xdr:col>
                    <xdr:colOff>0</xdr:colOff>
                    <xdr:row>1</xdr:row>
                    <xdr:rowOff>7620</xdr:rowOff>
                  </from>
                  <to>
                    <xdr:col>4</xdr:col>
                    <xdr:colOff>0</xdr:colOff>
                    <xdr:row>2</xdr:row>
                    <xdr:rowOff>91440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B1:V318"/>
  <sheetViews>
    <sheetView topLeftCell="A274" zoomScale="85" zoomScaleNormal="85" workbookViewId="0">
      <selection activeCell="Q295" sqref="Q295"/>
    </sheetView>
  </sheetViews>
  <sheetFormatPr defaultRowHeight="13.2" x14ac:dyDescent="0.25"/>
  <cols>
    <col min="2" max="2" width="43.5546875" customWidth="1"/>
    <col min="3" max="6" width="9.88671875" bestFit="1" customWidth="1"/>
    <col min="11" max="11" width="3.88671875" customWidth="1"/>
    <col min="12" max="12" width="44.88671875" customWidth="1"/>
    <col min="26" max="26" width="53.6640625" customWidth="1"/>
  </cols>
  <sheetData>
    <row r="1" spans="2:20" x14ac:dyDescent="0.25">
      <c r="B1" s="626" t="s">
        <v>439</v>
      </c>
      <c r="C1" s="626"/>
      <c r="D1" s="626"/>
      <c r="E1" s="626"/>
      <c r="F1" s="626"/>
      <c r="G1" s="626"/>
      <c r="H1" s="626"/>
      <c r="I1" s="626"/>
      <c r="J1" s="626"/>
      <c r="K1" s="626"/>
      <c r="L1" s="626" t="s">
        <v>440</v>
      </c>
      <c r="M1" s="626"/>
      <c r="N1" s="626"/>
      <c r="O1" s="626"/>
      <c r="P1" s="626"/>
      <c r="Q1" s="626"/>
      <c r="R1" s="626"/>
      <c r="S1" s="626"/>
      <c r="T1" s="626"/>
    </row>
    <row r="2" spans="2:20" x14ac:dyDescent="0.25">
      <c r="B2" s="936" t="s">
        <v>441</v>
      </c>
      <c r="C2" s="937"/>
      <c r="D2" s="937"/>
      <c r="E2" s="937"/>
      <c r="F2" s="937"/>
      <c r="G2" s="937"/>
      <c r="H2" s="937"/>
      <c r="I2" s="937"/>
      <c r="J2" s="937"/>
      <c r="K2" s="626"/>
      <c r="L2" s="936" t="s">
        <v>442</v>
      </c>
      <c r="M2" s="937"/>
      <c r="N2" s="937"/>
      <c r="O2" s="937"/>
      <c r="P2" s="937"/>
      <c r="Q2" s="937"/>
      <c r="R2" s="937"/>
      <c r="S2" s="937"/>
      <c r="T2" s="937"/>
    </row>
    <row r="3" spans="2:20" ht="16.8" x14ac:dyDescent="0.25">
      <c r="B3" s="647" t="s">
        <v>443</v>
      </c>
      <c r="C3" s="648" t="s">
        <v>381</v>
      </c>
      <c r="D3" s="648" t="s">
        <v>382</v>
      </c>
      <c r="E3" s="648" t="s">
        <v>383</v>
      </c>
      <c r="F3" s="648" t="s">
        <v>404</v>
      </c>
      <c r="G3" s="648" t="s">
        <v>405</v>
      </c>
      <c r="H3" s="648" t="s">
        <v>406</v>
      </c>
      <c r="I3" s="648" t="s">
        <v>407</v>
      </c>
      <c r="J3" s="649" t="s">
        <v>414</v>
      </c>
      <c r="K3" s="626"/>
      <c r="L3" s="647" t="s">
        <v>255</v>
      </c>
      <c r="M3" s="648" t="s">
        <v>381</v>
      </c>
      <c r="N3" s="648" t="s">
        <v>382</v>
      </c>
      <c r="O3" s="648" t="s">
        <v>383</v>
      </c>
      <c r="P3" s="648" t="s">
        <v>404</v>
      </c>
      <c r="Q3" s="648" t="s">
        <v>405</v>
      </c>
      <c r="R3" s="648" t="s">
        <v>406</v>
      </c>
      <c r="S3" s="648" t="s">
        <v>407</v>
      </c>
      <c r="T3" s="649" t="s">
        <v>414</v>
      </c>
    </row>
    <row r="4" spans="2:20" x14ac:dyDescent="0.25">
      <c r="B4" s="650" t="s">
        <v>444</v>
      </c>
      <c r="C4" s="651">
        <f>'4.1.Summary'!J266</f>
        <v>5386.1701166829962</v>
      </c>
      <c r="D4" s="651">
        <f>'4.1.Summary'!K266</f>
        <v>9637.6317046474451</v>
      </c>
      <c r="E4" s="651">
        <f>'4.1.Summary'!L266</f>
        <v>8153.0268228215327</v>
      </c>
      <c r="F4" s="651">
        <f>'4.1.Summary'!M266</f>
        <v>11971.870474518897</v>
      </c>
      <c r="G4" s="651">
        <f ca="1">'4.1.Summary'!N266</f>
        <v>12567.101456487944</v>
      </c>
      <c r="H4" s="651">
        <f ca="1">'4.1.Summary'!O266</f>
        <v>13195.45652931234</v>
      </c>
      <c r="I4" s="651">
        <f ca="1">'4.1.Summary'!P266</f>
        <v>13855.229355777958</v>
      </c>
      <c r="J4" s="652">
        <f ca="1">'4.1.Summary'!Q266</f>
        <v>0.1705472317253991</v>
      </c>
      <c r="K4" s="626"/>
      <c r="L4" s="650" t="s">
        <v>445</v>
      </c>
      <c r="M4" s="653">
        <f>'4.1.Summary'!J266</f>
        <v>5386.1701166829962</v>
      </c>
      <c r="N4" s="653">
        <f>'4.1.Summary'!K266</f>
        <v>9637.6317046474451</v>
      </c>
      <c r="O4" s="653">
        <f>'4.1.Summary'!L266</f>
        <v>8153.0268228215327</v>
      </c>
      <c r="P4" s="653">
        <f>'4.1.Summary'!M266</f>
        <v>11971.870474518897</v>
      </c>
      <c r="Q4" s="653">
        <f ca="1">'4.1.Summary'!N266</f>
        <v>12567.101456487944</v>
      </c>
      <c r="R4" s="653">
        <f ca="1">'4.1.Summary'!O266</f>
        <v>13195.45652931234</v>
      </c>
      <c r="S4" s="653">
        <f ca="1">'4.1.Summary'!P266</f>
        <v>13855.229355777958</v>
      </c>
      <c r="T4" s="654">
        <f ca="1">'4.1.Summary'!Q266</f>
        <v>0.1705472317253991</v>
      </c>
    </row>
    <row r="5" spans="2:20" x14ac:dyDescent="0.25">
      <c r="B5" s="655" t="s">
        <v>446</v>
      </c>
      <c r="C5" s="656">
        <f>'4.1.Summary'!J267</f>
        <v>3581.311171728868</v>
      </c>
      <c r="D5" s="656">
        <f>'4.1.Summary'!K267</f>
        <v>8365.4754405551539</v>
      </c>
      <c r="E5" s="656">
        <f>'4.1.Summary'!L267</f>
        <v>6263.9606425271304</v>
      </c>
      <c r="F5" s="656">
        <f>'4.1.Summary'!M267</f>
        <v>9801.1922500000001</v>
      </c>
      <c r="G5" s="656">
        <f>'4.1.Summary'!N267</f>
        <v>10291.251862500001</v>
      </c>
      <c r="H5" s="656">
        <f>'4.1.Summary'!O267</f>
        <v>10805.814455625001</v>
      </c>
      <c r="I5" s="656">
        <f>'4.1.Summary'!P267</f>
        <v>11346.105178406251</v>
      </c>
      <c r="J5" s="657">
        <f>'4.1.Summary'!Q267</f>
        <v>0.21190187653739634</v>
      </c>
      <c r="K5" s="626"/>
      <c r="L5" s="655" t="s">
        <v>447</v>
      </c>
      <c r="M5" s="658">
        <f>'4.1.Summary'!J267</f>
        <v>3581.311171728868</v>
      </c>
      <c r="N5" s="658">
        <f>'4.1.Summary'!K267</f>
        <v>8365.4754405551539</v>
      </c>
      <c r="O5" s="658">
        <f>'4.1.Summary'!L267</f>
        <v>6263.9606425271304</v>
      </c>
      <c r="P5" s="658">
        <f>'4.1.Summary'!M267</f>
        <v>9801.1922500000001</v>
      </c>
      <c r="Q5" s="658">
        <f>'4.1.Summary'!N267</f>
        <v>10291.251862500001</v>
      </c>
      <c r="R5" s="658">
        <f>'4.1.Summary'!O267</f>
        <v>10805.814455625001</v>
      </c>
      <c r="S5" s="658">
        <f>'4.1.Summary'!P267</f>
        <v>11346.105178406251</v>
      </c>
      <c r="T5" s="659">
        <f>'4.1.Summary'!Q267</f>
        <v>0.21190187653739634</v>
      </c>
    </row>
    <row r="6" spans="2:20" x14ac:dyDescent="0.25">
      <c r="B6" s="660" t="s">
        <v>448</v>
      </c>
      <c r="C6" s="661">
        <f>'4.1.Summary'!J268</f>
        <v>383.00553353522719</v>
      </c>
      <c r="D6" s="661">
        <f>'4.1.Summary'!K268</f>
        <v>619.71054705457209</v>
      </c>
      <c r="E6" s="661">
        <f>'4.1.Summary'!L268</f>
        <v>673.23358332438056</v>
      </c>
      <c r="F6" s="661">
        <f>'4.1.Summary'!M268</f>
        <v>798.88783813948066</v>
      </c>
      <c r="G6" s="661">
        <f ca="1">'4.1.Summary'!N268</f>
        <v>817.39978033496845</v>
      </c>
      <c r="H6" s="661">
        <f ca="1">'4.1.Summary'!O268</f>
        <v>858.26976935171842</v>
      </c>
      <c r="I6" s="661">
        <f ca="1">'4.1.Summary'!P268</f>
        <v>901.18325781930253</v>
      </c>
      <c r="J6" s="657">
        <f ca="1">'4.1.Summary'!Q268</f>
        <v>0.1532797798076222</v>
      </c>
      <c r="K6" s="626"/>
      <c r="L6" s="660" t="s">
        <v>448</v>
      </c>
      <c r="M6" s="662">
        <f>'4.1.Summary'!J268</f>
        <v>383.00553353522719</v>
      </c>
      <c r="N6" s="662">
        <f>'4.1.Summary'!K268</f>
        <v>619.71054705457209</v>
      </c>
      <c r="O6" s="662">
        <f>'4.1.Summary'!L268</f>
        <v>673.23358332438056</v>
      </c>
      <c r="P6" s="662">
        <f>'4.1.Summary'!M268</f>
        <v>798.88783813948066</v>
      </c>
      <c r="Q6" s="662">
        <f ca="1">'4.1.Summary'!N268</f>
        <v>817.39978033496845</v>
      </c>
      <c r="R6" s="662">
        <f ca="1">'4.1.Summary'!O268</f>
        <v>858.26976935171842</v>
      </c>
      <c r="S6" s="662">
        <f ca="1">'4.1.Summary'!P268</f>
        <v>901.18325781930253</v>
      </c>
      <c r="T6" s="659">
        <f ca="1">'4.1.Summary'!Q268</f>
        <v>0.1532797798076222</v>
      </c>
    </row>
    <row r="7" spans="2:20" x14ac:dyDescent="0.25">
      <c r="B7" s="663" t="s">
        <v>449</v>
      </c>
      <c r="C7" s="664">
        <f>'4.1.Summary'!J269</f>
        <v>7.1109067340616464E-2</v>
      </c>
      <c r="D7" s="664">
        <f>'4.1.Summary'!K269</f>
        <v>6.4301123558782203E-2</v>
      </c>
      <c r="E7" s="664">
        <f>'4.1.Summary'!L269</f>
        <v>8.2574680294182259E-2</v>
      </c>
      <c r="F7" s="664">
        <f>'4.1.Summary'!M269</f>
        <v>6.6730411078189084E-2</v>
      </c>
      <c r="G7" s="664">
        <f ca="1">'4.1.Summary'!N269</f>
        <v>6.5042824963665286E-2</v>
      </c>
      <c r="H7" s="664">
        <f ca="1">'4.1.Summary'!O269</f>
        <v>6.504282496366541E-2</v>
      </c>
      <c r="I7" s="664">
        <f ca="1">'4.1.Summary'!P269</f>
        <v>6.5042824963665272E-2</v>
      </c>
      <c r="J7" s="657">
        <f ca="1">'4.1.Summary'!Q269</f>
        <v>-1.4751606299836739E-2</v>
      </c>
      <c r="K7" s="626"/>
      <c r="L7" s="663" t="s">
        <v>450</v>
      </c>
      <c r="M7" s="665">
        <f>'4.1.Summary'!J269</f>
        <v>7.1109067340616464E-2</v>
      </c>
      <c r="N7" s="665">
        <f>'4.1.Summary'!K269</f>
        <v>6.4301123558782203E-2</v>
      </c>
      <c r="O7" s="665">
        <f>'4.1.Summary'!L269</f>
        <v>8.2574680294182259E-2</v>
      </c>
      <c r="P7" s="665">
        <f>'4.1.Summary'!M269</f>
        <v>6.6730411078189084E-2</v>
      </c>
      <c r="Q7" s="665">
        <f ca="1">'4.1.Summary'!N269</f>
        <v>6.5042824963665286E-2</v>
      </c>
      <c r="R7" s="665">
        <f ca="1">'4.1.Summary'!O269</f>
        <v>6.504282496366541E-2</v>
      </c>
      <c r="S7" s="665">
        <f ca="1">'4.1.Summary'!P269</f>
        <v>6.5042824963665272E-2</v>
      </c>
      <c r="T7" s="659">
        <f ca="1">'4.1.Summary'!Q269</f>
        <v>-1.4751606299836739E-2</v>
      </c>
    </row>
    <row r="8" spans="2:20" ht="13.8" thickBot="1" x14ac:dyDescent="0.3">
      <c r="B8" s="666" t="s">
        <v>451</v>
      </c>
      <c r="C8" s="667">
        <f>'4.1.Summary'!J270</f>
        <v>89.418660676928496</v>
      </c>
      <c r="D8" s="667">
        <f>'4.1.Summary'!K270</f>
        <v>77.397856085155695</v>
      </c>
      <c r="E8" s="667">
        <f>'4.1.Summary'!L270</f>
        <v>51.59541156542808</v>
      </c>
      <c r="F8" s="667">
        <f>'4.1.Summary'!M270</f>
        <v>71.32924213805488</v>
      </c>
      <c r="G8" s="667">
        <f>'4.1.Summary'!N270</f>
        <v>65.280202138054889</v>
      </c>
      <c r="H8" s="667">
        <f>'4.1.Summary'!O270</f>
        <v>63.362077643747547</v>
      </c>
      <c r="I8" s="667">
        <f>'4.1.Summary'!P270</f>
        <v>63.362077643747547</v>
      </c>
      <c r="J8" s="668">
        <f>'4.1.Summary'!Q270</f>
        <v>-5.5793741431271138E-2</v>
      </c>
      <c r="K8" s="626"/>
      <c r="L8" s="666" t="s">
        <v>452</v>
      </c>
      <c r="M8" s="667">
        <f>'4.1.Summary'!J270</f>
        <v>89.418660676928496</v>
      </c>
      <c r="N8" s="667">
        <f>'4.1.Summary'!K270</f>
        <v>77.397856085155695</v>
      </c>
      <c r="O8" s="667">
        <f>'4.1.Summary'!L270</f>
        <v>51.59541156542808</v>
      </c>
      <c r="P8" s="667">
        <f>'4.1.Summary'!M270</f>
        <v>71.32924213805488</v>
      </c>
      <c r="Q8" s="667">
        <f>'4.1.Summary'!N270</f>
        <v>65.280202138054889</v>
      </c>
      <c r="R8" s="667">
        <f>'4.1.Summary'!O270</f>
        <v>63.362077643747547</v>
      </c>
      <c r="S8" s="667">
        <f>'4.1.Summary'!P270</f>
        <v>63.362077643747547</v>
      </c>
      <c r="T8" s="669">
        <f>'4.1.Summary'!Q270</f>
        <v>-5.5793741431271138E-2</v>
      </c>
    </row>
    <row r="9" spans="2:20" x14ac:dyDescent="0.25">
      <c r="B9" s="626" t="s">
        <v>453</v>
      </c>
      <c r="C9" s="626"/>
      <c r="D9" s="626"/>
      <c r="E9" s="626"/>
      <c r="F9" s="626"/>
      <c r="G9" s="626"/>
      <c r="H9" s="626"/>
      <c r="I9" s="626"/>
      <c r="J9" s="626"/>
      <c r="K9" s="626"/>
      <c r="L9" s="626" t="s">
        <v>454</v>
      </c>
      <c r="M9" s="626"/>
      <c r="N9" s="626"/>
      <c r="O9" s="626"/>
      <c r="P9" s="626"/>
      <c r="Q9" s="626"/>
      <c r="R9" s="626"/>
      <c r="S9" s="626"/>
      <c r="T9" s="626"/>
    </row>
    <row r="10" spans="2:20" x14ac:dyDescent="0.25">
      <c r="B10" s="670"/>
      <c r="C10" s="671" t="s">
        <v>381</v>
      </c>
      <c r="D10" s="671" t="s">
        <v>382</v>
      </c>
      <c r="E10" s="671" t="s">
        <v>383</v>
      </c>
      <c r="F10" s="671" t="s">
        <v>404</v>
      </c>
      <c r="G10" s="671" t="s">
        <v>405</v>
      </c>
      <c r="H10" s="671" t="s">
        <v>406</v>
      </c>
      <c r="I10" s="672" t="s">
        <v>407</v>
      </c>
      <c r="J10" s="626"/>
      <c r="K10" s="626"/>
      <c r="L10" s="670"/>
      <c r="M10" s="671" t="s">
        <v>381</v>
      </c>
      <c r="N10" s="671" t="s">
        <v>382</v>
      </c>
      <c r="O10" s="671" t="s">
        <v>383</v>
      </c>
      <c r="P10" s="671" t="s">
        <v>404</v>
      </c>
      <c r="Q10" s="671" t="s">
        <v>405</v>
      </c>
      <c r="R10" s="671" t="s">
        <v>406</v>
      </c>
      <c r="S10" s="672" t="s">
        <v>407</v>
      </c>
      <c r="T10" s="626"/>
    </row>
    <row r="11" spans="2:20" x14ac:dyDescent="0.25">
      <c r="B11" s="673"/>
      <c r="C11" s="674"/>
      <c r="D11" s="674"/>
      <c r="E11" s="674"/>
      <c r="F11" s="674"/>
      <c r="G11" s="674"/>
      <c r="H11" s="674"/>
      <c r="I11" s="675"/>
      <c r="J11" s="626"/>
      <c r="K11" s="626"/>
      <c r="L11" s="673"/>
      <c r="M11" s="674"/>
      <c r="N11" s="674"/>
      <c r="O11" s="674"/>
      <c r="P11" s="674"/>
      <c r="Q11" s="674"/>
      <c r="R11" s="674"/>
      <c r="S11" s="675"/>
      <c r="T11" s="626"/>
    </row>
    <row r="12" spans="2:20" x14ac:dyDescent="0.25">
      <c r="B12" s="673" t="s">
        <v>57</v>
      </c>
      <c r="C12" s="676">
        <f>'4.1.Summary'!J291</f>
        <v>383.00553353522719</v>
      </c>
      <c r="D12" s="676">
        <f>'4.1.Summary'!K291</f>
        <v>619.71054705457209</v>
      </c>
      <c r="E12" s="676">
        <f>'4.1.Summary'!L291</f>
        <v>673.23358332438056</v>
      </c>
      <c r="F12" s="676">
        <f>'4.1.Summary'!M291</f>
        <v>798.88783813948066</v>
      </c>
      <c r="G12" s="676">
        <f ca="1">'4.1.Summary'!N291</f>
        <v>817.39978033496845</v>
      </c>
      <c r="H12" s="676">
        <f ca="1">'4.1.Summary'!O291</f>
        <v>858.26976935171842</v>
      </c>
      <c r="I12" s="677">
        <f ca="1">'4.1.Summary'!P291</f>
        <v>901.18325781930253</v>
      </c>
      <c r="J12" s="626"/>
      <c r="K12" s="626"/>
      <c r="L12" s="673" t="s">
        <v>57</v>
      </c>
      <c r="M12" s="676">
        <f>C12</f>
        <v>383.00553353522719</v>
      </c>
      <c r="N12" s="676">
        <f t="shared" ref="N12:S14" si="0">D12</f>
        <v>619.71054705457209</v>
      </c>
      <c r="O12" s="676">
        <f t="shared" si="0"/>
        <v>673.23358332438056</v>
      </c>
      <c r="P12" s="676">
        <f t="shared" si="0"/>
        <v>798.88783813948066</v>
      </c>
      <c r="Q12" s="676">
        <f t="shared" ca="1" si="0"/>
        <v>817.39978033496845</v>
      </c>
      <c r="R12" s="676">
        <f t="shared" ca="1" si="0"/>
        <v>858.26976935171842</v>
      </c>
      <c r="S12" s="677">
        <f t="shared" ca="1" si="0"/>
        <v>901.18325781930253</v>
      </c>
      <c r="T12" s="626"/>
    </row>
    <row r="13" spans="2:20" x14ac:dyDescent="0.25">
      <c r="B13" s="673" t="s">
        <v>455</v>
      </c>
      <c r="C13" s="676">
        <f>'4.1.Summary'!J292</f>
        <v>3581.311171728868</v>
      </c>
      <c r="D13" s="676">
        <f>'4.1.Summary'!K292</f>
        <v>8365.4754405551539</v>
      </c>
      <c r="E13" s="676">
        <f>'4.1.Summary'!L292</f>
        <v>6263.9606425271304</v>
      </c>
      <c r="F13" s="676">
        <f>'4.1.Summary'!M292</f>
        <v>9801.1922500000001</v>
      </c>
      <c r="G13" s="676">
        <f>'4.1.Summary'!N292</f>
        <v>10291.251862500001</v>
      </c>
      <c r="H13" s="676">
        <f>'4.1.Summary'!O292</f>
        <v>10805.814455625001</v>
      </c>
      <c r="I13" s="677">
        <f>'4.1.Summary'!P292</f>
        <v>11346.105178406251</v>
      </c>
      <c r="J13" s="678">
        <v>1000</v>
      </c>
      <c r="K13" s="626"/>
      <c r="L13" s="673" t="s">
        <v>416</v>
      </c>
      <c r="M13" s="676">
        <f t="shared" ref="M13:M14" si="1">C13</f>
        <v>3581.311171728868</v>
      </c>
      <c r="N13" s="676">
        <f t="shared" si="0"/>
        <v>8365.4754405551539</v>
      </c>
      <c r="O13" s="676">
        <f t="shared" si="0"/>
        <v>6263.9606425271304</v>
      </c>
      <c r="P13" s="676">
        <f t="shared" si="0"/>
        <v>9801.1922500000001</v>
      </c>
      <c r="Q13" s="676">
        <f t="shared" si="0"/>
        <v>10291.251862500001</v>
      </c>
      <c r="R13" s="676">
        <f t="shared" si="0"/>
        <v>10805.814455625001</v>
      </c>
      <c r="S13" s="677">
        <f t="shared" si="0"/>
        <v>11346.105178406251</v>
      </c>
      <c r="T13" s="626"/>
    </row>
    <row r="14" spans="2:20" ht="13.8" thickBot="1" x14ac:dyDescent="0.3">
      <c r="B14" s="679" t="s">
        <v>456</v>
      </c>
      <c r="C14" s="680" t="e">
        <f>'4.1.Summary'!J290/$J$13*$J$14</f>
        <v>#REF!</v>
      </c>
      <c r="D14" s="680" t="e">
        <f>'4.1.Summary'!K290/$J$13*$J$14</f>
        <v>#REF!</v>
      </c>
      <c r="E14" s="680" t="e">
        <f>'4.1.Summary'!L290/$J$13*$J$14</f>
        <v>#REF!</v>
      </c>
      <c r="F14" s="680" t="e">
        <f>'4.1.Summary'!M290/$J$13*$J$14</f>
        <v>#REF!</v>
      </c>
      <c r="G14" s="680" t="e">
        <f>'4.1.Summary'!N290/$J$13*$J$14</f>
        <v>#REF!</v>
      </c>
      <c r="H14" s="680" t="e">
        <f>'4.1.Summary'!O290/$J$13*$J$14</f>
        <v>#REF!</v>
      </c>
      <c r="I14" s="681" t="e">
        <f>'4.1.Summary'!P290/$J$13*$J$14</f>
        <v>#REF!</v>
      </c>
      <c r="J14" s="678">
        <v>24</v>
      </c>
      <c r="K14" s="626"/>
      <c r="L14" s="679" t="s">
        <v>457</v>
      </c>
      <c r="M14" s="680" t="e">
        <f t="shared" si="1"/>
        <v>#REF!</v>
      </c>
      <c r="N14" s="680" t="e">
        <f t="shared" si="0"/>
        <v>#REF!</v>
      </c>
      <c r="O14" s="680" t="e">
        <f t="shared" si="0"/>
        <v>#REF!</v>
      </c>
      <c r="P14" s="680" t="e">
        <f t="shared" si="0"/>
        <v>#REF!</v>
      </c>
      <c r="Q14" s="680" t="e">
        <f t="shared" si="0"/>
        <v>#REF!</v>
      </c>
      <c r="R14" s="680" t="e">
        <f t="shared" si="0"/>
        <v>#REF!</v>
      </c>
      <c r="S14" s="681" t="e">
        <f t="shared" si="0"/>
        <v>#REF!</v>
      </c>
      <c r="T14" s="641" t="e">
        <f>S14/M14-1</f>
        <v>#REF!</v>
      </c>
    </row>
    <row r="15" spans="2:20" x14ac:dyDescent="0.25">
      <c r="B15" t="s">
        <v>438</v>
      </c>
      <c r="L15" t="s">
        <v>438</v>
      </c>
    </row>
    <row r="16" spans="2:20" x14ac:dyDescent="0.25">
      <c r="C16" t="s">
        <v>431</v>
      </c>
      <c r="D16" t="s">
        <v>458</v>
      </c>
      <c r="E16" t="s">
        <v>459</v>
      </c>
      <c r="F16" t="s">
        <v>460</v>
      </c>
      <c r="G16" t="s">
        <v>461</v>
      </c>
      <c r="H16" t="s">
        <v>462</v>
      </c>
      <c r="I16" t="s">
        <v>425</v>
      </c>
      <c r="M16" t="s">
        <v>431</v>
      </c>
      <c r="N16" t="s">
        <v>432</v>
      </c>
      <c r="O16" t="s">
        <v>433</v>
      </c>
      <c r="P16" t="s">
        <v>147</v>
      </c>
      <c r="Q16" t="s">
        <v>144</v>
      </c>
      <c r="R16" t="s">
        <v>434</v>
      </c>
      <c r="S16" t="s">
        <v>425</v>
      </c>
    </row>
    <row r="18" spans="2:19" x14ac:dyDescent="0.25">
      <c r="C18" t="e">
        <f>D21</f>
        <v>#REF!</v>
      </c>
      <c r="D18" t="e">
        <f>D22</f>
        <v>#REF!</v>
      </c>
      <c r="E18" t="e">
        <f>D23*(-1)</f>
        <v>#REF!</v>
      </c>
      <c r="F18" t="e">
        <f>D24*(-1)</f>
        <v>#REF!</v>
      </c>
      <c r="G18" t="e">
        <f>D25*(-1)</f>
        <v>#REF!</v>
      </c>
      <c r="H18" t="e">
        <f>D26*(-1)</f>
        <v>#REF!</v>
      </c>
      <c r="I18" t="s">
        <v>430</v>
      </c>
      <c r="M18" t="e">
        <f>C18</f>
        <v>#REF!</v>
      </c>
      <c r="N18" t="e">
        <f t="shared" ref="N18:R18" si="2">D18</f>
        <v>#REF!</v>
      </c>
      <c r="O18" t="e">
        <f t="shared" si="2"/>
        <v>#REF!</v>
      </c>
      <c r="P18" t="e">
        <f t="shared" si="2"/>
        <v>#REF!</v>
      </c>
      <c r="Q18" t="e">
        <f t="shared" si="2"/>
        <v>#REF!</v>
      </c>
      <c r="R18" t="e">
        <f t="shared" si="2"/>
        <v>#REF!</v>
      </c>
      <c r="S18" t="s">
        <v>430</v>
      </c>
    </row>
    <row r="20" spans="2:19" x14ac:dyDescent="0.25">
      <c r="B20" s="627"/>
      <c r="C20" s="628"/>
      <c r="D20" s="636">
        <v>2014</v>
      </c>
      <c r="E20" s="636">
        <v>2015</v>
      </c>
      <c r="F20" s="637">
        <v>2016</v>
      </c>
      <c r="L20" s="627"/>
      <c r="M20" s="628"/>
      <c r="N20" s="636">
        <v>2014</v>
      </c>
      <c r="O20" s="636">
        <v>2015</v>
      </c>
      <c r="P20" s="637">
        <v>2016</v>
      </c>
    </row>
    <row r="21" spans="2:19" x14ac:dyDescent="0.25">
      <c r="B21" s="629" t="s">
        <v>431</v>
      </c>
      <c r="C21" s="610"/>
      <c r="D21" s="630" t="e">
        <f>#REF!</f>
        <v>#REF!</v>
      </c>
      <c r="E21" s="631"/>
      <c r="F21" s="632"/>
      <c r="L21" s="629" t="s">
        <v>424</v>
      </c>
      <c r="M21" s="610"/>
      <c r="N21" s="630" t="e">
        <f>D21</f>
        <v>#REF!</v>
      </c>
      <c r="O21" s="631"/>
      <c r="P21" s="632"/>
    </row>
    <row r="22" spans="2:19" x14ac:dyDescent="0.25">
      <c r="B22" s="536" t="s">
        <v>458</v>
      </c>
      <c r="C22" s="631"/>
      <c r="D22" s="631" t="e">
        <f>#REF!</f>
        <v>#REF!</v>
      </c>
      <c r="E22" s="631" t="e">
        <f>#REF!</f>
        <v>#REF!</v>
      </c>
      <c r="F22" s="632" t="e">
        <f>#REF!</f>
        <v>#REF!</v>
      </c>
      <c r="L22" s="536" t="s">
        <v>436</v>
      </c>
      <c r="M22" s="631"/>
      <c r="N22" s="631" t="e">
        <f t="shared" ref="N22:P28" si="3">D22</f>
        <v>#REF!</v>
      </c>
      <c r="O22" s="631" t="e">
        <f t="shared" si="3"/>
        <v>#REF!</v>
      </c>
      <c r="P22" s="632" t="e">
        <f t="shared" si="3"/>
        <v>#REF!</v>
      </c>
    </row>
    <row r="23" spans="2:19" x14ac:dyDescent="0.25">
      <c r="B23" s="536" t="s">
        <v>459</v>
      </c>
      <c r="C23" s="631"/>
      <c r="D23" s="631" t="e">
        <f>#REF!</f>
        <v>#REF!</v>
      </c>
      <c r="E23" s="631" t="e">
        <f>#REF!</f>
        <v>#REF!</v>
      </c>
      <c r="F23" s="632" t="e">
        <f>#REF!</f>
        <v>#REF!</v>
      </c>
      <c r="L23" s="536" t="s">
        <v>216</v>
      </c>
      <c r="M23" s="631"/>
      <c r="N23" s="631" t="e">
        <f t="shared" si="3"/>
        <v>#REF!</v>
      </c>
      <c r="O23" s="631" t="e">
        <f t="shared" si="3"/>
        <v>#REF!</v>
      </c>
      <c r="P23" s="632" t="e">
        <f t="shared" si="3"/>
        <v>#REF!</v>
      </c>
    </row>
    <row r="24" spans="2:19" x14ac:dyDescent="0.25">
      <c r="B24" s="536" t="s">
        <v>460</v>
      </c>
      <c r="C24" s="631"/>
      <c r="D24" s="631" t="e">
        <f>#REF!</f>
        <v>#REF!</v>
      </c>
      <c r="E24" s="631" t="e">
        <f>#REF!</f>
        <v>#REF!</v>
      </c>
      <c r="F24" s="632" t="e">
        <f>#REF!</f>
        <v>#REF!</v>
      </c>
      <c r="L24" s="536" t="s">
        <v>147</v>
      </c>
      <c r="M24" s="631"/>
      <c r="N24" s="631" t="e">
        <f t="shared" si="3"/>
        <v>#REF!</v>
      </c>
      <c r="O24" s="631" t="e">
        <f t="shared" si="3"/>
        <v>#REF!</v>
      </c>
      <c r="P24" s="632" t="e">
        <f t="shared" si="3"/>
        <v>#REF!</v>
      </c>
    </row>
    <row r="25" spans="2:19" x14ac:dyDescent="0.25">
      <c r="B25" s="536" t="s">
        <v>461</v>
      </c>
      <c r="C25" s="631"/>
      <c r="D25" s="631" t="e">
        <f>#REF!</f>
        <v>#REF!</v>
      </c>
      <c r="E25" s="631" t="e">
        <f>#REF!</f>
        <v>#REF!</v>
      </c>
      <c r="F25" s="632" t="e">
        <f>#REF!</f>
        <v>#REF!</v>
      </c>
      <c r="L25" s="536" t="s">
        <v>144</v>
      </c>
      <c r="M25" s="631"/>
      <c r="N25" s="631" t="e">
        <f t="shared" si="3"/>
        <v>#REF!</v>
      </c>
      <c r="O25" s="631" t="e">
        <f t="shared" si="3"/>
        <v>#REF!</v>
      </c>
      <c r="P25" s="632" t="e">
        <f t="shared" si="3"/>
        <v>#REF!</v>
      </c>
    </row>
    <row r="26" spans="2:19" x14ac:dyDescent="0.25">
      <c r="B26" s="536" t="s">
        <v>462</v>
      </c>
      <c r="C26" s="631"/>
      <c r="D26" s="631" t="e">
        <f>#REF!</f>
        <v>#REF!</v>
      </c>
      <c r="E26" s="631" t="e">
        <f>#REF!</f>
        <v>#REF!</v>
      </c>
      <c r="F26" s="639" t="e">
        <f>#REF!</f>
        <v>#REF!</v>
      </c>
      <c r="L26" s="536" t="s">
        <v>435</v>
      </c>
      <c r="M26" s="631"/>
      <c r="N26" s="631" t="e">
        <f t="shared" si="3"/>
        <v>#REF!</v>
      </c>
      <c r="O26" s="631" t="e">
        <f t="shared" si="3"/>
        <v>#REF!</v>
      </c>
      <c r="P26" s="639" t="e">
        <f t="shared" si="3"/>
        <v>#REF!</v>
      </c>
    </row>
    <row r="27" spans="2:19" ht="13.8" thickBot="1" x14ac:dyDescent="0.3">
      <c r="B27" s="633" t="s">
        <v>425</v>
      </c>
      <c r="C27" s="634"/>
      <c r="D27" s="634" t="e">
        <f>#REF!</f>
        <v>#REF!</v>
      </c>
      <c r="E27" s="634"/>
      <c r="F27" s="635"/>
      <c r="G27" s="641" t="e">
        <f>D21/D27</f>
        <v>#REF!</v>
      </c>
      <c r="L27" s="633" t="s">
        <v>425</v>
      </c>
      <c r="M27" s="634"/>
      <c r="N27" s="634" t="e">
        <f t="shared" si="3"/>
        <v>#REF!</v>
      </c>
      <c r="O27" s="634"/>
      <c r="P27" s="635"/>
    </row>
    <row r="28" spans="2:19" x14ac:dyDescent="0.25">
      <c r="B28" s="610" t="s">
        <v>437</v>
      </c>
      <c r="C28" s="610"/>
      <c r="D28" s="638" t="e">
        <f>#REF!</f>
        <v>#REF!</v>
      </c>
      <c r="E28" s="610"/>
      <c r="F28" s="610"/>
      <c r="L28" s="610" t="s">
        <v>437</v>
      </c>
      <c r="M28" s="610"/>
      <c r="N28" s="638" t="e">
        <f t="shared" si="3"/>
        <v>#REF!</v>
      </c>
      <c r="O28" s="610"/>
      <c r="P28" s="610"/>
    </row>
    <row r="30" spans="2:19" x14ac:dyDescent="0.25">
      <c r="B30" t="s">
        <v>463</v>
      </c>
    </row>
    <row r="31" spans="2:19" x14ac:dyDescent="0.25">
      <c r="D31" s="636">
        <v>2014</v>
      </c>
      <c r="E31" s="636">
        <v>2015</v>
      </c>
      <c r="F31" s="637">
        <v>2016</v>
      </c>
      <c r="G31" t="s">
        <v>493</v>
      </c>
      <c r="M31" s="636">
        <v>2014</v>
      </c>
      <c r="N31" s="636">
        <v>2015</v>
      </c>
      <c r="O31" s="637">
        <v>2016</v>
      </c>
      <c r="P31" t="s">
        <v>464</v>
      </c>
    </row>
    <row r="33" spans="2:17" x14ac:dyDescent="0.25">
      <c r="C33" t="s">
        <v>57</v>
      </c>
      <c r="D33" s="682">
        <f>'4.1.Summary'!J36/$G$33</f>
        <v>0.37529179878863395</v>
      </c>
      <c r="E33" s="682">
        <f>'4.1.Summary'!K36/$G$33</f>
        <v>0.60949873470370408</v>
      </c>
      <c r="F33" s="682">
        <f>'4.1.Summary'!L36/$G$33</f>
        <v>0.63601205973998276</v>
      </c>
      <c r="G33">
        <v>1000</v>
      </c>
      <c r="L33" t="s">
        <v>57</v>
      </c>
      <c r="M33" s="682">
        <f>D33</f>
        <v>0.37529179878863395</v>
      </c>
      <c r="N33" s="682">
        <f t="shared" ref="N33:O34" si="4">E33</f>
        <v>0.60949873470370408</v>
      </c>
      <c r="O33" s="682">
        <f t="shared" si="4"/>
        <v>0.63601205973998276</v>
      </c>
      <c r="Q33" s="683">
        <f>O33-M33</f>
        <v>0.26072026095134881</v>
      </c>
    </row>
    <row r="34" spans="2:17" x14ac:dyDescent="0.25">
      <c r="C34" t="s">
        <v>465</v>
      </c>
      <c r="D34" s="684">
        <f>'4.1.Summary'!J37</f>
        <v>6.9776860150628908E-2</v>
      </c>
      <c r="E34" s="684">
        <f>'4.1.Summary'!K37</f>
        <v>6.3308626976101581E-2</v>
      </c>
      <c r="F34" s="684">
        <f>'4.1.Summary'!L37</f>
        <v>7.8367091901498209E-2</v>
      </c>
      <c r="L34" t="s">
        <v>466</v>
      </c>
      <c r="M34" s="684">
        <f t="shared" ref="M34" si="5">D34</f>
        <v>6.9776860150628908E-2</v>
      </c>
      <c r="N34" s="684">
        <f t="shared" si="4"/>
        <v>6.3308626976101581E-2</v>
      </c>
      <c r="O34" s="684">
        <f t="shared" si="4"/>
        <v>7.8367091901498209E-2</v>
      </c>
    </row>
    <row r="37" spans="2:17" x14ac:dyDescent="0.25">
      <c r="B37" s="626"/>
      <c r="C37" s="636">
        <v>2016</v>
      </c>
      <c r="D37" s="636">
        <v>2017</v>
      </c>
      <c r="E37" s="636">
        <v>2018</v>
      </c>
      <c r="F37" s="636">
        <v>2019</v>
      </c>
      <c r="G37" s="636">
        <v>2020</v>
      </c>
      <c r="L37" s="626"/>
      <c r="M37" s="636">
        <v>2016</v>
      </c>
      <c r="N37" s="636">
        <v>2017</v>
      </c>
      <c r="O37" s="636">
        <v>2018</v>
      </c>
      <c r="P37" s="636">
        <v>2019</v>
      </c>
      <c r="Q37" s="636">
        <v>2020</v>
      </c>
    </row>
    <row r="38" spans="2:17" x14ac:dyDescent="0.25">
      <c r="B38" s="626"/>
      <c r="C38" s="626"/>
      <c r="D38" s="626"/>
      <c r="E38" s="626"/>
      <c r="F38" s="626"/>
      <c r="G38" s="626"/>
      <c r="L38" s="626"/>
      <c r="M38" s="626"/>
      <c r="N38" s="626"/>
      <c r="O38" s="626"/>
      <c r="P38" s="626"/>
      <c r="Q38" s="626"/>
    </row>
    <row r="39" spans="2:17" x14ac:dyDescent="0.25">
      <c r="B39" s="626" t="s">
        <v>467</v>
      </c>
      <c r="C39" s="685" t="e">
        <f>'1.5 Assumptions book'!#REF!</f>
        <v>#REF!</v>
      </c>
      <c r="D39" s="703" t="e">
        <f>'1.5 Assumptions book'!#REF!</f>
        <v>#REF!</v>
      </c>
      <c r="E39" s="685" t="e">
        <f>'1.5 Assumptions book'!#REF!</f>
        <v>#REF!</v>
      </c>
      <c r="F39" s="685" t="e">
        <f>'1.5 Assumptions book'!#REF!</f>
        <v>#REF!</v>
      </c>
      <c r="G39" s="685" t="e">
        <f>'1.5 Assumptions book'!#REF!</f>
        <v>#REF!</v>
      </c>
      <c r="L39" s="626" t="s">
        <v>286</v>
      </c>
      <c r="M39" s="685" t="e">
        <f>C39</f>
        <v>#REF!</v>
      </c>
      <c r="N39" s="685" t="e">
        <f t="shared" ref="N39:Q40" si="6">D39</f>
        <v>#REF!</v>
      </c>
      <c r="O39" s="685" t="e">
        <f t="shared" si="6"/>
        <v>#REF!</v>
      </c>
      <c r="P39" s="685" t="e">
        <f t="shared" si="6"/>
        <v>#REF!</v>
      </c>
      <c r="Q39" s="685" t="e">
        <f t="shared" si="6"/>
        <v>#REF!</v>
      </c>
    </row>
    <row r="40" spans="2:17" x14ac:dyDescent="0.25">
      <c r="B40" s="626" t="s">
        <v>468</v>
      </c>
      <c r="C40" s="803" t="e">
        <f>'1.5 Assumptions book'!#REF!</f>
        <v>#REF!</v>
      </c>
      <c r="D40" s="804" t="e">
        <f>'1.5 Assumptions book'!#REF!</f>
        <v>#REF!</v>
      </c>
      <c r="E40" s="803" t="e">
        <f>'1.5 Assumptions book'!#REF!</f>
        <v>#REF!</v>
      </c>
      <c r="F40" s="803" t="e">
        <f>'1.5 Assumptions book'!#REF!</f>
        <v>#REF!</v>
      </c>
      <c r="G40" s="803" t="e">
        <f>'1.5 Assumptions book'!#REF!</f>
        <v>#REF!</v>
      </c>
      <c r="L40" s="626" t="s">
        <v>469</v>
      </c>
      <c r="M40" s="646" t="e">
        <f t="shared" ref="M40" si="7">C40</f>
        <v>#REF!</v>
      </c>
      <c r="N40" s="646" t="e">
        <f t="shared" si="6"/>
        <v>#REF!</v>
      </c>
      <c r="O40" s="646" t="e">
        <f t="shared" si="6"/>
        <v>#REF!</v>
      </c>
      <c r="P40" s="646" t="e">
        <f t="shared" si="6"/>
        <v>#REF!</v>
      </c>
      <c r="Q40" s="646" t="e">
        <f t="shared" si="6"/>
        <v>#REF!</v>
      </c>
    </row>
    <row r="43" spans="2:17" x14ac:dyDescent="0.25">
      <c r="B43" s="440"/>
      <c r="C43" s="686">
        <v>2014</v>
      </c>
      <c r="D43" s="687">
        <v>2015</v>
      </c>
      <c r="E43" s="688">
        <v>2016</v>
      </c>
      <c r="F43" s="688" t="s">
        <v>404</v>
      </c>
      <c r="L43" s="440"/>
      <c r="M43" s="686">
        <v>2014</v>
      </c>
      <c r="N43" s="687">
        <v>2015</v>
      </c>
      <c r="O43" s="688">
        <v>2016</v>
      </c>
      <c r="P43" s="688" t="s">
        <v>404</v>
      </c>
    </row>
    <row r="44" spans="2:17" x14ac:dyDescent="0.25">
      <c r="B44" s="689"/>
      <c r="C44" s="689"/>
      <c r="D44" s="689"/>
      <c r="E44" s="689"/>
      <c r="F44" s="689"/>
      <c r="L44" s="689"/>
      <c r="M44" s="689"/>
      <c r="N44" s="689"/>
      <c r="O44" s="689"/>
      <c r="P44" s="689"/>
    </row>
    <row r="45" spans="2:17" x14ac:dyDescent="0.25">
      <c r="B45" s="690" t="s">
        <v>470</v>
      </c>
      <c r="C45" s="501" t="e">
        <f>'1.5 Assumptions book'!#REF!</f>
        <v>#REF!</v>
      </c>
      <c r="D45" s="501" t="e">
        <f>'1.5 Assumptions book'!#REF!</f>
        <v>#REF!</v>
      </c>
      <c r="E45" s="501" t="e">
        <f>'1.5 Assumptions book'!#REF!</f>
        <v>#REF!</v>
      </c>
      <c r="F45" s="691" t="e">
        <f>'1.5 Assumptions book'!#REF!</f>
        <v>#REF!</v>
      </c>
      <c r="L45" s="690" t="s">
        <v>471</v>
      </c>
      <c r="M45" s="501" t="e">
        <f>C45</f>
        <v>#REF!</v>
      </c>
      <c r="N45" s="501" t="e">
        <f t="shared" ref="N45:P46" si="8">D45</f>
        <v>#REF!</v>
      </c>
      <c r="O45" s="501" t="e">
        <f t="shared" si="8"/>
        <v>#REF!</v>
      </c>
      <c r="P45" s="691" t="e">
        <f t="shared" si="8"/>
        <v>#REF!</v>
      </c>
    </row>
    <row r="46" spans="2:17" x14ac:dyDescent="0.25">
      <c r="B46" s="690" t="s">
        <v>472</v>
      </c>
      <c r="C46" s="692" t="e">
        <f>'1.5 Assumptions book'!#REF!</f>
        <v>#REF!</v>
      </c>
      <c r="D46" s="692" t="e">
        <f>'1.5 Assumptions book'!#REF!</f>
        <v>#REF!</v>
      </c>
      <c r="E46" s="805" t="e">
        <f>'1.5 Assumptions book'!#REF!</f>
        <v>#REF!</v>
      </c>
      <c r="F46" s="806" t="e">
        <f>'1.5 Assumptions book'!#REF!</f>
        <v>#REF!</v>
      </c>
      <c r="L46" s="690" t="s">
        <v>287</v>
      </c>
      <c r="M46" s="692" t="e">
        <f t="shared" ref="M46" si="9">C46</f>
        <v>#REF!</v>
      </c>
      <c r="N46" s="692" t="e">
        <f t="shared" si="8"/>
        <v>#REF!</v>
      </c>
      <c r="O46" s="692" t="e">
        <f t="shared" si="8"/>
        <v>#REF!</v>
      </c>
      <c r="P46" s="693" t="e">
        <f t="shared" si="8"/>
        <v>#REF!</v>
      </c>
    </row>
    <row r="48" spans="2:17" x14ac:dyDescent="0.25">
      <c r="B48" s="626"/>
      <c r="C48" s="626" t="s">
        <v>473</v>
      </c>
      <c r="D48" s="626" t="s">
        <v>474</v>
      </c>
      <c r="L48" s="626"/>
      <c r="M48" s="626" t="s">
        <v>475</v>
      </c>
      <c r="N48" s="626" t="s">
        <v>474</v>
      </c>
    </row>
    <row r="49" spans="2:15" x14ac:dyDescent="0.25">
      <c r="B49" s="626"/>
      <c r="C49" s="626"/>
      <c r="D49" s="626"/>
      <c r="L49" s="626"/>
      <c r="M49" s="626"/>
      <c r="N49" s="626"/>
    </row>
    <row r="50" spans="2:15" x14ac:dyDescent="0.25">
      <c r="B50" s="626" t="s">
        <v>297</v>
      </c>
      <c r="C50" s="694">
        <v>0.105</v>
      </c>
      <c r="D50" s="694">
        <v>0.17399999999999999</v>
      </c>
      <c r="L50" s="626" t="s">
        <v>476</v>
      </c>
      <c r="M50" s="694">
        <v>0.105</v>
      </c>
      <c r="N50" s="694">
        <v>0.17399999999999999</v>
      </c>
    </row>
    <row r="51" spans="2:15" x14ac:dyDescent="0.25">
      <c r="B51" s="626" t="s">
        <v>477</v>
      </c>
      <c r="C51" s="694">
        <v>4.5999999999999999E-2</v>
      </c>
      <c r="D51" s="694">
        <v>0.127</v>
      </c>
      <c r="L51" s="626" t="s">
        <v>478</v>
      </c>
      <c r="M51" s="694">
        <v>4.5999999999999999E-2</v>
      </c>
      <c r="N51" s="694">
        <v>0.127</v>
      </c>
    </row>
    <row r="52" spans="2:15" x14ac:dyDescent="0.25">
      <c r="B52" s="695" t="s">
        <v>479</v>
      </c>
      <c r="L52" s="695" t="s">
        <v>480</v>
      </c>
    </row>
    <row r="53" spans="2:15" x14ac:dyDescent="0.25">
      <c r="B53" s="626"/>
      <c r="C53" s="626"/>
      <c r="D53" s="626"/>
      <c r="L53" s="626"/>
      <c r="M53" s="626"/>
      <c r="N53" s="626"/>
    </row>
    <row r="54" spans="2:15" x14ac:dyDescent="0.25">
      <c r="B54" s="626" t="s">
        <v>481</v>
      </c>
      <c r="C54" s="626"/>
      <c r="D54" s="696">
        <v>1.7</v>
      </c>
      <c r="L54" s="626" t="s">
        <v>482</v>
      </c>
      <c r="M54" s="626"/>
      <c r="N54" s="696">
        <v>1.7</v>
      </c>
    </row>
    <row r="55" spans="2:15" x14ac:dyDescent="0.25">
      <c r="B55" s="626" t="s">
        <v>483</v>
      </c>
      <c r="C55" s="626"/>
      <c r="D55" s="696">
        <v>2.2999999999999998</v>
      </c>
      <c r="L55" s="626" t="s">
        <v>483</v>
      </c>
      <c r="M55" s="626"/>
      <c r="N55" s="696">
        <v>2.2999999999999998</v>
      </c>
    </row>
    <row r="56" spans="2:15" x14ac:dyDescent="0.25">
      <c r="B56" s="626" t="s">
        <v>484</v>
      </c>
      <c r="C56" s="626"/>
      <c r="D56" s="697">
        <v>2.5</v>
      </c>
      <c r="L56" s="626" t="s">
        <v>484</v>
      </c>
      <c r="M56" s="626"/>
      <c r="N56" s="697">
        <v>2.5</v>
      </c>
    </row>
    <row r="57" spans="2:15" x14ac:dyDescent="0.25">
      <c r="B57" s="626" t="s">
        <v>485</v>
      </c>
      <c r="C57" s="626"/>
      <c r="D57" s="696">
        <v>3</v>
      </c>
      <c r="L57" s="626" t="s">
        <v>486</v>
      </c>
      <c r="M57" s="626"/>
      <c r="N57" s="696">
        <v>3</v>
      </c>
    </row>
    <row r="58" spans="2:15" x14ac:dyDescent="0.25">
      <c r="B58" s="626" t="s">
        <v>487</v>
      </c>
      <c r="C58" s="626"/>
      <c r="D58" s="696">
        <v>3.6</v>
      </c>
      <c r="L58" s="626" t="s">
        <v>488</v>
      </c>
      <c r="M58" s="626"/>
      <c r="N58" s="696">
        <v>3.6</v>
      </c>
    </row>
    <row r="59" spans="2:15" x14ac:dyDescent="0.25">
      <c r="B59" s="626" t="s">
        <v>489</v>
      </c>
      <c r="C59" s="626"/>
      <c r="D59" s="696">
        <v>6.1</v>
      </c>
      <c r="L59" s="626" t="s">
        <v>490</v>
      </c>
      <c r="M59" s="626"/>
      <c r="N59" s="696">
        <v>6.1</v>
      </c>
    </row>
    <row r="60" spans="2:15" x14ac:dyDescent="0.25">
      <c r="B60" s="626" t="s">
        <v>491</v>
      </c>
      <c r="C60" s="626"/>
      <c r="D60" s="696">
        <v>5.0999999999999996</v>
      </c>
      <c r="L60" s="626" t="s">
        <v>492</v>
      </c>
      <c r="M60" s="626"/>
      <c r="N60" s="696">
        <v>5.0999999999999996</v>
      </c>
    </row>
    <row r="63" spans="2:15" x14ac:dyDescent="0.25">
      <c r="B63" s="626"/>
      <c r="C63" s="701">
        <v>2015</v>
      </c>
      <c r="D63" s="701">
        <v>2016</v>
      </c>
      <c r="E63" s="701">
        <v>2017</v>
      </c>
      <c r="L63" s="626"/>
      <c r="M63" s="701">
        <v>2015</v>
      </c>
      <c r="N63" s="701">
        <v>2016</v>
      </c>
      <c r="O63" s="701">
        <v>2017</v>
      </c>
    </row>
    <row r="64" spans="2:15" x14ac:dyDescent="0.25">
      <c r="B64" s="626"/>
      <c r="C64" s="626"/>
      <c r="D64" s="626"/>
      <c r="E64" s="626"/>
      <c r="L64" s="626"/>
      <c r="M64" s="626"/>
      <c r="N64" s="626"/>
      <c r="O64" s="626"/>
    </row>
    <row r="65" spans="2:16" x14ac:dyDescent="0.25">
      <c r="B65" s="698" t="s">
        <v>497</v>
      </c>
      <c r="C65" s="699">
        <v>669</v>
      </c>
      <c r="D65" s="699">
        <v>830</v>
      </c>
      <c r="E65" s="699" t="e">
        <f>'2.2. OPEX'!#REF!</f>
        <v>#REF!</v>
      </c>
      <c r="L65" s="698" t="s">
        <v>494</v>
      </c>
      <c r="M65" s="699">
        <f>SUM(M66:M67)/1000</f>
        <v>250</v>
      </c>
      <c r="N65" s="699">
        <f t="shared" ref="N65:O65" si="10">SUM(N66:N67)/1000</f>
        <v>450</v>
      </c>
      <c r="O65" s="699">
        <f t="shared" si="10"/>
        <v>400</v>
      </c>
    </row>
    <row r="66" spans="2:16" x14ac:dyDescent="0.25">
      <c r="B66" s="626" t="s">
        <v>495</v>
      </c>
      <c r="C66" s="700">
        <v>250000</v>
      </c>
      <c r="D66" s="700">
        <v>450000</v>
      </c>
      <c r="E66" s="700">
        <v>250000</v>
      </c>
      <c r="L66" s="626" t="s">
        <v>495</v>
      </c>
      <c r="M66" s="700">
        <v>250000</v>
      </c>
      <c r="N66" s="700">
        <v>450000</v>
      </c>
      <c r="O66" s="700">
        <v>250000</v>
      </c>
    </row>
    <row r="67" spans="2:16" x14ac:dyDescent="0.25">
      <c r="B67" s="626" t="s">
        <v>496</v>
      </c>
      <c r="C67" s="700"/>
      <c r="D67" s="700"/>
      <c r="E67" s="700">
        <v>150000</v>
      </c>
      <c r="L67" s="626" t="s">
        <v>496</v>
      </c>
      <c r="M67" s="700"/>
      <c r="N67" s="700"/>
      <c r="O67" s="700">
        <v>150000</v>
      </c>
    </row>
    <row r="68" spans="2:16" x14ac:dyDescent="0.25">
      <c r="B68" s="698" t="s">
        <v>162</v>
      </c>
      <c r="C68" s="626"/>
      <c r="D68" s="626"/>
      <c r="E68" s="626"/>
      <c r="L68" s="698" t="s">
        <v>162</v>
      </c>
      <c r="M68" s="626"/>
      <c r="N68" s="626"/>
      <c r="O68" s="626"/>
    </row>
    <row r="69" spans="2:16" x14ac:dyDescent="0.25">
      <c r="C69" s="702">
        <v>2016</v>
      </c>
      <c r="M69" s="702">
        <v>2016</v>
      </c>
    </row>
    <row r="70" spans="2:16" x14ac:dyDescent="0.25">
      <c r="B70" t="s">
        <v>499</v>
      </c>
      <c r="C70">
        <f>SUM('3.1. Income Statement'!L24:L25)</f>
        <v>4618.5339250026864</v>
      </c>
      <c r="D70" t="s">
        <v>500</v>
      </c>
      <c r="L70" t="s">
        <v>498</v>
      </c>
      <c r="M70">
        <f>C70</f>
        <v>4618.5339250026864</v>
      </c>
    </row>
    <row r="71" spans="2:16" x14ac:dyDescent="0.25">
      <c r="B71" t="s">
        <v>462</v>
      </c>
      <c r="C71">
        <f>'3.1. Income Statement'!L36-SUM('3.1. Income Statement'!L24:L25)</f>
        <v>2861.2593144944658</v>
      </c>
      <c r="D71" t="s">
        <v>500</v>
      </c>
      <c r="L71" t="s">
        <v>40</v>
      </c>
      <c r="M71">
        <f t="shared" ref="M71:M72" si="11">C71</f>
        <v>2861.2593144944658</v>
      </c>
    </row>
    <row r="72" spans="2:16" x14ac:dyDescent="0.25">
      <c r="B72" t="s">
        <v>162</v>
      </c>
      <c r="C72">
        <f>SUM(C70:C71)</f>
        <v>7479.7932394971522</v>
      </c>
      <c r="L72" t="s">
        <v>501</v>
      </c>
      <c r="M72">
        <f t="shared" si="11"/>
        <v>7479.7932394971522</v>
      </c>
    </row>
    <row r="73" spans="2:16" x14ac:dyDescent="0.25">
      <c r="C73">
        <f>'3.1. Income Statement'!L36</f>
        <v>7479.7932394971522</v>
      </c>
    </row>
    <row r="74" spans="2:16" x14ac:dyDescent="0.25">
      <c r="B74" s="9"/>
      <c r="C74" s="704" t="s">
        <v>381</v>
      </c>
      <c r="D74" s="704" t="s">
        <v>382</v>
      </c>
      <c r="E74" s="704" t="s">
        <v>383</v>
      </c>
      <c r="F74" s="704" t="s">
        <v>384</v>
      </c>
      <c r="L74" s="9"/>
      <c r="M74" s="704" t="s">
        <v>381</v>
      </c>
      <c r="N74" s="704" t="s">
        <v>382</v>
      </c>
      <c r="O74" s="704" t="s">
        <v>383</v>
      </c>
      <c r="P74" s="704" t="s">
        <v>384</v>
      </c>
    </row>
    <row r="75" spans="2:16" x14ac:dyDescent="0.25">
      <c r="B75" s="626"/>
      <c r="C75" s="626"/>
      <c r="D75" s="626"/>
      <c r="E75" s="626"/>
      <c r="F75" s="11"/>
      <c r="L75" s="626"/>
      <c r="M75" s="626"/>
      <c r="N75" s="626"/>
      <c r="O75" s="626"/>
      <c r="P75" s="11"/>
    </row>
    <row r="76" spans="2:16" x14ac:dyDescent="0.25">
      <c r="B76" s="705" t="s">
        <v>502</v>
      </c>
      <c r="C76" s="706">
        <f>'4.1.Summary'!J442</f>
        <v>4.9790619087913068</v>
      </c>
      <c r="D76" s="706">
        <f>'4.1.Summary'!K442</f>
        <v>9.6831007377246543</v>
      </c>
      <c r="E76" s="706">
        <f>'4.1.Summary'!L442</f>
        <v>7.5570960395401325</v>
      </c>
      <c r="F76" s="706">
        <f>'4.1.Summary'!M442</f>
        <v>0</v>
      </c>
      <c r="G76" s="641">
        <f>F76/E76</f>
        <v>0</v>
      </c>
      <c r="L76" s="705" t="s">
        <v>241</v>
      </c>
      <c r="M76" s="706">
        <f>C76</f>
        <v>4.9790619087913068</v>
      </c>
      <c r="N76" s="706">
        <f t="shared" ref="N76:N78" si="12">D76</f>
        <v>9.6831007377246543</v>
      </c>
      <c r="O76" s="706">
        <f t="shared" ref="O76:O78" si="13">E76</f>
        <v>7.5570960395401325</v>
      </c>
      <c r="P76" s="706">
        <f t="shared" ref="P76:P78" si="14">F76</f>
        <v>0</v>
      </c>
    </row>
    <row r="77" spans="2:16" x14ac:dyDescent="0.25">
      <c r="B77" s="705" t="s">
        <v>57</v>
      </c>
      <c r="C77" s="706">
        <f>'4.1.Summary'!J443</f>
        <v>0.37529179878863395</v>
      </c>
      <c r="D77" s="706">
        <f>'4.1.Summary'!K443</f>
        <v>0.60949873470370408</v>
      </c>
      <c r="E77" s="706">
        <f>'4.1.Summary'!L443</f>
        <v>0.63601205973998276</v>
      </c>
      <c r="F77" s="706">
        <f>'4.1.Summary'!M443</f>
        <v>0</v>
      </c>
      <c r="L77" s="705" t="s">
        <v>57</v>
      </c>
      <c r="M77" s="706">
        <f t="shared" ref="M77:M78" si="15">C77</f>
        <v>0.37529179878863395</v>
      </c>
      <c r="N77" s="706">
        <f t="shared" si="12"/>
        <v>0.60949873470370408</v>
      </c>
      <c r="O77" s="706">
        <f t="shared" si="13"/>
        <v>0.63601205973998276</v>
      </c>
      <c r="P77" s="706">
        <f t="shared" si="14"/>
        <v>0</v>
      </c>
    </row>
    <row r="78" spans="2:16" x14ac:dyDescent="0.25">
      <c r="B78" s="705" t="s">
        <v>503</v>
      </c>
      <c r="C78" s="706">
        <f>'4.1.Summary'!J444</f>
        <v>0.25092998797541582</v>
      </c>
      <c r="D78" s="706">
        <f>'4.1.Summary'!K444</f>
        <v>0.43760727217004664</v>
      </c>
      <c r="E78" s="706">
        <f>'4.1.Summary'!L444</f>
        <v>0.44406838293757595</v>
      </c>
      <c r="F78" s="706">
        <f>'4.1.Summary'!M444</f>
        <v>0</v>
      </c>
      <c r="L78" s="705" t="s">
        <v>504</v>
      </c>
      <c r="M78" s="706">
        <f t="shared" si="15"/>
        <v>0.25092998797541582</v>
      </c>
      <c r="N78" s="706">
        <f t="shared" si="12"/>
        <v>0.43760727217004664</v>
      </c>
      <c r="O78" s="706">
        <f t="shared" si="13"/>
        <v>0.44406838293757595</v>
      </c>
      <c r="P78" s="706">
        <f t="shared" si="14"/>
        <v>0</v>
      </c>
    </row>
    <row r="81" spans="2:17" x14ac:dyDescent="0.25">
      <c r="B81" s="9"/>
      <c r="C81" s="607" t="s">
        <v>381</v>
      </c>
      <c r="D81" s="607" t="s">
        <v>382</v>
      </c>
      <c r="E81" s="607" t="s">
        <v>383</v>
      </c>
      <c r="F81" s="607" t="s">
        <v>384</v>
      </c>
      <c r="G81" s="10"/>
      <c r="L81" s="9"/>
      <c r="M81" s="607" t="s">
        <v>381</v>
      </c>
      <c r="N81" s="607" t="s">
        <v>382</v>
      </c>
      <c r="O81" s="607" t="s">
        <v>383</v>
      </c>
      <c r="P81" s="607" t="s">
        <v>384</v>
      </c>
    </row>
    <row r="82" spans="2:17" x14ac:dyDescent="0.25">
      <c r="G82" s="10"/>
    </row>
    <row r="83" spans="2:17" x14ac:dyDescent="0.25">
      <c r="B83" s="583" t="s">
        <v>505</v>
      </c>
      <c r="C83" s="584">
        <f>'4.1.Summary'!J458</f>
        <v>3.4262788245138842</v>
      </c>
      <c r="D83" s="584">
        <f>'4.1.Summary'!K458</f>
        <v>5.5645869519496962</v>
      </c>
      <c r="E83" s="584">
        <f>'4.1.Summary'!L458</f>
        <v>4.7626171594588218</v>
      </c>
      <c r="F83" s="584">
        <f>'4.1.Summary'!M458</f>
        <v>0</v>
      </c>
      <c r="G83" s="10"/>
      <c r="L83" s="583" t="s">
        <v>71</v>
      </c>
      <c r="M83" s="584">
        <f t="shared" ref="M83:P84" si="16">C83</f>
        <v>3.4262788245138842</v>
      </c>
      <c r="N83" s="584">
        <f t="shared" si="16"/>
        <v>5.5645869519496962</v>
      </c>
      <c r="O83" s="584">
        <f t="shared" si="16"/>
        <v>4.7626171594588218</v>
      </c>
      <c r="P83" s="584">
        <f t="shared" si="16"/>
        <v>0</v>
      </c>
    </row>
    <row r="84" spans="2:17" x14ac:dyDescent="0.25">
      <c r="B84" s="583" t="s">
        <v>506</v>
      </c>
      <c r="C84" s="584">
        <f>'4.1.Summary'!J457</f>
        <v>0.18026861112946205</v>
      </c>
      <c r="D84" s="584">
        <f>'4.1.Summary'!K457</f>
        <v>0.11977430092066017</v>
      </c>
      <c r="E84" s="584">
        <f>'4.1.Summary'!L457</f>
        <v>8.3594946289585914E-2</v>
      </c>
      <c r="F84" s="584">
        <f>'4.1.Summary'!M457</f>
        <v>0</v>
      </c>
      <c r="L84" s="583" t="s">
        <v>72</v>
      </c>
      <c r="M84" s="584">
        <f t="shared" si="16"/>
        <v>0.18026861112946205</v>
      </c>
      <c r="N84" s="584">
        <f t="shared" si="16"/>
        <v>0.11977430092066017</v>
      </c>
      <c r="O84" s="584">
        <f t="shared" si="16"/>
        <v>8.3594946289585914E-2</v>
      </c>
      <c r="P84" s="584">
        <f t="shared" si="16"/>
        <v>0</v>
      </c>
    </row>
    <row r="86" spans="2:17" x14ac:dyDescent="0.25">
      <c r="B86" s="9"/>
      <c r="C86" s="607" t="s">
        <v>381</v>
      </c>
      <c r="D86" s="607" t="s">
        <v>382</v>
      </c>
      <c r="E86" s="607" t="s">
        <v>383</v>
      </c>
      <c r="F86" s="607" t="s">
        <v>384</v>
      </c>
      <c r="L86" s="9"/>
      <c r="M86" s="607" t="s">
        <v>381</v>
      </c>
      <c r="N86" s="607" t="s">
        <v>382</v>
      </c>
      <c r="O86" s="607" t="s">
        <v>383</v>
      </c>
      <c r="P86" s="607" t="s">
        <v>384</v>
      </c>
    </row>
    <row r="88" spans="2:17" x14ac:dyDescent="0.25">
      <c r="B88" s="583" t="s">
        <v>507</v>
      </c>
      <c r="C88" s="584">
        <f>'4.1.Summary'!J461</f>
        <v>1.1555737046090153</v>
      </c>
      <c r="D88" s="584">
        <f>'4.1.Summary'!K461</f>
        <v>0.83983950898126503</v>
      </c>
      <c r="E88" s="584">
        <f>'4.1.Summary'!L461</f>
        <v>1.1666052102317803</v>
      </c>
      <c r="F88" s="584">
        <f>'4.1.Summary'!M461</f>
        <v>0</v>
      </c>
      <c r="L88" s="583" t="s">
        <v>68</v>
      </c>
      <c r="M88" s="584">
        <f>C89</f>
        <v>2.3923846314769555</v>
      </c>
      <c r="N88" s="584">
        <f>D89</f>
        <v>4.8235979097366783</v>
      </c>
      <c r="O88" s="584">
        <f>E89</f>
        <v>3.6613908810223208</v>
      </c>
      <c r="P88" s="584">
        <f>F89</f>
        <v>0</v>
      </c>
    </row>
    <row r="89" spans="2:17" x14ac:dyDescent="0.25">
      <c r="B89" s="583" t="s">
        <v>508</v>
      </c>
      <c r="C89" s="584">
        <f>'4.1.Summary'!J462</f>
        <v>2.3923846314769555</v>
      </c>
      <c r="D89" s="584">
        <f>'4.1.Summary'!K462</f>
        <v>4.8235979097366783</v>
      </c>
      <c r="E89" s="584">
        <f>'4.1.Summary'!L462</f>
        <v>3.6613908810223208</v>
      </c>
      <c r="F89" s="584">
        <f>'4.1.Summary'!M462</f>
        <v>0</v>
      </c>
      <c r="L89" s="583" t="s">
        <v>69</v>
      </c>
      <c r="M89" s="584">
        <f>C88</f>
        <v>1.1555737046090153</v>
      </c>
      <c r="N89" s="584">
        <f>D88</f>
        <v>0.83983950898126503</v>
      </c>
      <c r="O89" s="584">
        <f>E88</f>
        <v>1.1666052102317803</v>
      </c>
      <c r="P89" s="584">
        <f>F88</f>
        <v>0</v>
      </c>
    </row>
    <row r="90" spans="2:17" x14ac:dyDescent="0.25">
      <c r="B90" s="583" t="s">
        <v>509</v>
      </c>
      <c r="C90" s="584">
        <f>'4.1.Summary'!J463</f>
        <v>0</v>
      </c>
      <c r="D90" s="584">
        <f>'4.1.Summary'!K463</f>
        <v>0</v>
      </c>
      <c r="E90" s="584">
        <f>'4.1.Summary'!L463</f>
        <v>0</v>
      </c>
      <c r="F90" s="584">
        <f>'4.1.Summary'!M463</f>
        <v>0</v>
      </c>
      <c r="L90" s="583" t="s">
        <v>67</v>
      </c>
      <c r="M90" s="584">
        <f t="shared" ref="M90" si="17">C90</f>
        <v>0</v>
      </c>
      <c r="N90" s="584">
        <f t="shared" ref="N90" si="18">D90</f>
        <v>0</v>
      </c>
      <c r="O90" s="584">
        <f t="shared" ref="O90" si="19">E90</f>
        <v>0</v>
      </c>
      <c r="P90" s="584">
        <f t="shared" ref="P90" si="20">F90</f>
        <v>0</v>
      </c>
    </row>
    <row r="95" spans="2:17" x14ac:dyDescent="0.25">
      <c r="B95" s="936" t="s">
        <v>510</v>
      </c>
      <c r="C95" s="937"/>
      <c r="D95" s="937"/>
      <c r="E95" s="937"/>
      <c r="F95" s="937"/>
      <c r="G95" s="937"/>
      <c r="L95" s="707" t="s">
        <v>551</v>
      </c>
      <c r="M95" s="724"/>
      <c r="N95" s="724"/>
      <c r="O95" s="724"/>
      <c r="P95" s="724"/>
      <c r="Q95" s="737"/>
    </row>
    <row r="96" spans="2:17" ht="15.6" x14ac:dyDescent="0.15">
      <c r="B96" s="647" t="s">
        <v>511</v>
      </c>
      <c r="C96" s="648" t="s">
        <v>381</v>
      </c>
      <c r="D96" s="648" t="s">
        <v>382</v>
      </c>
      <c r="E96" s="648" t="s">
        <v>383</v>
      </c>
      <c r="F96" s="648" t="s">
        <v>384</v>
      </c>
      <c r="G96" s="649" t="s">
        <v>387</v>
      </c>
      <c r="L96" s="647" t="s">
        <v>255</v>
      </c>
      <c r="M96" s="648" t="s">
        <v>381</v>
      </c>
      <c r="N96" s="648" t="s">
        <v>382</v>
      </c>
      <c r="O96" s="648" t="s">
        <v>383</v>
      </c>
      <c r="P96" s="648" t="s">
        <v>384</v>
      </c>
      <c r="Q96" s="649" t="s">
        <v>387</v>
      </c>
    </row>
    <row r="97" spans="2:17" x14ac:dyDescent="0.25">
      <c r="B97" s="650" t="s">
        <v>512</v>
      </c>
      <c r="C97" s="708">
        <f>'4.1.Summary'!J9</f>
        <v>4979.0619087913065</v>
      </c>
      <c r="D97" s="708">
        <f>'4.1.Summary'!K9</f>
        <v>9683.1007377246551</v>
      </c>
      <c r="E97" s="708">
        <f>'4.1.Summary'!L9</f>
        <v>7557.0960395401326</v>
      </c>
      <c r="F97" s="708">
        <f>'4.1.Summary'!M9</f>
        <v>0</v>
      </c>
      <c r="G97" s="725">
        <f>'4.1.Summary'!N9</f>
        <v>0.23198014208023054</v>
      </c>
      <c r="L97" s="650" t="s">
        <v>552</v>
      </c>
      <c r="M97" s="708">
        <f>C97</f>
        <v>4979.0619087913065</v>
      </c>
      <c r="N97" s="708">
        <f t="shared" ref="N97:N142" si="21">D97</f>
        <v>9683.1007377246551</v>
      </c>
      <c r="O97" s="708">
        <f t="shared" ref="O97:O142" si="22">E97</f>
        <v>7557.0960395401326</v>
      </c>
      <c r="P97" s="708">
        <f t="shared" ref="P97:P142" si="23">F97</f>
        <v>0</v>
      </c>
      <c r="Q97" s="725">
        <f t="shared" ref="Q97:Q142" si="24">G97</f>
        <v>0.23198014208023054</v>
      </c>
    </row>
    <row r="98" spans="2:17" x14ac:dyDescent="0.25">
      <c r="B98" s="655" t="s">
        <v>513</v>
      </c>
      <c r="C98" s="709">
        <f>'4.1.Summary'!J10</f>
        <v>3581.311171728868</v>
      </c>
      <c r="D98" s="709">
        <f>'4.1.Summary'!K10</f>
        <v>8365.4754405551539</v>
      </c>
      <c r="E98" s="709">
        <f>'4.1.Summary'!L10</f>
        <v>6263.9606425271304</v>
      </c>
      <c r="F98" s="709">
        <f>'4.1.Summary'!M10</f>
        <v>0</v>
      </c>
      <c r="G98" s="726">
        <f>'4.1.Summary'!N10</f>
        <v>0.32252375469423566</v>
      </c>
      <c r="L98" s="655" t="s">
        <v>553</v>
      </c>
      <c r="M98" s="709">
        <f t="shared" ref="M98:M142" si="25">C98</f>
        <v>3581.311171728868</v>
      </c>
      <c r="N98" s="709">
        <f t="shared" si="21"/>
        <v>8365.4754405551539</v>
      </c>
      <c r="O98" s="709">
        <f t="shared" si="22"/>
        <v>6263.9606425271304</v>
      </c>
      <c r="P98" s="709">
        <f t="shared" si="23"/>
        <v>0</v>
      </c>
      <c r="Q98" s="726">
        <f t="shared" si="24"/>
        <v>0.32252375469423566</v>
      </c>
    </row>
    <row r="99" spans="2:17" x14ac:dyDescent="0.25">
      <c r="B99" s="655" t="s">
        <v>514</v>
      </c>
      <c r="C99" s="709">
        <f>'4.1.Summary'!J11</f>
        <v>379.61050146967131</v>
      </c>
      <c r="D99" s="709">
        <f>'4.1.Summary'!K11</f>
        <v>691.0021080974584</v>
      </c>
      <c r="E99" s="709">
        <f>'4.1.Summary'!L11</f>
        <v>416.49837756527342</v>
      </c>
      <c r="F99" s="709">
        <f>'4.1.Summary'!M11</f>
        <v>0</v>
      </c>
      <c r="G99" s="726">
        <f>'4.1.Summary'!N11</f>
        <v>4.7460242708311728E-2</v>
      </c>
      <c r="L99" s="655" t="s">
        <v>554</v>
      </c>
      <c r="M99" s="709">
        <f t="shared" si="25"/>
        <v>379.61050146967131</v>
      </c>
      <c r="N99" s="709">
        <f t="shared" si="21"/>
        <v>691.0021080974584</v>
      </c>
      <c r="O99" s="709">
        <f t="shared" si="22"/>
        <v>416.49837756527342</v>
      </c>
      <c r="P99" s="709">
        <f t="shared" si="23"/>
        <v>0</v>
      </c>
      <c r="Q99" s="726">
        <f t="shared" si="24"/>
        <v>4.7460242708311728E-2</v>
      </c>
    </row>
    <row r="100" spans="2:17" x14ac:dyDescent="0.25">
      <c r="B100" s="655" t="s">
        <v>515</v>
      </c>
      <c r="C100" s="709">
        <f>'4.1.Summary'!J12</f>
        <v>1025.8539703393606</v>
      </c>
      <c r="D100" s="709">
        <f>'4.1.Summary'!K12</f>
        <v>636.83500142291098</v>
      </c>
      <c r="E100" s="709">
        <f>'4.1.Summary'!L12</f>
        <v>913.85854303212636</v>
      </c>
      <c r="F100" s="709">
        <f>'4.1.Summary'!M12</f>
        <v>0</v>
      </c>
      <c r="G100" s="726">
        <f>'4.1.Summary'!N12</f>
        <v>-5.6163613243395027E-2</v>
      </c>
      <c r="L100" s="655" t="s">
        <v>555</v>
      </c>
      <c r="M100" s="709">
        <f t="shared" si="25"/>
        <v>1025.8539703393606</v>
      </c>
      <c r="N100" s="709">
        <f t="shared" si="21"/>
        <v>636.83500142291098</v>
      </c>
      <c r="O100" s="709">
        <f t="shared" si="22"/>
        <v>913.85854303212636</v>
      </c>
      <c r="P100" s="709">
        <f t="shared" si="23"/>
        <v>0</v>
      </c>
      <c r="Q100" s="726">
        <f t="shared" si="24"/>
        <v>-5.6163613243395027E-2</v>
      </c>
    </row>
    <row r="101" spans="2:17" x14ac:dyDescent="0.25">
      <c r="B101" s="710" t="s">
        <v>516</v>
      </c>
      <c r="C101" s="709">
        <f>'4.1.Summary'!J13</f>
        <v>339.79780885365636</v>
      </c>
      <c r="D101" s="709">
        <f>'4.1.Summary'!K13</f>
        <v>-98.606860620389227</v>
      </c>
      <c r="E101" s="709">
        <f>'4.1.Summary'!L13</f>
        <v>517.80552272483078</v>
      </c>
      <c r="F101" s="709">
        <f>'4.1.Summary'!M13</f>
        <v>0</v>
      </c>
      <c r="G101" s="726">
        <f>'4.1.Summary'!N13</f>
        <v>0.2344487153229049</v>
      </c>
      <c r="L101" s="710" t="s">
        <v>556</v>
      </c>
      <c r="M101" s="709">
        <f t="shared" si="25"/>
        <v>339.79780885365636</v>
      </c>
      <c r="N101" s="709">
        <f t="shared" si="21"/>
        <v>-98.606860620389227</v>
      </c>
      <c r="O101" s="709">
        <f t="shared" si="22"/>
        <v>517.80552272483078</v>
      </c>
      <c r="P101" s="709">
        <f t="shared" si="23"/>
        <v>0</v>
      </c>
      <c r="Q101" s="726">
        <f t="shared" si="24"/>
        <v>0.2344487153229049</v>
      </c>
    </row>
    <row r="102" spans="2:17" x14ac:dyDescent="0.25">
      <c r="B102" s="710" t="s">
        <v>517</v>
      </c>
      <c r="C102" s="709">
        <f>'4.1.Summary'!J14</f>
        <v>59.596664291440284</v>
      </c>
      <c r="D102" s="709">
        <f>'4.1.Summary'!K14</f>
        <v>42.926015192311901</v>
      </c>
      <c r="E102" s="709">
        <f>'4.1.Summary'!L14</f>
        <v>40.90373697217148</v>
      </c>
      <c r="F102" s="709">
        <f>'4.1.Summary'!M14</f>
        <v>0</v>
      </c>
      <c r="G102" s="726">
        <f>'4.1.Summary'!N14</f>
        <v>-0.17154195940606887</v>
      </c>
      <c r="L102" s="710" t="s">
        <v>557</v>
      </c>
      <c r="M102" s="709">
        <f t="shared" si="25"/>
        <v>59.596664291440284</v>
      </c>
      <c r="N102" s="709">
        <f t="shared" si="21"/>
        <v>42.926015192311901</v>
      </c>
      <c r="O102" s="709">
        <f t="shared" si="22"/>
        <v>40.90373697217148</v>
      </c>
      <c r="P102" s="709">
        <f t="shared" si="23"/>
        <v>0</v>
      </c>
      <c r="Q102" s="726">
        <f t="shared" si="24"/>
        <v>-0.17154195940606887</v>
      </c>
    </row>
    <row r="103" spans="2:17" x14ac:dyDescent="0.25">
      <c r="B103" s="711" t="s">
        <v>518</v>
      </c>
      <c r="C103" s="712">
        <f>'4.1.Summary'!J15</f>
        <v>4.275743742762983</v>
      </c>
      <c r="D103" s="712">
        <f>'4.1.Summary'!K15</f>
        <v>4.1828834745298922</v>
      </c>
      <c r="E103" s="712">
        <f>'4.1.Summary'!L15</f>
        <v>2.0312216611152896</v>
      </c>
      <c r="F103" s="712">
        <f>'4.1.Summary'!M15</f>
        <v>0</v>
      </c>
      <c r="G103" s="727">
        <f>'4.1.Summary'!N15</f>
        <v>-0.31075626817229784</v>
      </c>
      <c r="L103" s="711" t="s">
        <v>558</v>
      </c>
      <c r="M103" s="712">
        <f t="shared" si="25"/>
        <v>4.275743742762983</v>
      </c>
      <c r="N103" s="712">
        <f t="shared" si="21"/>
        <v>4.1828834745298922</v>
      </c>
      <c r="O103" s="712">
        <f t="shared" si="22"/>
        <v>2.0312216611152896</v>
      </c>
      <c r="P103" s="712">
        <f t="shared" si="23"/>
        <v>0</v>
      </c>
      <c r="Q103" s="727">
        <f t="shared" si="24"/>
        <v>-0.31075626817229784</v>
      </c>
    </row>
    <row r="104" spans="2:17" x14ac:dyDescent="0.25">
      <c r="B104" s="713" t="s">
        <v>519</v>
      </c>
      <c r="C104" s="714">
        <f>'4.1.Summary'!J16</f>
        <v>5378.456381936403</v>
      </c>
      <c r="D104" s="714">
        <f>'4.1.Summary'!K16</f>
        <v>9627.419892296577</v>
      </c>
      <c r="E104" s="714">
        <f>'4.1.Summary'!L16</f>
        <v>8115.8052992371349</v>
      </c>
      <c r="F104" s="714">
        <f>'4.1.Summary'!M16</f>
        <v>0</v>
      </c>
      <c r="G104" s="728">
        <f>'4.1.Summary'!N16</f>
        <v>0.22839201396015718</v>
      </c>
      <c r="L104" s="713" t="s">
        <v>559</v>
      </c>
      <c r="M104" s="714">
        <f t="shared" si="25"/>
        <v>5378.456381936403</v>
      </c>
      <c r="N104" s="714">
        <f t="shared" si="21"/>
        <v>9627.419892296577</v>
      </c>
      <c r="O104" s="714">
        <f t="shared" si="22"/>
        <v>8115.8052992371349</v>
      </c>
      <c r="P104" s="714">
        <f t="shared" si="23"/>
        <v>0</v>
      </c>
      <c r="Q104" s="728">
        <f t="shared" si="24"/>
        <v>0.22839201396015718</v>
      </c>
    </row>
    <row r="105" spans="2:17" ht="4.5" customHeight="1" x14ac:dyDescent="0.25">
      <c r="B105" s="715"/>
      <c r="C105" s="716"/>
      <c r="D105" s="716"/>
      <c r="E105" s="716"/>
      <c r="F105" s="716"/>
      <c r="G105" s="729"/>
      <c r="L105" s="715"/>
      <c r="M105" s="716"/>
      <c r="N105" s="716"/>
      <c r="O105" s="716"/>
      <c r="P105" s="716"/>
      <c r="Q105" s="729"/>
    </row>
    <row r="106" spans="2:17" x14ac:dyDescent="0.25">
      <c r="B106" s="660" t="s">
        <v>520</v>
      </c>
      <c r="C106" s="717">
        <f>'4.1.Summary'!J18</f>
        <v>163.79968602476174</v>
      </c>
      <c r="D106" s="717">
        <f>'4.1.Summary'!K18</f>
        <v>204.84446487598782</v>
      </c>
      <c r="E106" s="717">
        <f>'4.1.Summary'!L18</f>
        <v>232.32738798753627</v>
      </c>
      <c r="F106" s="717">
        <f>'4.1.Summary'!M18</f>
        <v>0</v>
      </c>
      <c r="G106" s="730">
        <f>'4.1.Summary'!N18</f>
        <v>0.19095039391712287</v>
      </c>
      <c r="L106" s="660" t="s">
        <v>560</v>
      </c>
      <c r="M106" s="717">
        <f t="shared" si="25"/>
        <v>163.79968602476174</v>
      </c>
      <c r="N106" s="717">
        <f t="shared" si="21"/>
        <v>204.84446487598782</v>
      </c>
      <c r="O106" s="717">
        <f t="shared" si="22"/>
        <v>232.32738798753627</v>
      </c>
      <c r="P106" s="717">
        <f t="shared" si="23"/>
        <v>0</v>
      </c>
      <c r="Q106" s="730">
        <f t="shared" si="24"/>
        <v>0.19095039391712287</v>
      </c>
    </row>
    <row r="107" spans="2:17" x14ac:dyDescent="0.25">
      <c r="B107" s="710" t="s">
        <v>521</v>
      </c>
      <c r="C107" s="709">
        <f>'4.1.Summary'!J19</f>
        <v>126.85824352008551</v>
      </c>
      <c r="D107" s="709">
        <f>'4.1.Summary'!K19</f>
        <v>158.22355027254218</v>
      </c>
      <c r="E107" s="709">
        <f>'4.1.Summary'!L19</f>
        <v>216.81959815192866</v>
      </c>
      <c r="F107" s="709">
        <f>'4.1.Summary'!M19</f>
        <v>0</v>
      </c>
      <c r="G107" s="726">
        <f>'4.1.Summary'!N19</f>
        <v>0.3073441282588425</v>
      </c>
      <c r="L107" s="655" t="s">
        <v>561</v>
      </c>
      <c r="M107" s="709">
        <f t="shared" si="25"/>
        <v>126.85824352008551</v>
      </c>
      <c r="N107" s="709">
        <f t="shared" si="21"/>
        <v>158.22355027254218</v>
      </c>
      <c r="O107" s="709">
        <f t="shared" si="22"/>
        <v>216.81959815192866</v>
      </c>
      <c r="P107" s="709">
        <f t="shared" si="23"/>
        <v>0</v>
      </c>
      <c r="Q107" s="726">
        <f t="shared" si="24"/>
        <v>0.3073441282588425</v>
      </c>
    </row>
    <row r="108" spans="2:17" x14ac:dyDescent="0.25">
      <c r="B108" s="710" t="s">
        <v>522</v>
      </c>
      <c r="C108" s="709">
        <f>'4.1.Summary'!J20</f>
        <v>8.057279326623318</v>
      </c>
      <c r="D108" s="709">
        <f>'4.1.Summary'!K20</f>
        <v>10.57507497646724</v>
      </c>
      <c r="E108" s="709">
        <f>'4.1.Summary'!L20</f>
        <v>10.629096379069518</v>
      </c>
      <c r="F108" s="709">
        <f>'4.1.Summary'!M20</f>
        <v>0</v>
      </c>
      <c r="G108" s="726">
        <f>'4.1.Summary'!N20</f>
        <v>0.1485607278349943</v>
      </c>
      <c r="L108" s="655" t="s">
        <v>562</v>
      </c>
      <c r="M108" s="709">
        <f t="shared" si="25"/>
        <v>8.057279326623318</v>
      </c>
      <c r="N108" s="709">
        <f t="shared" si="21"/>
        <v>10.57507497646724</v>
      </c>
      <c r="O108" s="709">
        <f t="shared" si="22"/>
        <v>10.629096379069518</v>
      </c>
      <c r="P108" s="709">
        <f t="shared" si="23"/>
        <v>0</v>
      </c>
      <c r="Q108" s="726">
        <f t="shared" si="24"/>
        <v>0.1485607278349943</v>
      </c>
    </row>
    <row r="109" spans="2:17" x14ac:dyDescent="0.25">
      <c r="B109" s="710" t="s">
        <v>523</v>
      </c>
      <c r="C109" s="709">
        <f>'4.1.Summary'!J21</f>
        <v>28.884163178052905</v>
      </c>
      <c r="D109" s="709">
        <f>'4.1.Summary'!K21</f>
        <v>36.045839626978392</v>
      </c>
      <c r="E109" s="709">
        <f>'4.1.Summary'!L21</f>
        <v>4.8786934565380893</v>
      </c>
      <c r="F109" s="709">
        <f>'4.1.Summary'!M21</f>
        <v>0</v>
      </c>
      <c r="G109" s="726">
        <f>'4.1.Summary'!N21</f>
        <v>-0.58901888076789022</v>
      </c>
      <c r="L109" s="655" t="s">
        <v>563</v>
      </c>
      <c r="M109" s="709">
        <f t="shared" si="25"/>
        <v>28.884163178052905</v>
      </c>
      <c r="N109" s="709">
        <f t="shared" si="21"/>
        <v>36.045839626978392</v>
      </c>
      <c r="O109" s="709">
        <f t="shared" si="22"/>
        <v>4.8786934565380893</v>
      </c>
      <c r="P109" s="709">
        <f t="shared" si="23"/>
        <v>0</v>
      </c>
      <c r="Q109" s="726">
        <f t="shared" si="24"/>
        <v>-0.58901888076789022</v>
      </c>
    </row>
    <row r="110" spans="2:17" x14ac:dyDescent="0.25">
      <c r="B110" s="660" t="s">
        <v>524</v>
      </c>
      <c r="C110" s="717">
        <f>'4.1.Summary'!J22</f>
        <v>4839.3648971230077</v>
      </c>
      <c r="D110" s="717">
        <f>'4.1.Summary'!K22</f>
        <v>8813.0766927168843</v>
      </c>
      <c r="E110" s="717">
        <f>'4.1.Summary'!L22</f>
        <v>7247.4658515096162</v>
      </c>
      <c r="F110" s="717">
        <f>'4.1.Summary'!M22</f>
        <v>0</v>
      </c>
      <c r="G110" s="730">
        <f>'4.1.Summary'!N22</f>
        <v>0.22376746780994239</v>
      </c>
      <c r="L110" s="660" t="s">
        <v>564</v>
      </c>
      <c r="M110" s="717">
        <f t="shared" si="25"/>
        <v>4839.3648971230077</v>
      </c>
      <c r="N110" s="717">
        <f t="shared" si="21"/>
        <v>8813.0766927168843</v>
      </c>
      <c r="O110" s="717">
        <f t="shared" si="22"/>
        <v>7247.4658515096162</v>
      </c>
      <c r="P110" s="717">
        <f t="shared" si="23"/>
        <v>0</v>
      </c>
      <c r="Q110" s="730">
        <f t="shared" si="24"/>
        <v>0.22376746780994239</v>
      </c>
    </row>
    <row r="111" spans="2:17" x14ac:dyDescent="0.25">
      <c r="B111" s="710" t="s">
        <v>525</v>
      </c>
      <c r="C111" s="709">
        <f>'4.1.Summary'!J23</f>
        <v>2762.7435178587334</v>
      </c>
      <c r="D111" s="709">
        <f>'4.1.Summary'!K23</f>
        <v>5825.2215757098129</v>
      </c>
      <c r="E111" s="709">
        <f>'4.1.Summary'!L23</f>
        <v>4466.9742000644683</v>
      </c>
      <c r="F111" s="709">
        <f>'4.1.Summary'!M23</f>
        <v>0</v>
      </c>
      <c r="G111" s="726">
        <f>'4.1.Summary'!N23</f>
        <v>0.27155877053284394</v>
      </c>
      <c r="L111" s="655" t="s">
        <v>565</v>
      </c>
      <c r="M111" s="709">
        <f t="shared" si="25"/>
        <v>2762.7435178587334</v>
      </c>
      <c r="N111" s="709">
        <f t="shared" si="21"/>
        <v>5825.2215757098129</v>
      </c>
      <c r="O111" s="709">
        <f t="shared" si="22"/>
        <v>4466.9742000644683</v>
      </c>
      <c r="P111" s="709">
        <f t="shared" si="23"/>
        <v>0</v>
      </c>
      <c r="Q111" s="726">
        <f t="shared" si="24"/>
        <v>0.27155877053284394</v>
      </c>
    </row>
    <row r="112" spans="2:17" x14ac:dyDescent="0.25">
      <c r="B112" s="710" t="s">
        <v>526</v>
      </c>
      <c r="C112" s="709">
        <f>'4.1.Summary'!J24</f>
        <v>78.307689053175395</v>
      </c>
      <c r="D112" s="709">
        <f>'4.1.Summary'!K24</f>
        <v>110.12613559247828</v>
      </c>
      <c r="E112" s="709">
        <f>'4.1.Summary'!L24</f>
        <v>151.55972493821855</v>
      </c>
      <c r="F112" s="709">
        <f>'4.1.Summary'!M24</f>
        <v>0</v>
      </c>
      <c r="G112" s="726">
        <f>'4.1.Summary'!N24</f>
        <v>0.39120042088955409</v>
      </c>
      <c r="L112" s="655" t="s">
        <v>566</v>
      </c>
      <c r="M112" s="709">
        <f t="shared" si="25"/>
        <v>78.307689053175395</v>
      </c>
      <c r="N112" s="709">
        <f t="shared" si="21"/>
        <v>110.12613559247828</v>
      </c>
      <c r="O112" s="709">
        <f t="shared" si="22"/>
        <v>151.55972493821855</v>
      </c>
      <c r="P112" s="709">
        <f t="shared" si="23"/>
        <v>0</v>
      </c>
      <c r="Q112" s="726">
        <f t="shared" si="24"/>
        <v>0.39120042088955409</v>
      </c>
    </row>
    <row r="113" spans="2:17" x14ac:dyDescent="0.25">
      <c r="B113" s="710" t="s">
        <v>527</v>
      </c>
      <c r="C113" s="709">
        <f>'4.1.Summary'!J25</f>
        <v>638.51651153469322</v>
      </c>
      <c r="D113" s="709">
        <f>'4.1.Summary'!K25</f>
        <v>1030.1307567697729</v>
      </c>
      <c r="E113" s="709">
        <f>'4.1.Summary'!L25</f>
        <v>829.08779628236812</v>
      </c>
      <c r="F113" s="709">
        <f>'4.1.Summary'!M25</f>
        <v>0</v>
      </c>
      <c r="G113" s="726">
        <f>'4.1.Summary'!N25</f>
        <v>0.13949964752505983</v>
      </c>
      <c r="L113" s="655" t="s">
        <v>567</v>
      </c>
      <c r="M113" s="709">
        <f t="shared" si="25"/>
        <v>638.51651153469322</v>
      </c>
      <c r="N113" s="709">
        <f t="shared" si="21"/>
        <v>1030.1307567697729</v>
      </c>
      <c r="O113" s="709">
        <f t="shared" si="22"/>
        <v>829.08779628236812</v>
      </c>
      <c r="P113" s="709">
        <f t="shared" si="23"/>
        <v>0</v>
      </c>
      <c r="Q113" s="726">
        <f t="shared" si="24"/>
        <v>0.13949964752505983</v>
      </c>
    </row>
    <row r="114" spans="2:17" x14ac:dyDescent="0.25">
      <c r="B114" s="710" t="s">
        <v>528</v>
      </c>
      <c r="C114" s="709">
        <f>'4.1.Summary'!J26</f>
        <v>0</v>
      </c>
      <c r="D114" s="709">
        <f>'4.1.Summary'!K26</f>
        <v>0</v>
      </c>
      <c r="E114" s="709">
        <f>'4.1.Summary'!L26</f>
        <v>0</v>
      </c>
      <c r="F114" s="709">
        <f>'4.1.Summary'!M26</f>
        <v>0</v>
      </c>
      <c r="G114" s="726">
        <f>'4.1.Summary'!N26</f>
        <v>0</v>
      </c>
      <c r="L114" s="655" t="s">
        <v>568</v>
      </c>
      <c r="M114" s="709">
        <f t="shared" si="25"/>
        <v>0</v>
      </c>
      <c r="N114" s="709">
        <f t="shared" si="21"/>
        <v>0</v>
      </c>
      <c r="O114" s="709">
        <f t="shared" si="22"/>
        <v>0</v>
      </c>
      <c r="P114" s="709">
        <f t="shared" si="23"/>
        <v>0</v>
      </c>
      <c r="Q114" s="726">
        <f t="shared" si="24"/>
        <v>0</v>
      </c>
    </row>
    <row r="115" spans="2:17" x14ac:dyDescent="0.25">
      <c r="B115" s="710" t="s">
        <v>529</v>
      </c>
      <c r="C115" s="709">
        <f>'4.1.Summary'!J27</f>
        <v>0</v>
      </c>
      <c r="D115" s="709">
        <f>'4.1.Summary'!K27</f>
        <v>0</v>
      </c>
      <c r="E115" s="709">
        <f>'4.1.Summary'!L27</f>
        <v>0</v>
      </c>
      <c r="F115" s="709">
        <f>'4.1.Summary'!M27</f>
        <v>0</v>
      </c>
      <c r="G115" s="726">
        <f>'4.1.Summary'!N27</f>
        <v>0</v>
      </c>
      <c r="L115" s="655" t="s">
        <v>569</v>
      </c>
      <c r="M115" s="709">
        <f t="shared" si="25"/>
        <v>0</v>
      </c>
      <c r="N115" s="709">
        <f t="shared" si="21"/>
        <v>0</v>
      </c>
      <c r="O115" s="709">
        <f t="shared" si="22"/>
        <v>0</v>
      </c>
      <c r="P115" s="709">
        <f t="shared" si="23"/>
        <v>0</v>
      </c>
      <c r="Q115" s="726">
        <f t="shared" si="24"/>
        <v>0</v>
      </c>
    </row>
    <row r="116" spans="2:17" x14ac:dyDescent="0.25">
      <c r="B116" s="710" t="s">
        <v>716</v>
      </c>
      <c r="C116" s="709">
        <f>'4.1.Summary'!J28</f>
        <v>204.32738264897125</v>
      </c>
      <c r="D116" s="709">
        <f>'4.1.Summary'!K28</f>
        <v>302.84893719489503</v>
      </c>
      <c r="E116" s="709">
        <f>'4.1.Summary'!L28</f>
        <v>236.81005264854409</v>
      </c>
      <c r="F116" s="709">
        <f>'4.1.Summary'!M28</f>
        <v>0</v>
      </c>
      <c r="G116" s="726">
        <f>'4.1.Summary'!N28</f>
        <v>7.6556385381190584E-2</v>
      </c>
      <c r="L116" s="655" t="s">
        <v>570</v>
      </c>
      <c r="M116" s="709">
        <f t="shared" si="25"/>
        <v>204.32738264897125</v>
      </c>
      <c r="N116" s="709">
        <f t="shared" si="21"/>
        <v>302.84893719489503</v>
      </c>
      <c r="O116" s="709">
        <f t="shared" si="22"/>
        <v>236.81005264854409</v>
      </c>
      <c r="P116" s="709">
        <f t="shared" si="23"/>
        <v>0</v>
      </c>
      <c r="Q116" s="726">
        <f t="shared" si="24"/>
        <v>7.6556385381190584E-2</v>
      </c>
    </row>
    <row r="117" spans="2:17" x14ac:dyDescent="0.25">
      <c r="B117" s="710" t="s">
        <v>530</v>
      </c>
      <c r="C117" s="709">
        <f>'4.1.Summary'!J29</f>
        <v>0</v>
      </c>
      <c r="D117" s="709">
        <f>'4.1.Summary'!K29</f>
        <v>0</v>
      </c>
      <c r="E117" s="709">
        <f>'4.1.Summary'!L29</f>
        <v>0</v>
      </c>
      <c r="F117" s="709">
        <f>'4.1.Summary'!M29</f>
        <v>0</v>
      </c>
      <c r="G117" s="726">
        <f>'4.1.Summary'!N29</f>
        <v>0</v>
      </c>
      <c r="L117" s="655" t="s">
        <v>571</v>
      </c>
      <c r="M117" s="709">
        <f t="shared" si="25"/>
        <v>0</v>
      </c>
      <c r="N117" s="709">
        <f t="shared" si="21"/>
        <v>0</v>
      </c>
      <c r="O117" s="709">
        <f t="shared" si="22"/>
        <v>0</v>
      </c>
      <c r="P117" s="709">
        <f t="shared" si="23"/>
        <v>0</v>
      </c>
      <c r="Q117" s="726">
        <f t="shared" si="24"/>
        <v>0</v>
      </c>
    </row>
    <row r="118" spans="2:17" x14ac:dyDescent="0.25">
      <c r="B118" s="710" t="s">
        <v>531</v>
      </c>
      <c r="C118" s="709">
        <f>'4.1.Summary'!J30</f>
        <v>0</v>
      </c>
      <c r="D118" s="709">
        <f>'4.1.Summary'!K30</f>
        <v>0</v>
      </c>
      <c r="E118" s="709">
        <f>'4.1.Summary'!L30</f>
        <v>0</v>
      </c>
      <c r="F118" s="709">
        <f>'4.1.Summary'!M30</f>
        <v>0</v>
      </c>
      <c r="G118" s="726">
        <f>'4.1.Summary'!N30</f>
        <v>0</v>
      </c>
      <c r="L118" s="655" t="s">
        <v>572</v>
      </c>
      <c r="M118" s="709">
        <f t="shared" si="25"/>
        <v>0</v>
      </c>
      <c r="N118" s="709">
        <f t="shared" si="21"/>
        <v>0</v>
      </c>
      <c r="O118" s="709">
        <f t="shared" si="22"/>
        <v>0</v>
      </c>
      <c r="P118" s="709">
        <f t="shared" si="23"/>
        <v>0</v>
      </c>
      <c r="Q118" s="726">
        <f t="shared" si="24"/>
        <v>0</v>
      </c>
    </row>
    <row r="119" spans="2:17" x14ac:dyDescent="0.25">
      <c r="B119" s="710" t="s">
        <v>532</v>
      </c>
      <c r="C119" s="709">
        <f>'4.1.Summary'!J31</f>
        <v>147.56650930791841</v>
      </c>
      <c r="D119" s="709">
        <f>'4.1.Summary'!K31</f>
        <v>297.19582320877385</v>
      </c>
      <c r="E119" s="709">
        <f>'4.1.Summary'!L31</f>
        <v>153.08246481143223</v>
      </c>
      <c r="F119" s="709">
        <f>'4.1.Summary'!M31</f>
        <v>0</v>
      </c>
      <c r="G119" s="726">
        <f>'4.1.Summary'!N31</f>
        <v>1.8518263806748925E-2</v>
      </c>
      <c r="L119" s="655" t="s">
        <v>573</v>
      </c>
      <c r="M119" s="709">
        <f t="shared" si="25"/>
        <v>147.56650930791841</v>
      </c>
      <c r="N119" s="709">
        <f t="shared" si="21"/>
        <v>297.19582320877385</v>
      </c>
      <c r="O119" s="709">
        <f t="shared" si="22"/>
        <v>153.08246481143223</v>
      </c>
      <c r="P119" s="709">
        <f t="shared" si="23"/>
        <v>0</v>
      </c>
      <c r="Q119" s="726">
        <f t="shared" si="24"/>
        <v>1.8518263806748925E-2</v>
      </c>
    </row>
    <row r="120" spans="2:17" x14ac:dyDescent="0.25">
      <c r="B120" s="710" t="s">
        <v>533</v>
      </c>
      <c r="C120" s="709">
        <f>'4.1.Summary'!J32</f>
        <v>76.45863097889017</v>
      </c>
      <c r="D120" s="709">
        <f>'4.1.Summary'!K32</f>
        <v>77.93279919441342</v>
      </c>
      <c r="E120" s="709">
        <f>'4.1.Summary'!L32</f>
        <v>71.612867733963682</v>
      </c>
      <c r="F120" s="709">
        <f>'4.1.Summary'!M32</f>
        <v>0</v>
      </c>
      <c r="G120" s="726">
        <f>'4.1.Summary'!N32</f>
        <v>-3.220745155950222E-2</v>
      </c>
      <c r="L120" s="655" t="s">
        <v>574</v>
      </c>
      <c r="M120" s="709">
        <f t="shared" si="25"/>
        <v>76.45863097889017</v>
      </c>
      <c r="N120" s="709">
        <f t="shared" si="21"/>
        <v>77.93279919441342</v>
      </c>
      <c r="O120" s="709">
        <f t="shared" si="22"/>
        <v>71.612867733963682</v>
      </c>
      <c r="P120" s="709">
        <f t="shared" si="23"/>
        <v>0</v>
      </c>
      <c r="Q120" s="726">
        <f t="shared" si="24"/>
        <v>-3.220745155950222E-2</v>
      </c>
    </row>
    <row r="121" spans="2:17" x14ac:dyDescent="0.25">
      <c r="B121" s="718" t="s">
        <v>534</v>
      </c>
      <c r="C121" s="712">
        <f>'4.1.Summary'!J33</f>
        <v>938.64996659837891</v>
      </c>
      <c r="D121" s="712">
        <f>'4.1.Summary'!K33</f>
        <v>1181.7303649219587</v>
      </c>
      <c r="E121" s="712">
        <f>'4.1.Summary'!L33</f>
        <v>1344.0796003008486</v>
      </c>
      <c r="F121" s="712">
        <f>'4.1.Summary'!M33</f>
        <v>0</v>
      </c>
      <c r="G121" s="727">
        <f>'4.1.Summary'!N33</f>
        <v>0.196632131899801</v>
      </c>
      <c r="L121" s="711" t="s">
        <v>575</v>
      </c>
      <c r="M121" s="712">
        <f t="shared" si="25"/>
        <v>938.64996659837891</v>
      </c>
      <c r="N121" s="712">
        <f t="shared" si="21"/>
        <v>1181.7303649219587</v>
      </c>
      <c r="O121" s="712">
        <f t="shared" si="22"/>
        <v>1344.0796003008486</v>
      </c>
      <c r="P121" s="712">
        <f t="shared" si="23"/>
        <v>0</v>
      </c>
      <c r="Q121" s="727">
        <f t="shared" si="24"/>
        <v>0.196632131899801</v>
      </c>
    </row>
    <row r="122" spans="2:17" x14ac:dyDescent="0.25">
      <c r="B122" s="713" t="s">
        <v>535</v>
      </c>
      <c r="C122" s="714">
        <f>'4.1.Summary'!J34</f>
        <v>5003.164583147769</v>
      </c>
      <c r="D122" s="714">
        <f>'4.1.Summary'!K34</f>
        <v>9017.921157592873</v>
      </c>
      <c r="E122" s="714">
        <f>'4.1.Summary'!L34</f>
        <v>7479.7932394971522</v>
      </c>
      <c r="F122" s="714">
        <f>'4.1.Summary'!M34</f>
        <v>0</v>
      </c>
      <c r="G122" s="728">
        <f>'4.1.Summary'!N34</f>
        <v>0.22270700892376571</v>
      </c>
      <c r="L122" s="713" t="s">
        <v>576</v>
      </c>
      <c r="M122" s="714">
        <f t="shared" si="25"/>
        <v>5003.164583147769</v>
      </c>
      <c r="N122" s="714">
        <f t="shared" si="21"/>
        <v>9017.921157592873</v>
      </c>
      <c r="O122" s="714">
        <f t="shared" si="22"/>
        <v>7479.7932394971522</v>
      </c>
      <c r="P122" s="714">
        <f t="shared" si="23"/>
        <v>0</v>
      </c>
      <c r="Q122" s="728">
        <f t="shared" si="24"/>
        <v>0.22270700892376571</v>
      </c>
    </row>
    <row r="123" spans="2:17" ht="3.75" customHeight="1" x14ac:dyDescent="0.25">
      <c r="B123" s="719"/>
      <c r="C123" s="720"/>
      <c r="D123" s="720"/>
      <c r="E123" s="720"/>
      <c r="F123" s="720"/>
      <c r="G123" s="731"/>
      <c r="L123" s="722"/>
      <c r="M123" s="723">
        <f t="shared" si="25"/>
        <v>0</v>
      </c>
      <c r="N123" s="723">
        <f t="shared" si="21"/>
        <v>0</v>
      </c>
      <c r="O123" s="723">
        <f t="shared" si="22"/>
        <v>0</v>
      </c>
      <c r="P123" s="723">
        <f t="shared" si="23"/>
        <v>0</v>
      </c>
      <c r="Q123" s="732">
        <f t="shared" si="24"/>
        <v>0</v>
      </c>
    </row>
    <row r="124" spans="2:17" x14ac:dyDescent="0.25">
      <c r="B124" s="660" t="s">
        <v>448</v>
      </c>
      <c r="C124" s="717">
        <f>'4.1.Summary'!J36</f>
        <v>375.29179878863397</v>
      </c>
      <c r="D124" s="717">
        <f>'4.1.Summary'!K36</f>
        <v>609.49873470370403</v>
      </c>
      <c r="E124" s="717">
        <f>'4.1.Summary'!L36</f>
        <v>636.01205973998276</v>
      </c>
      <c r="F124" s="717">
        <f>'4.1.Summary'!M36</f>
        <v>0</v>
      </c>
      <c r="G124" s="730">
        <f>'4.1.Summary'!N36</f>
        <v>0.30181160378674288</v>
      </c>
      <c r="L124" s="660" t="s">
        <v>448</v>
      </c>
      <c r="M124" s="717">
        <f t="shared" si="25"/>
        <v>375.29179878863397</v>
      </c>
      <c r="N124" s="717">
        <f t="shared" si="21"/>
        <v>609.49873470370403</v>
      </c>
      <c r="O124" s="717">
        <f t="shared" si="22"/>
        <v>636.01205973998276</v>
      </c>
      <c r="P124" s="717">
        <f t="shared" si="23"/>
        <v>0</v>
      </c>
      <c r="Q124" s="730">
        <f t="shared" si="24"/>
        <v>0.30181160378674288</v>
      </c>
    </row>
    <row r="125" spans="2:17" x14ac:dyDescent="0.25">
      <c r="B125" s="663" t="s">
        <v>450</v>
      </c>
      <c r="C125" s="736">
        <f>'4.1.Summary'!J37</f>
        <v>6.9776860150628908E-2</v>
      </c>
      <c r="D125" s="736">
        <f>'4.1.Summary'!K37</f>
        <v>6.3308626976101581E-2</v>
      </c>
      <c r="E125" s="736">
        <f>'4.1.Summary'!L37</f>
        <v>7.8367091901498209E-2</v>
      </c>
      <c r="F125" s="736">
        <f>'4.1.Summary'!M37</f>
        <v>0</v>
      </c>
      <c r="G125" s="726">
        <f>'4.1.Summary'!N37</f>
        <v>5.976885960849887E-2</v>
      </c>
      <c r="L125" s="663" t="s">
        <v>450</v>
      </c>
      <c r="M125" s="736">
        <f t="shared" si="25"/>
        <v>6.9776860150628908E-2</v>
      </c>
      <c r="N125" s="736">
        <f t="shared" si="21"/>
        <v>6.3308626976101581E-2</v>
      </c>
      <c r="O125" s="736">
        <f t="shared" si="22"/>
        <v>7.8367091901498209E-2</v>
      </c>
      <c r="P125" s="736">
        <f t="shared" si="23"/>
        <v>0</v>
      </c>
      <c r="Q125" s="726">
        <f t="shared" si="24"/>
        <v>5.976885960849887E-2</v>
      </c>
    </row>
    <row r="126" spans="2:17" x14ac:dyDescent="0.25">
      <c r="B126" s="710" t="s">
        <v>536</v>
      </c>
      <c r="C126" s="709">
        <f>'4.1.Summary'!J38</f>
        <v>61.883308096552945</v>
      </c>
      <c r="D126" s="709">
        <f>'4.1.Summary'!K38</f>
        <v>71.12472581598476</v>
      </c>
      <c r="E126" s="709">
        <f>'4.1.Summary'!L38</f>
        <v>51.950413667132267</v>
      </c>
      <c r="F126" s="709">
        <f>'4.1.Summary'!M38</f>
        <v>0</v>
      </c>
      <c r="G126" s="726">
        <f>'4.1.Summary'!N38</f>
        <v>-8.3763172040334233E-2</v>
      </c>
      <c r="L126" s="710" t="s">
        <v>577</v>
      </c>
      <c r="M126" s="709">
        <f t="shared" si="25"/>
        <v>61.883308096552945</v>
      </c>
      <c r="N126" s="709">
        <f t="shared" si="21"/>
        <v>71.12472581598476</v>
      </c>
      <c r="O126" s="709">
        <f t="shared" si="22"/>
        <v>51.950413667132267</v>
      </c>
      <c r="P126" s="709">
        <f t="shared" si="23"/>
        <v>0</v>
      </c>
      <c r="Q126" s="726">
        <f t="shared" si="24"/>
        <v>-8.3763172040334233E-2</v>
      </c>
    </row>
    <row r="127" spans="2:17" ht="4.5" customHeight="1" x14ac:dyDescent="0.25">
      <c r="B127" s="722"/>
      <c r="C127" s="723"/>
      <c r="D127" s="723"/>
      <c r="E127" s="723"/>
      <c r="F127" s="723"/>
      <c r="G127" s="732"/>
      <c r="L127" s="710"/>
      <c r="M127" s="709"/>
      <c r="N127" s="709"/>
      <c r="O127" s="709"/>
      <c r="P127" s="709"/>
      <c r="Q127" s="726"/>
    </row>
    <row r="128" spans="2:17" x14ac:dyDescent="0.25">
      <c r="B128" s="660" t="s">
        <v>537</v>
      </c>
      <c r="C128" s="717">
        <f>'4.1.Summary'!J40</f>
        <v>313.40849069208105</v>
      </c>
      <c r="D128" s="717">
        <f>'4.1.Summary'!K40</f>
        <v>538.37400888771924</v>
      </c>
      <c r="E128" s="717">
        <f>'4.1.Summary'!L40</f>
        <v>584.06164607285052</v>
      </c>
      <c r="F128" s="717">
        <f>'4.1.Summary'!M40</f>
        <v>0</v>
      </c>
      <c r="G128" s="730">
        <f>'4.1.Summary'!N40</f>
        <v>0.36512985629452488</v>
      </c>
      <c r="L128" s="660" t="s">
        <v>537</v>
      </c>
      <c r="M128" s="717">
        <f t="shared" si="25"/>
        <v>313.40849069208105</v>
      </c>
      <c r="N128" s="717">
        <f t="shared" si="21"/>
        <v>538.37400888771924</v>
      </c>
      <c r="O128" s="717">
        <f t="shared" si="22"/>
        <v>584.06164607285052</v>
      </c>
      <c r="P128" s="717">
        <f t="shared" si="23"/>
        <v>0</v>
      </c>
      <c r="Q128" s="730">
        <f t="shared" si="24"/>
        <v>0.36512985629452488</v>
      </c>
    </row>
    <row r="129" spans="2:17" x14ac:dyDescent="0.25">
      <c r="B129" s="663" t="s">
        <v>538</v>
      </c>
      <c r="C129" s="736">
        <f>'4.1.Summary'!J41</f>
        <v>5.8271085314490316E-2</v>
      </c>
      <c r="D129" s="736">
        <f>'4.1.Summary'!K41</f>
        <v>5.592090247549103E-2</v>
      </c>
      <c r="E129" s="736">
        <f>'4.1.Summary'!L41</f>
        <v>7.1965950948546145E-2</v>
      </c>
      <c r="F129" s="736">
        <f>'4.1.Summary'!M41</f>
        <v>0</v>
      </c>
      <c r="G129" s="726">
        <f>'4.1.Summary'!N41</f>
        <v>0.11131449959003303</v>
      </c>
      <c r="L129" s="663" t="s">
        <v>538</v>
      </c>
      <c r="M129" s="736">
        <f t="shared" si="25"/>
        <v>5.8271085314490316E-2</v>
      </c>
      <c r="N129" s="736">
        <f t="shared" si="21"/>
        <v>5.592090247549103E-2</v>
      </c>
      <c r="O129" s="736">
        <f t="shared" si="22"/>
        <v>7.1965950948546145E-2</v>
      </c>
      <c r="P129" s="736">
        <f t="shared" si="23"/>
        <v>0</v>
      </c>
      <c r="Q129" s="726">
        <f t="shared" si="24"/>
        <v>0.11131449959003303</v>
      </c>
    </row>
    <row r="130" spans="2:17" ht="3.75" customHeight="1" x14ac:dyDescent="0.25">
      <c r="B130" s="722"/>
      <c r="C130" s="723"/>
      <c r="D130" s="723"/>
      <c r="E130" s="723"/>
      <c r="F130" s="723"/>
      <c r="G130" s="732"/>
      <c r="L130" s="663"/>
      <c r="M130" s="721"/>
      <c r="N130" s="721"/>
      <c r="O130" s="721"/>
      <c r="P130" s="721"/>
      <c r="Q130" s="726"/>
    </row>
    <row r="131" spans="2:17" x14ac:dyDescent="0.25">
      <c r="B131" s="710" t="s">
        <v>539</v>
      </c>
      <c r="C131" s="709">
        <f>'4.1.Summary'!J43</f>
        <v>50.600420860425757</v>
      </c>
      <c r="D131" s="709">
        <f>'4.1.Summary'!K43</f>
        <v>68.720855497909412</v>
      </c>
      <c r="E131" s="709">
        <f>'4.1.Summary'!L43</f>
        <v>119.49548082088751</v>
      </c>
      <c r="F131" s="709">
        <f>'4.1.Summary'!M43</f>
        <v>0</v>
      </c>
      <c r="G131" s="726">
        <f>'4.1.Summary'!N43</f>
        <v>0.53673391491388367</v>
      </c>
      <c r="L131" s="655" t="s">
        <v>578</v>
      </c>
      <c r="M131" s="709">
        <f t="shared" si="25"/>
        <v>50.600420860425757</v>
      </c>
      <c r="N131" s="709">
        <f t="shared" si="21"/>
        <v>68.720855497909412</v>
      </c>
      <c r="O131" s="709">
        <f t="shared" si="22"/>
        <v>119.49548082088751</v>
      </c>
      <c r="P131" s="709">
        <f t="shared" si="23"/>
        <v>0</v>
      </c>
      <c r="Q131" s="726">
        <f t="shared" si="24"/>
        <v>0.53673391491388367</v>
      </c>
    </row>
    <row r="132" spans="2:17" x14ac:dyDescent="0.25">
      <c r="B132" s="710" t="s">
        <v>540</v>
      </c>
      <c r="C132" s="709">
        <f>'4.1.Summary'!J44</f>
        <v>4.5935891155250728</v>
      </c>
      <c r="D132" s="709">
        <f>'4.1.Summary'!K44</f>
        <v>10.874063615069721</v>
      </c>
      <c r="E132" s="709">
        <f>'4.1.Summary'!L44</f>
        <v>33.835934243042864</v>
      </c>
      <c r="F132" s="709">
        <f>'4.1.Summary'!M44</f>
        <v>0</v>
      </c>
      <c r="G132" s="726">
        <f>'4.1.Summary'!N44</f>
        <v>1.7140198086319183</v>
      </c>
      <c r="L132" s="655" t="s">
        <v>579</v>
      </c>
      <c r="M132" s="709">
        <f t="shared" si="25"/>
        <v>4.5935891155250728</v>
      </c>
      <c r="N132" s="709">
        <f t="shared" si="21"/>
        <v>10.874063615069721</v>
      </c>
      <c r="O132" s="709">
        <f t="shared" si="22"/>
        <v>33.835934243042864</v>
      </c>
      <c r="P132" s="709">
        <f t="shared" si="23"/>
        <v>0</v>
      </c>
      <c r="Q132" s="726">
        <f t="shared" si="24"/>
        <v>1.7140198086319183</v>
      </c>
    </row>
    <row r="133" spans="2:17" x14ac:dyDescent="0.25">
      <c r="B133" s="710" t="s">
        <v>541</v>
      </c>
      <c r="C133" s="709">
        <f>'4.1.Summary'!J45</f>
        <v>0</v>
      </c>
      <c r="D133" s="709">
        <f>'4.1.Summary'!K45</f>
        <v>0</v>
      </c>
      <c r="E133" s="709">
        <f>'4.1.Summary'!L45</f>
        <v>0</v>
      </c>
      <c r="F133" s="709">
        <f>'4.1.Summary'!M45</f>
        <v>0</v>
      </c>
      <c r="G133" s="726">
        <f>'4.1.Summary'!N45</f>
        <v>0</v>
      </c>
      <c r="L133" s="655" t="s">
        <v>580</v>
      </c>
      <c r="M133" s="709">
        <f t="shared" si="25"/>
        <v>0</v>
      </c>
      <c r="N133" s="709">
        <f t="shared" si="21"/>
        <v>0</v>
      </c>
      <c r="O133" s="709">
        <f t="shared" si="22"/>
        <v>0</v>
      </c>
      <c r="P133" s="709">
        <f t="shared" si="23"/>
        <v>0</v>
      </c>
      <c r="Q133" s="726">
        <f t="shared" si="24"/>
        <v>0</v>
      </c>
    </row>
    <row r="134" spans="2:17" x14ac:dyDescent="0.25">
      <c r="B134" s="710" t="s">
        <v>542</v>
      </c>
      <c r="C134" s="709">
        <f>'4.1.Summary'!J46</f>
        <v>42.318355304177423</v>
      </c>
      <c r="D134" s="709">
        <f>'4.1.Summary'!K46</f>
        <v>55.847098355990454</v>
      </c>
      <c r="E134" s="709">
        <f>'4.1.Summary'!L46</f>
        <v>96.415957881164715</v>
      </c>
      <c r="F134" s="709">
        <f>'4.1.Summary'!M46</f>
        <v>0</v>
      </c>
      <c r="G134" s="726">
        <f>'4.1.Summary'!N46</f>
        <v>0.50941989469755145</v>
      </c>
      <c r="L134" s="655" t="s">
        <v>581</v>
      </c>
      <c r="M134" s="709">
        <f t="shared" si="25"/>
        <v>42.318355304177423</v>
      </c>
      <c r="N134" s="709">
        <f t="shared" si="21"/>
        <v>55.847098355990454</v>
      </c>
      <c r="O134" s="709">
        <f t="shared" si="22"/>
        <v>96.415957881164715</v>
      </c>
      <c r="P134" s="709">
        <f t="shared" si="23"/>
        <v>0</v>
      </c>
      <c r="Q134" s="726">
        <f t="shared" si="24"/>
        <v>0.50941989469755145</v>
      </c>
    </row>
    <row r="135" spans="2:17" x14ac:dyDescent="0.25">
      <c r="B135" s="710" t="s">
        <v>543</v>
      </c>
      <c r="C135" s="709">
        <f>'4.1.Summary'!J47</f>
        <v>0.91882515364745709</v>
      </c>
      <c r="D135" s="709">
        <f>'4.1.Summary'!K47</f>
        <v>3.8881788927562884</v>
      </c>
      <c r="E135" s="709">
        <f>'4.1.Summary'!L47</f>
        <v>0.85794133447942411</v>
      </c>
      <c r="F135" s="709">
        <f>'4.1.Summary'!M47</f>
        <v>0</v>
      </c>
      <c r="G135" s="726">
        <f>'4.1.Summary'!N47</f>
        <v>-3.3699157723542372E-2</v>
      </c>
      <c r="L135" s="655" t="s">
        <v>582</v>
      </c>
      <c r="M135" s="709">
        <f t="shared" si="25"/>
        <v>0.91882515364745709</v>
      </c>
      <c r="N135" s="709">
        <f t="shared" si="21"/>
        <v>3.8881788927562884</v>
      </c>
      <c r="O135" s="709">
        <f t="shared" si="22"/>
        <v>0.85794133447942411</v>
      </c>
      <c r="P135" s="709">
        <f t="shared" si="23"/>
        <v>0</v>
      </c>
      <c r="Q135" s="726">
        <f t="shared" si="24"/>
        <v>-3.3699157723542372E-2</v>
      </c>
    </row>
    <row r="136" spans="2:17" x14ac:dyDescent="0.25">
      <c r="B136" s="718" t="s">
        <v>544</v>
      </c>
      <c r="C136" s="712">
        <f>'4.1.Summary'!J48</f>
        <v>-1.3745880466731987E-2</v>
      </c>
      <c r="D136" s="712">
        <f>'4.1.Summary'!K48</f>
        <v>3.4890435848602266</v>
      </c>
      <c r="E136" s="712">
        <f>'4.1.Summary'!L48</f>
        <v>0</v>
      </c>
      <c r="F136" s="712">
        <f>'4.1.Summary'!M48</f>
        <v>0</v>
      </c>
      <c r="G136" s="727">
        <f>'4.1.Summary'!N48</f>
        <v>-1</v>
      </c>
      <c r="L136" s="711" t="s">
        <v>583</v>
      </c>
      <c r="M136" s="712">
        <f t="shared" si="25"/>
        <v>-1.3745880466731987E-2</v>
      </c>
      <c r="N136" s="712">
        <f t="shared" si="21"/>
        <v>3.4890435848602266</v>
      </c>
      <c r="O136" s="712">
        <f t="shared" si="22"/>
        <v>0</v>
      </c>
      <c r="P136" s="712">
        <f t="shared" si="23"/>
        <v>0</v>
      </c>
      <c r="Q136" s="727">
        <f t="shared" si="24"/>
        <v>-1</v>
      </c>
    </row>
    <row r="137" spans="2:17" x14ac:dyDescent="0.25">
      <c r="B137" s="713" t="s">
        <v>545</v>
      </c>
      <c r="C137" s="714">
        <f>'4.1.Summary'!J49</f>
        <v>11.970575398592679</v>
      </c>
      <c r="D137" s="714">
        <f>'4.1.Summary'!K49</f>
        <v>16.37059827937216</v>
      </c>
      <c r="E137" s="714">
        <f>'4.1.Summary'!L49</f>
        <v>56.057515848286229</v>
      </c>
      <c r="F137" s="714">
        <f>'4.1.Summary'!M49</f>
        <v>0</v>
      </c>
      <c r="G137" s="728">
        <f>'4.1.Summary'!N49</f>
        <v>1.1640107355651041</v>
      </c>
      <c r="L137" s="713" t="s">
        <v>584</v>
      </c>
      <c r="M137" s="714">
        <f t="shared" si="25"/>
        <v>11.970575398592679</v>
      </c>
      <c r="N137" s="714">
        <f t="shared" si="21"/>
        <v>16.37059827937216</v>
      </c>
      <c r="O137" s="714">
        <f t="shared" si="22"/>
        <v>56.057515848286229</v>
      </c>
      <c r="P137" s="714">
        <f t="shared" si="23"/>
        <v>0</v>
      </c>
      <c r="Q137" s="728">
        <f t="shared" si="24"/>
        <v>1.1640107355651041</v>
      </c>
    </row>
    <row r="138" spans="2:17" x14ac:dyDescent="0.25">
      <c r="B138" s="710" t="s">
        <v>546</v>
      </c>
      <c r="C138" s="709">
        <f>'4.1.Summary'!J50</f>
        <v>301.43791529348835</v>
      </c>
      <c r="D138" s="709">
        <f>'4.1.Summary'!K50</f>
        <v>522.00341060834705</v>
      </c>
      <c r="E138" s="709">
        <f>'4.1.Summary'!L50</f>
        <v>528.00413022456428</v>
      </c>
      <c r="F138" s="709">
        <f>'4.1.Summary'!M50</f>
        <v>0</v>
      </c>
      <c r="G138" s="726">
        <f>'4.1.Summary'!N50</f>
        <v>0.32348712582376504</v>
      </c>
      <c r="L138" s="710" t="s">
        <v>546</v>
      </c>
      <c r="M138" s="709">
        <f t="shared" si="25"/>
        <v>301.43791529348835</v>
      </c>
      <c r="N138" s="709">
        <f t="shared" si="21"/>
        <v>522.00341060834705</v>
      </c>
      <c r="O138" s="709">
        <f t="shared" si="22"/>
        <v>528.00413022456428</v>
      </c>
      <c r="P138" s="709">
        <f t="shared" si="23"/>
        <v>0</v>
      </c>
      <c r="Q138" s="726">
        <f t="shared" si="24"/>
        <v>0.32348712582376504</v>
      </c>
    </row>
    <row r="139" spans="2:17" x14ac:dyDescent="0.25">
      <c r="B139" s="710" t="s">
        <v>547</v>
      </c>
      <c r="C139" s="735">
        <f>'4.1.Summary'!J51</f>
        <v>5.6045432720412208E-2</v>
      </c>
      <c r="D139" s="735">
        <f>'4.1.Summary'!K51</f>
        <v>5.4220488609417611E-2</v>
      </c>
      <c r="E139" s="735">
        <f>'4.1.Summary'!L51</f>
        <v>6.5058747808328432E-2</v>
      </c>
      <c r="F139" s="735">
        <f>'4.1.Summary'!M51</f>
        <v>0</v>
      </c>
      <c r="G139" s="726">
        <f>'4.1.Summary'!N51</f>
        <v>7.7414303237803628E-2</v>
      </c>
      <c r="L139" s="710" t="s">
        <v>547</v>
      </c>
      <c r="M139" s="735">
        <f t="shared" si="25"/>
        <v>5.6045432720412208E-2</v>
      </c>
      <c r="N139" s="735">
        <f t="shared" si="21"/>
        <v>5.4220488609417611E-2</v>
      </c>
      <c r="O139" s="735">
        <f t="shared" si="22"/>
        <v>6.5058747808328432E-2</v>
      </c>
      <c r="P139" s="735">
        <f t="shared" si="23"/>
        <v>0</v>
      </c>
      <c r="Q139" s="726">
        <f t="shared" si="24"/>
        <v>7.7414303237803628E-2</v>
      </c>
    </row>
    <row r="140" spans="2:17" x14ac:dyDescent="0.25">
      <c r="B140" s="710" t="s">
        <v>548</v>
      </c>
      <c r="C140" s="709">
        <f>'4.1.Summary'!J52</f>
        <v>50.507927318072504</v>
      </c>
      <c r="D140" s="709">
        <f>'4.1.Summary'!K52</f>
        <v>84.396138438300383</v>
      </c>
      <c r="E140" s="709">
        <f>'4.1.Summary'!L52</f>
        <v>83.935747286988288</v>
      </c>
      <c r="F140" s="709">
        <f>'4.1.Summary'!M52</f>
        <v>0</v>
      </c>
      <c r="G140" s="726">
        <f>'4.1.Summary'!N52</f>
        <v>0.2891210714183694</v>
      </c>
      <c r="L140" s="710" t="s">
        <v>585</v>
      </c>
      <c r="M140" s="709">
        <f t="shared" si="25"/>
        <v>50.507927318072504</v>
      </c>
      <c r="N140" s="709">
        <f t="shared" si="21"/>
        <v>84.396138438300383</v>
      </c>
      <c r="O140" s="709">
        <f t="shared" si="22"/>
        <v>83.935747286988288</v>
      </c>
      <c r="P140" s="709">
        <f t="shared" si="23"/>
        <v>0</v>
      </c>
      <c r="Q140" s="726">
        <f t="shared" si="24"/>
        <v>0.2891210714183694</v>
      </c>
    </row>
    <row r="141" spans="2:17" x14ac:dyDescent="0.25">
      <c r="B141" s="660" t="s">
        <v>549</v>
      </c>
      <c r="C141" s="717">
        <f>'4.1.Summary'!J53</f>
        <v>250.92998797541583</v>
      </c>
      <c r="D141" s="717">
        <f>'4.1.Summary'!K53</f>
        <v>437.60727217004666</v>
      </c>
      <c r="E141" s="717">
        <f>'4.1.Summary'!L53</f>
        <v>444.06838293757596</v>
      </c>
      <c r="F141" s="717">
        <f>'4.1.Summary'!M53</f>
        <v>0</v>
      </c>
      <c r="G141" s="730">
        <f>'4.1.Summary'!N53</f>
        <v>0.33029709790629513</v>
      </c>
      <c r="L141" s="660" t="s">
        <v>549</v>
      </c>
      <c r="M141" s="717">
        <f t="shared" si="25"/>
        <v>250.92998797541583</v>
      </c>
      <c r="N141" s="717">
        <f t="shared" si="21"/>
        <v>437.60727217004666</v>
      </c>
      <c r="O141" s="717">
        <f t="shared" si="22"/>
        <v>444.06838293757596</v>
      </c>
      <c r="P141" s="717">
        <f t="shared" si="23"/>
        <v>0</v>
      </c>
      <c r="Q141" s="730">
        <f t="shared" si="24"/>
        <v>0.33029709790629513</v>
      </c>
    </row>
    <row r="142" spans="2:17" ht="13.8" thickBot="1" x14ac:dyDescent="0.3">
      <c r="B142" s="666" t="s">
        <v>550</v>
      </c>
      <c r="C142" s="734">
        <f>'4.1.Summary'!J54</f>
        <v>4.6654647756959891E-2</v>
      </c>
      <c r="D142" s="734">
        <f>'4.1.Summary'!K54</f>
        <v>4.54542626233847E-2</v>
      </c>
      <c r="E142" s="734">
        <f>'4.1.Summary'!L54</f>
        <v>5.4716490423854458E-2</v>
      </c>
      <c r="F142" s="734">
        <f>'4.1.Summary'!M54</f>
        <v>0</v>
      </c>
      <c r="G142" s="733">
        <f>'4.1.Summary'!N54</f>
        <v>8.2958113361231378E-2</v>
      </c>
      <c r="L142" s="738" t="s">
        <v>550</v>
      </c>
      <c r="M142" s="734">
        <f t="shared" si="25"/>
        <v>4.6654647756959891E-2</v>
      </c>
      <c r="N142" s="734">
        <f t="shared" si="21"/>
        <v>4.54542626233847E-2</v>
      </c>
      <c r="O142" s="734">
        <f t="shared" si="22"/>
        <v>5.4716490423854458E-2</v>
      </c>
      <c r="P142" s="734">
        <f t="shared" si="23"/>
        <v>0</v>
      </c>
      <c r="Q142" s="733">
        <f t="shared" si="24"/>
        <v>8.2958113361231378E-2</v>
      </c>
    </row>
    <row r="145" spans="2:22" ht="16.5" customHeight="1" x14ac:dyDescent="0.25">
      <c r="B145" s="707" t="s">
        <v>628</v>
      </c>
      <c r="C145" s="724"/>
      <c r="D145" s="724"/>
      <c r="E145" s="724"/>
      <c r="F145" s="724"/>
      <c r="G145" s="737"/>
      <c r="L145" s="707" t="s">
        <v>586</v>
      </c>
      <c r="M145" s="724"/>
      <c r="N145" s="724"/>
      <c r="O145" s="724"/>
      <c r="P145" s="724"/>
      <c r="Q145" s="737"/>
    </row>
    <row r="146" spans="2:22" ht="15.6" x14ac:dyDescent="0.15">
      <c r="B146" s="647" t="s">
        <v>511</v>
      </c>
      <c r="C146" s="648" t="s">
        <v>394</v>
      </c>
      <c r="D146" s="648" t="s">
        <v>395</v>
      </c>
      <c r="E146" s="648" t="s">
        <v>396</v>
      </c>
      <c r="F146" s="648" t="s">
        <v>397</v>
      </c>
      <c r="G146" s="649" t="s">
        <v>387</v>
      </c>
      <c r="L146" s="647" t="s">
        <v>255</v>
      </c>
      <c r="M146" s="648" t="s">
        <v>394</v>
      </c>
      <c r="N146" s="648" t="s">
        <v>395</v>
      </c>
      <c r="O146" s="648" t="s">
        <v>396</v>
      </c>
      <c r="P146" s="648" t="s">
        <v>397</v>
      </c>
      <c r="Q146" s="649" t="s">
        <v>387</v>
      </c>
    </row>
    <row r="147" spans="2:22" x14ac:dyDescent="0.25">
      <c r="B147" s="650" t="s">
        <v>629</v>
      </c>
      <c r="C147" s="708">
        <f>M147</f>
        <v>2.3013631058554092</v>
      </c>
      <c r="D147" s="708">
        <f t="shared" ref="D147:D188" si="26">N147</f>
        <v>1.1124214005193462</v>
      </c>
      <c r="E147" s="708">
        <f t="shared" ref="E147:E188" si="27">O147</f>
        <v>1.1904886468406277</v>
      </c>
      <c r="F147" s="708">
        <f t="shared" ref="F147:F188" si="28">P147</f>
        <v>0</v>
      </c>
      <c r="G147" s="725">
        <f t="shared" ref="G147:G188" si="29">Q147</f>
        <v>-0.28076625435108604</v>
      </c>
      <c r="L147" s="650" t="s">
        <v>587</v>
      </c>
      <c r="M147" s="708">
        <f>'4.1.Summary'!J60</f>
        <v>2.3013631058554092</v>
      </c>
      <c r="N147" s="708">
        <f>'4.1.Summary'!K60</f>
        <v>1.1124214005193462</v>
      </c>
      <c r="O147" s="708">
        <f>'4.1.Summary'!L60</f>
        <v>1.1904886468406277</v>
      </c>
      <c r="P147" s="708">
        <f>'4.1.Summary'!M60</f>
        <v>0</v>
      </c>
      <c r="Q147" s="725">
        <f>'4.1.Summary'!N60</f>
        <v>-0.28076625435108604</v>
      </c>
      <c r="R147">
        <f>M147-C147</f>
        <v>0</v>
      </c>
      <c r="S147">
        <f t="shared" ref="S147:V147" si="30">N147-D147</f>
        <v>0</v>
      </c>
      <c r="T147">
        <f t="shared" si="30"/>
        <v>0</v>
      </c>
      <c r="U147">
        <f t="shared" si="30"/>
        <v>0</v>
      </c>
      <c r="V147">
        <f t="shared" si="30"/>
        <v>0</v>
      </c>
    </row>
    <row r="148" spans="2:22" x14ac:dyDescent="0.25">
      <c r="B148" s="710" t="s">
        <v>630</v>
      </c>
      <c r="C148" s="709">
        <f t="shared" ref="C148:C188" si="31">M148</f>
        <v>177.96724802360663</v>
      </c>
      <c r="D148" s="709">
        <f t="shared" si="26"/>
        <v>118.66187952014081</v>
      </c>
      <c r="E148" s="709">
        <f t="shared" si="27"/>
        <v>82.404457642745285</v>
      </c>
      <c r="F148" s="709">
        <f t="shared" si="28"/>
        <v>0</v>
      </c>
      <c r="G148" s="726">
        <f t="shared" si="29"/>
        <v>-0.31953575479504692</v>
      </c>
      <c r="L148" s="710" t="s">
        <v>588</v>
      </c>
      <c r="M148" s="709">
        <f>'4.1.Summary'!J64</f>
        <v>177.96724802360663</v>
      </c>
      <c r="N148" s="709">
        <f>'4.1.Summary'!K64</f>
        <v>118.66187952014081</v>
      </c>
      <c r="O148" s="709">
        <f>'4.1.Summary'!L64</f>
        <v>82.404457642745285</v>
      </c>
      <c r="P148" s="709">
        <f>'4.1.Summary'!M64</f>
        <v>0</v>
      </c>
      <c r="Q148" s="726">
        <f>'4.1.Summary'!N64</f>
        <v>-0.31953575479504692</v>
      </c>
      <c r="R148">
        <f t="shared" ref="R148:R188" si="32">M148-C148</f>
        <v>0</v>
      </c>
      <c r="S148">
        <f t="shared" ref="S148:S188" si="33">N148-D148</f>
        <v>0</v>
      </c>
      <c r="T148">
        <f t="shared" ref="T148:T188" si="34">O148-E148</f>
        <v>0</v>
      </c>
      <c r="U148">
        <f t="shared" ref="U148:U188" si="35">P148-F148</f>
        <v>0</v>
      </c>
      <c r="V148">
        <f t="shared" ref="V148:V188" si="36">Q148-G148</f>
        <v>0</v>
      </c>
    </row>
    <row r="149" spans="2:22" x14ac:dyDescent="0.25">
      <c r="B149" s="655" t="s">
        <v>631</v>
      </c>
      <c r="C149" s="709">
        <f t="shared" si="31"/>
        <v>4.4042192420338679</v>
      </c>
      <c r="D149" s="709">
        <f t="shared" si="26"/>
        <v>4.2921218104169796</v>
      </c>
      <c r="E149" s="709">
        <f t="shared" si="27"/>
        <v>4.288256609275499</v>
      </c>
      <c r="F149" s="709">
        <f t="shared" si="28"/>
        <v>0</v>
      </c>
      <c r="G149" s="726">
        <f t="shared" si="29"/>
        <v>-1.3252765689688584E-2</v>
      </c>
      <c r="L149" s="655" t="s">
        <v>589</v>
      </c>
      <c r="M149" s="709">
        <f>'4.1.Summary'!J65</f>
        <v>4.4042192420338679</v>
      </c>
      <c r="N149" s="709">
        <f>'4.1.Summary'!K65</f>
        <v>4.2921218104169796</v>
      </c>
      <c r="O149" s="709">
        <f>'4.1.Summary'!L65</f>
        <v>4.288256609275499</v>
      </c>
      <c r="P149" s="709">
        <f>'4.1.Summary'!M65</f>
        <v>0</v>
      </c>
      <c r="Q149" s="726">
        <f>'4.1.Summary'!N65</f>
        <v>-1.3252765689688584E-2</v>
      </c>
      <c r="R149">
        <f t="shared" si="32"/>
        <v>0</v>
      </c>
      <c r="S149">
        <f t="shared" si="33"/>
        <v>0</v>
      </c>
      <c r="T149">
        <f t="shared" si="34"/>
        <v>0</v>
      </c>
      <c r="U149">
        <f t="shared" si="35"/>
        <v>0</v>
      </c>
      <c r="V149">
        <f t="shared" si="36"/>
        <v>0</v>
      </c>
    </row>
    <row r="150" spans="2:22" x14ac:dyDescent="0.25">
      <c r="B150" s="655" t="s">
        <v>632</v>
      </c>
      <c r="C150" s="709">
        <f t="shared" si="31"/>
        <v>0</v>
      </c>
      <c r="D150" s="709">
        <f t="shared" si="26"/>
        <v>0</v>
      </c>
      <c r="E150" s="709">
        <f t="shared" si="27"/>
        <v>0</v>
      </c>
      <c r="F150" s="709">
        <f t="shared" si="28"/>
        <v>0</v>
      </c>
      <c r="G150" s="726">
        <f t="shared" si="29"/>
        <v>0</v>
      </c>
      <c r="L150" s="655" t="s">
        <v>590</v>
      </c>
      <c r="M150" s="709">
        <f>'4.1.Summary'!J66</f>
        <v>0</v>
      </c>
      <c r="N150" s="709">
        <f>'4.1.Summary'!K66</f>
        <v>0</v>
      </c>
      <c r="O150" s="709">
        <f>'4.1.Summary'!L66</f>
        <v>0</v>
      </c>
      <c r="P150" s="709">
        <f>'4.1.Summary'!M66</f>
        <v>0</v>
      </c>
      <c r="Q150" s="726">
        <f>'4.1.Summary'!N66</f>
        <v>0</v>
      </c>
      <c r="R150">
        <f>M150-C150</f>
        <v>0</v>
      </c>
      <c r="S150">
        <f t="shared" si="33"/>
        <v>0</v>
      </c>
      <c r="T150">
        <f t="shared" si="34"/>
        <v>0</v>
      </c>
      <c r="U150">
        <f t="shared" si="35"/>
        <v>0</v>
      </c>
      <c r="V150">
        <f t="shared" si="36"/>
        <v>0</v>
      </c>
    </row>
    <row r="151" spans="2:22" x14ac:dyDescent="0.25">
      <c r="B151" s="655" t="s">
        <v>633</v>
      </c>
      <c r="C151" s="709">
        <f t="shared" si="31"/>
        <v>117.98994076325121</v>
      </c>
      <c r="D151" s="709">
        <f t="shared" si="26"/>
        <v>66.778404189110901</v>
      </c>
      <c r="E151" s="709">
        <f t="shared" si="27"/>
        <v>33.480228992902873</v>
      </c>
      <c r="F151" s="709">
        <f t="shared" si="28"/>
        <v>0</v>
      </c>
      <c r="G151" s="726">
        <f t="shared" si="29"/>
        <v>-0.46731346586097322</v>
      </c>
      <c r="L151" s="655" t="s">
        <v>591</v>
      </c>
      <c r="M151" s="709">
        <f>'4.1.Summary'!J67</f>
        <v>117.98994076325121</v>
      </c>
      <c r="N151" s="709">
        <f>'4.1.Summary'!K67</f>
        <v>66.778404189110901</v>
      </c>
      <c r="O151" s="709">
        <f>'4.1.Summary'!L67</f>
        <v>33.480228992902873</v>
      </c>
      <c r="P151" s="709">
        <f>'4.1.Summary'!M67</f>
        <v>0</v>
      </c>
      <c r="Q151" s="726">
        <f>'4.1.Summary'!N67</f>
        <v>-0.46731346586097322</v>
      </c>
      <c r="R151">
        <f t="shared" si="32"/>
        <v>0</v>
      </c>
      <c r="S151">
        <f t="shared" si="33"/>
        <v>0</v>
      </c>
      <c r="T151">
        <f t="shared" si="34"/>
        <v>0</v>
      </c>
      <c r="U151">
        <f t="shared" si="35"/>
        <v>0</v>
      </c>
      <c r="V151">
        <f t="shared" si="36"/>
        <v>0</v>
      </c>
    </row>
    <row r="152" spans="2:22" ht="15.6" x14ac:dyDescent="0.25">
      <c r="B152" s="655" t="s">
        <v>634</v>
      </c>
      <c r="C152" s="709">
        <f t="shared" si="31"/>
        <v>45.672398758010175</v>
      </c>
      <c r="D152" s="709">
        <f t="shared" si="26"/>
        <v>44.509931969869307</v>
      </c>
      <c r="E152" s="709">
        <f t="shared" si="27"/>
        <v>44.635972040566905</v>
      </c>
      <c r="F152" s="709">
        <f t="shared" si="28"/>
        <v>0</v>
      </c>
      <c r="G152" s="726">
        <f t="shared" si="29"/>
        <v>-1.1411423887697669E-2</v>
      </c>
      <c r="L152" s="655" t="s">
        <v>592</v>
      </c>
      <c r="M152" s="709">
        <f>'4.1.Summary'!J72</f>
        <v>45.672398758010175</v>
      </c>
      <c r="N152" s="709">
        <f>'4.1.Summary'!K72</f>
        <v>44.509931969869307</v>
      </c>
      <c r="O152" s="709">
        <f>'4.1.Summary'!L72</f>
        <v>44.635972040566905</v>
      </c>
      <c r="P152" s="709">
        <f>'4.1.Summary'!M72</f>
        <v>0</v>
      </c>
      <c r="Q152" s="726">
        <f>'4.1.Summary'!N72</f>
        <v>-1.1411423887697669E-2</v>
      </c>
      <c r="R152">
        <f t="shared" si="32"/>
        <v>0</v>
      </c>
      <c r="S152">
        <f t="shared" si="33"/>
        <v>0</v>
      </c>
      <c r="T152">
        <f t="shared" si="34"/>
        <v>0</v>
      </c>
      <c r="U152">
        <f t="shared" si="35"/>
        <v>0</v>
      </c>
      <c r="V152">
        <f t="shared" si="36"/>
        <v>0</v>
      </c>
    </row>
    <row r="153" spans="2:22" x14ac:dyDescent="0.25">
      <c r="B153" s="655" t="s">
        <v>635</v>
      </c>
      <c r="C153" s="709" t="e">
        <f t="shared" si="31"/>
        <v>#REF!</v>
      </c>
      <c r="D153" s="709" t="e">
        <f t="shared" si="26"/>
        <v>#REF!</v>
      </c>
      <c r="E153" s="709" t="e">
        <f t="shared" si="27"/>
        <v>#REF!</v>
      </c>
      <c r="F153" s="709" t="e">
        <f t="shared" si="28"/>
        <v>#REF!</v>
      </c>
      <c r="G153" s="726" t="e">
        <f t="shared" si="29"/>
        <v>#REF!</v>
      </c>
      <c r="L153" s="655" t="s">
        <v>593</v>
      </c>
      <c r="M153" s="709" t="e">
        <f>'4.1.Summary'!J73</f>
        <v>#REF!</v>
      </c>
      <c r="N153" s="709" t="e">
        <f>'4.1.Summary'!K73</f>
        <v>#REF!</v>
      </c>
      <c r="O153" s="709" t="e">
        <f>'4.1.Summary'!L73</f>
        <v>#REF!</v>
      </c>
      <c r="P153" s="709" t="e">
        <f>'4.1.Summary'!M73</f>
        <v>#REF!</v>
      </c>
      <c r="Q153" s="726" t="e">
        <f>'4.1.Summary'!N73</f>
        <v>#REF!</v>
      </c>
      <c r="R153" t="e">
        <f t="shared" si="32"/>
        <v>#REF!</v>
      </c>
      <c r="S153" t="e">
        <f t="shared" si="33"/>
        <v>#REF!</v>
      </c>
      <c r="T153" t="e">
        <f t="shared" si="34"/>
        <v>#REF!</v>
      </c>
      <c r="U153" t="e">
        <f t="shared" si="35"/>
        <v>#REF!</v>
      </c>
      <c r="V153" t="e">
        <f t="shared" si="36"/>
        <v>#REF!</v>
      </c>
    </row>
    <row r="154" spans="2:22" x14ac:dyDescent="0.25">
      <c r="B154" s="711" t="s">
        <v>636</v>
      </c>
      <c r="C154" s="712">
        <f t="shared" si="31"/>
        <v>0</v>
      </c>
      <c r="D154" s="712">
        <f t="shared" si="26"/>
        <v>0</v>
      </c>
      <c r="E154" s="712">
        <f t="shared" si="27"/>
        <v>0</v>
      </c>
      <c r="F154" s="712">
        <f t="shared" si="28"/>
        <v>0</v>
      </c>
      <c r="G154" s="727">
        <f t="shared" si="29"/>
        <v>0</v>
      </c>
      <c r="L154" s="711" t="s">
        <v>594</v>
      </c>
      <c r="M154" s="712">
        <f>'4.1.Summary'!J74</f>
        <v>0</v>
      </c>
      <c r="N154" s="712">
        <f>'4.1.Summary'!K74</f>
        <v>0</v>
      </c>
      <c r="O154" s="712">
        <f>'4.1.Summary'!L74</f>
        <v>0</v>
      </c>
      <c r="P154" s="712">
        <f>'4.1.Summary'!M74</f>
        <v>0</v>
      </c>
      <c r="Q154" s="727">
        <f>'4.1.Summary'!N74</f>
        <v>0</v>
      </c>
      <c r="R154">
        <f t="shared" si="32"/>
        <v>0</v>
      </c>
      <c r="S154">
        <f t="shared" si="33"/>
        <v>0</v>
      </c>
      <c r="T154">
        <f t="shared" si="34"/>
        <v>0</v>
      </c>
      <c r="U154">
        <f t="shared" si="35"/>
        <v>0</v>
      </c>
      <c r="V154">
        <f t="shared" si="36"/>
        <v>0</v>
      </c>
    </row>
    <row r="155" spans="2:22" x14ac:dyDescent="0.25">
      <c r="B155" s="713" t="s">
        <v>637</v>
      </c>
      <c r="C155" s="714">
        <f t="shared" si="31"/>
        <v>180.26861112946204</v>
      </c>
      <c r="D155" s="714">
        <f t="shared" si="26"/>
        <v>119.77430092066017</v>
      </c>
      <c r="E155" s="714">
        <f t="shared" si="27"/>
        <v>83.59494628958592</v>
      </c>
      <c r="F155" s="714">
        <f t="shared" si="28"/>
        <v>0</v>
      </c>
      <c r="G155" s="728">
        <f t="shared" si="29"/>
        <v>-0.31902690228721353</v>
      </c>
      <c r="L155" s="713" t="s">
        <v>595</v>
      </c>
      <c r="M155" s="714">
        <f>'4.1.Summary'!J80</f>
        <v>180.26861112946204</v>
      </c>
      <c r="N155" s="714">
        <f>'4.1.Summary'!K80</f>
        <v>119.77430092066017</v>
      </c>
      <c r="O155" s="714">
        <f>'4.1.Summary'!L80</f>
        <v>83.59494628958592</v>
      </c>
      <c r="P155" s="714">
        <f>'4.1.Summary'!M80</f>
        <v>0</v>
      </c>
      <c r="Q155" s="728">
        <f>'4.1.Summary'!N80</f>
        <v>-0.31902690228721353</v>
      </c>
      <c r="R155">
        <f t="shared" si="32"/>
        <v>0</v>
      </c>
      <c r="S155">
        <f t="shared" si="33"/>
        <v>0</v>
      </c>
      <c r="T155">
        <f t="shared" si="34"/>
        <v>0</v>
      </c>
      <c r="U155">
        <f t="shared" si="35"/>
        <v>0</v>
      </c>
      <c r="V155">
        <f t="shared" si="36"/>
        <v>0</v>
      </c>
    </row>
    <row r="156" spans="2:22" x14ac:dyDescent="0.25">
      <c r="B156" s="710" t="s">
        <v>638</v>
      </c>
      <c r="C156" s="709">
        <f t="shared" si="31"/>
        <v>1336.6398449714827</v>
      </c>
      <c r="D156" s="709">
        <f t="shared" si="26"/>
        <v>1324.025630405391</v>
      </c>
      <c r="E156" s="709">
        <f t="shared" si="27"/>
        <v>1801.7587341066494</v>
      </c>
      <c r="F156" s="709">
        <f t="shared" si="28"/>
        <v>0</v>
      </c>
      <c r="G156" s="726">
        <f t="shared" si="29"/>
        <v>0.16102378367969039</v>
      </c>
      <c r="L156" s="710" t="s">
        <v>596</v>
      </c>
      <c r="M156" s="709">
        <f>'4.1.Summary'!J82</f>
        <v>1336.6398449714827</v>
      </c>
      <c r="N156" s="709">
        <f>'4.1.Summary'!K82</f>
        <v>1324.025630405391</v>
      </c>
      <c r="O156" s="709">
        <f>'4.1.Summary'!L82</f>
        <v>1801.7587341066494</v>
      </c>
      <c r="P156" s="709">
        <f>'4.1.Summary'!M82</f>
        <v>0</v>
      </c>
      <c r="Q156" s="726">
        <f>'4.1.Summary'!N82</f>
        <v>0.16102378367969039</v>
      </c>
      <c r="R156">
        <f t="shared" si="32"/>
        <v>0</v>
      </c>
      <c r="S156">
        <f t="shared" si="33"/>
        <v>0</v>
      </c>
      <c r="T156">
        <f t="shared" si="34"/>
        <v>0</v>
      </c>
      <c r="U156">
        <f t="shared" si="35"/>
        <v>0</v>
      </c>
      <c r="V156">
        <f t="shared" si="36"/>
        <v>0</v>
      </c>
    </row>
    <row r="157" spans="2:22" x14ac:dyDescent="0.25">
      <c r="B157" s="710" t="s">
        <v>639</v>
      </c>
      <c r="C157" s="709" t="e">
        <f t="shared" si="31"/>
        <v>#REF!</v>
      </c>
      <c r="D157" s="709" t="e">
        <f t="shared" si="26"/>
        <v>#REF!</v>
      </c>
      <c r="E157" s="709" t="e">
        <f t="shared" si="27"/>
        <v>#REF!</v>
      </c>
      <c r="F157" s="709" t="e">
        <f t="shared" si="28"/>
        <v>#REF!</v>
      </c>
      <c r="G157" s="726" t="e">
        <f t="shared" si="29"/>
        <v>#REF!</v>
      </c>
      <c r="L157" s="710" t="s">
        <v>597</v>
      </c>
      <c r="M157" s="709" t="e">
        <f>'4.1.Summary'!J84</f>
        <v>#REF!</v>
      </c>
      <c r="N157" s="709" t="e">
        <f>'4.1.Summary'!K84</f>
        <v>#REF!</v>
      </c>
      <c r="O157" s="709" t="e">
        <f>'4.1.Summary'!L84</f>
        <v>#REF!</v>
      </c>
      <c r="P157" s="709" t="e">
        <f>'4.1.Summary'!M84</f>
        <v>#REF!</v>
      </c>
      <c r="Q157" s="726" t="e">
        <f>'4.1.Summary'!N84</f>
        <v>#REF!</v>
      </c>
      <c r="R157" t="e">
        <f t="shared" si="32"/>
        <v>#REF!</v>
      </c>
      <c r="S157" t="e">
        <f t="shared" si="33"/>
        <v>#REF!</v>
      </c>
      <c r="T157" t="e">
        <f t="shared" si="34"/>
        <v>#REF!</v>
      </c>
      <c r="U157" t="e">
        <f t="shared" si="35"/>
        <v>#REF!</v>
      </c>
      <c r="V157" t="e">
        <f t="shared" si="36"/>
        <v>#REF!</v>
      </c>
    </row>
    <row r="158" spans="2:22" x14ac:dyDescent="0.25">
      <c r="B158" s="710" t="s">
        <v>640</v>
      </c>
      <c r="C158" s="709">
        <f t="shared" si="31"/>
        <v>126.38594393428903</v>
      </c>
      <c r="D158" s="709">
        <f t="shared" si="26"/>
        <v>170.18887911238923</v>
      </c>
      <c r="E158" s="709">
        <f t="shared" si="27"/>
        <v>193.35052852762712</v>
      </c>
      <c r="F158" s="709">
        <f t="shared" si="28"/>
        <v>0</v>
      </c>
      <c r="G158" s="726">
        <f t="shared" si="29"/>
        <v>0.23686782883623603</v>
      </c>
      <c r="L158" s="710" t="s">
        <v>598</v>
      </c>
      <c r="M158" s="709">
        <f>'4.1.Summary'!J85</f>
        <v>126.38594393428903</v>
      </c>
      <c r="N158" s="709">
        <f>'4.1.Summary'!K85</f>
        <v>170.18887911238923</v>
      </c>
      <c r="O158" s="709">
        <f>'4.1.Summary'!L85</f>
        <v>193.35052852762712</v>
      </c>
      <c r="P158" s="709">
        <f>'4.1.Summary'!M85</f>
        <v>0</v>
      </c>
      <c r="Q158" s="726">
        <f>'4.1.Summary'!N85</f>
        <v>0.23686782883623603</v>
      </c>
      <c r="R158">
        <f t="shared" si="32"/>
        <v>0</v>
      </c>
      <c r="S158">
        <f t="shared" si="33"/>
        <v>0</v>
      </c>
      <c r="T158">
        <f t="shared" si="34"/>
        <v>0</v>
      </c>
      <c r="U158">
        <f t="shared" si="35"/>
        <v>0</v>
      </c>
      <c r="V158">
        <f t="shared" si="36"/>
        <v>0</v>
      </c>
    </row>
    <row r="159" spans="2:22" x14ac:dyDescent="0.25">
      <c r="B159" s="710" t="s">
        <v>641</v>
      </c>
      <c r="C159" s="709">
        <f t="shared" si="31"/>
        <v>1315.0645526414303</v>
      </c>
      <c r="D159" s="709">
        <f t="shared" si="26"/>
        <v>2094.181704830783</v>
      </c>
      <c r="E159" s="709">
        <f t="shared" si="27"/>
        <v>1181.2725251399042</v>
      </c>
      <c r="F159" s="709">
        <f t="shared" si="28"/>
        <v>0</v>
      </c>
      <c r="G159" s="726">
        <f t="shared" si="29"/>
        <v>-5.2233147039815186E-2</v>
      </c>
      <c r="L159" s="710" t="s">
        <v>599</v>
      </c>
      <c r="M159" s="709">
        <f>'4.1.Summary'!J86</f>
        <v>1315.0645526414303</v>
      </c>
      <c r="N159" s="709">
        <f>'4.1.Summary'!K86</f>
        <v>2094.181704830783</v>
      </c>
      <c r="O159" s="709">
        <f>'4.1.Summary'!L86</f>
        <v>1181.2725251399042</v>
      </c>
      <c r="P159" s="709">
        <f>'4.1.Summary'!M86</f>
        <v>0</v>
      </c>
      <c r="Q159" s="726">
        <f>'4.1.Summary'!N86</f>
        <v>-5.2233147039815186E-2</v>
      </c>
      <c r="R159">
        <f t="shared" si="32"/>
        <v>0</v>
      </c>
      <c r="S159">
        <f t="shared" si="33"/>
        <v>0</v>
      </c>
      <c r="T159">
        <f t="shared" si="34"/>
        <v>0</v>
      </c>
      <c r="U159">
        <f t="shared" si="35"/>
        <v>0</v>
      </c>
      <c r="V159">
        <f t="shared" si="36"/>
        <v>0</v>
      </c>
    </row>
    <row r="160" spans="2:22" x14ac:dyDescent="0.25">
      <c r="B160" s="710" t="s">
        <v>642</v>
      </c>
      <c r="C160" s="709">
        <f t="shared" si="31"/>
        <v>73.341375437669285</v>
      </c>
      <c r="D160" s="709">
        <f t="shared" si="26"/>
        <v>317.8685644998605</v>
      </c>
      <c r="E160" s="709">
        <f t="shared" si="27"/>
        <v>-15.974013164947786</v>
      </c>
      <c r="F160" s="709">
        <f t="shared" si="28"/>
        <v>0</v>
      </c>
      <c r="G160" s="726">
        <f t="shared" si="29"/>
        <v>0</v>
      </c>
      <c r="L160" s="710" t="s">
        <v>600</v>
      </c>
      <c r="M160" s="709">
        <f>'4.1.Summary'!J87</f>
        <v>73.341375437669285</v>
      </c>
      <c r="N160" s="709">
        <f>'4.1.Summary'!K87</f>
        <v>317.8685644998605</v>
      </c>
      <c r="O160" s="709">
        <f>'4.1.Summary'!L87</f>
        <v>-15.974013164947786</v>
      </c>
      <c r="P160" s="709">
        <f>'4.1.Summary'!M87</f>
        <v>0</v>
      </c>
      <c r="Q160" s="726">
        <f>'4.1.Summary'!N87</f>
        <v>0</v>
      </c>
      <c r="R160">
        <f t="shared" si="32"/>
        <v>0</v>
      </c>
      <c r="S160">
        <f t="shared" si="33"/>
        <v>0</v>
      </c>
      <c r="T160">
        <f t="shared" si="34"/>
        <v>0</v>
      </c>
      <c r="U160">
        <f t="shared" si="35"/>
        <v>0</v>
      </c>
      <c r="V160">
        <f t="shared" si="36"/>
        <v>0</v>
      </c>
    </row>
    <row r="161" spans="2:22" x14ac:dyDescent="0.25">
      <c r="B161" s="710" t="s">
        <v>643</v>
      </c>
      <c r="C161" s="709">
        <f t="shared" si="31"/>
        <v>224.25346281737905</v>
      </c>
      <c r="D161" s="709">
        <f t="shared" si="26"/>
        <v>713.12222675279531</v>
      </c>
      <c r="E161" s="709">
        <f t="shared" si="27"/>
        <v>386.49156285512123</v>
      </c>
      <c r="F161" s="709">
        <f t="shared" si="28"/>
        <v>0</v>
      </c>
      <c r="G161" s="726">
        <f t="shared" si="29"/>
        <v>0.31280562798462164</v>
      </c>
      <c r="L161" s="710" t="s">
        <v>601</v>
      </c>
      <c r="M161" s="709">
        <f>'4.1.Summary'!J89</f>
        <v>224.25346281737905</v>
      </c>
      <c r="N161" s="709">
        <f>'4.1.Summary'!K89</f>
        <v>713.12222675279531</v>
      </c>
      <c r="O161" s="709">
        <f>'4.1.Summary'!L89</f>
        <v>386.49156285512123</v>
      </c>
      <c r="P161" s="709">
        <f>'4.1.Summary'!M89</f>
        <v>0</v>
      </c>
      <c r="Q161" s="726">
        <f>'4.1.Summary'!N89</f>
        <v>0.31280562798462164</v>
      </c>
      <c r="R161">
        <f t="shared" si="32"/>
        <v>0</v>
      </c>
      <c r="S161">
        <f t="shared" si="33"/>
        <v>0</v>
      </c>
      <c r="T161">
        <f t="shared" si="34"/>
        <v>0</v>
      </c>
      <c r="U161">
        <f t="shared" si="35"/>
        <v>0</v>
      </c>
      <c r="V161">
        <f t="shared" si="36"/>
        <v>0</v>
      </c>
    </row>
    <row r="162" spans="2:22" x14ac:dyDescent="0.25">
      <c r="B162" s="718" t="s">
        <v>644</v>
      </c>
      <c r="C162" s="712">
        <f t="shared" si="31"/>
        <v>476.97958864592289</v>
      </c>
      <c r="D162" s="712">
        <f t="shared" si="26"/>
        <v>1115.3888254608667</v>
      </c>
      <c r="E162" s="712">
        <f t="shared" si="27"/>
        <v>1409.0683505220952</v>
      </c>
      <c r="F162" s="712">
        <f t="shared" si="28"/>
        <v>0</v>
      </c>
      <c r="G162" s="727">
        <f t="shared" si="29"/>
        <v>0.71876354116879559</v>
      </c>
      <c r="L162" s="718" t="s">
        <v>602</v>
      </c>
      <c r="M162" s="712">
        <f>'4.1.Summary'!J91</f>
        <v>476.97958864592289</v>
      </c>
      <c r="N162" s="712">
        <f>'4.1.Summary'!K91</f>
        <v>1115.3888254608667</v>
      </c>
      <c r="O162" s="712">
        <f>'4.1.Summary'!L91</f>
        <v>1409.0683505220952</v>
      </c>
      <c r="P162" s="712">
        <f>'4.1.Summary'!M91</f>
        <v>0</v>
      </c>
      <c r="Q162" s="727">
        <f>'4.1.Summary'!N91</f>
        <v>0.71876354116879559</v>
      </c>
      <c r="R162">
        <f t="shared" si="32"/>
        <v>0</v>
      </c>
      <c r="S162">
        <f t="shared" si="33"/>
        <v>0</v>
      </c>
      <c r="T162">
        <f t="shared" si="34"/>
        <v>0</v>
      </c>
      <c r="U162">
        <f t="shared" si="35"/>
        <v>0</v>
      </c>
      <c r="V162">
        <f t="shared" si="36"/>
        <v>0</v>
      </c>
    </row>
    <row r="163" spans="2:22" x14ac:dyDescent="0.25">
      <c r="B163" s="739" t="s">
        <v>645</v>
      </c>
      <c r="C163" s="740">
        <f t="shared" si="31"/>
        <v>3426.278824513884</v>
      </c>
      <c r="D163" s="740">
        <f t="shared" si="26"/>
        <v>5564.5869519496964</v>
      </c>
      <c r="E163" s="740">
        <f t="shared" si="27"/>
        <v>4762.6171594588222</v>
      </c>
      <c r="F163" s="740">
        <f t="shared" si="28"/>
        <v>0</v>
      </c>
      <c r="G163" s="743">
        <f t="shared" si="29"/>
        <v>0.17899370180207441</v>
      </c>
      <c r="L163" s="739" t="s">
        <v>603</v>
      </c>
      <c r="M163" s="740">
        <f>'4.1.Summary'!J92</f>
        <v>3426.278824513884</v>
      </c>
      <c r="N163" s="740">
        <f>'4.1.Summary'!K92</f>
        <v>5564.5869519496964</v>
      </c>
      <c r="O163" s="740">
        <f>'4.1.Summary'!L92</f>
        <v>4762.6171594588222</v>
      </c>
      <c r="P163" s="740">
        <f>'4.1.Summary'!M92</f>
        <v>0</v>
      </c>
      <c r="Q163" s="743">
        <f>'4.1.Summary'!N92</f>
        <v>0.17899370180207441</v>
      </c>
      <c r="R163">
        <f t="shared" si="32"/>
        <v>0</v>
      </c>
      <c r="S163">
        <f t="shared" si="33"/>
        <v>0</v>
      </c>
      <c r="T163">
        <f t="shared" si="34"/>
        <v>0</v>
      </c>
      <c r="U163">
        <f t="shared" si="35"/>
        <v>0</v>
      </c>
      <c r="V163">
        <f t="shared" si="36"/>
        <v>0</v>
      </c>
    </row>
    <row r="164" spans="2:22" x14ac:dyDescent="0.25">
      <c r="B164" s="713" t="s">
        <v>646</v>
      </c>
      <c r="C164" s="714">
        <f t="shared" si="31"/>
        <v>3606.547435643346</v>
      </c>
      <c r="D164" s="714">
        <f t="shared" si="26"/>
        <v>5684.361252870357</v>
      </c>
      <c r="E164" s="714">
        <f t="shared" si="27"/>
        <v>4846.2121057484082</v>
      </c>
      <c r="F164" s="714">
        <f t="shared" si="28"/>
        <v>0</v>
      </c>
      <c r="G164" s="728">
        <f t="shared" si="29"/>
        <v>0.15919202527371712</v>
      </c>
      <c r="L164" s="713" t="s">
        <v>604</v>
      </c>
      <c r="M164" s="714">
        <f>'4.1.Summary'!J93</f>
        <v>3606.547435643346</v>
      </c>
      <c r="N164" s="714">
        <f>'4.1.Summary'!K93</f>
        <v>5684.361252870357</v>
      </c>
      <c r="O164" s="714">
        <f>'4.1.Summary'!L93</f>
        <v>4846.2121057484082</v>
      </c>
      <c r="P164" s="714">
        <f>'4.1.Summary'!M93</f>
        <v>0</v>
      </c>
      <c r="Q164" s="728">
        <f>'4.1.Summary'!N93</f>
        <v>0.15919202527371712</v>
      </c>
      <c r="R164">
        <f t="shared" si="32"/>
        <v>0</v>
      </c>
      <c r="S164">
        <f t="shared" si="33"/>
        <v>0</v>
      </c>
      <c r="T164">
        <f t="shared" si="34"/>
        <v>0</v>
      </c>
      <c r="U164">
        <f t="shared" si="35"/>
        <v>0</v>
      </c>
      <c r="V164">
        <f t="shared" si="36"/>
        <v>0</v>
      </c>
    </row>
    <row r="165" spans="2:22" ht="5.25" customHeight="1" x14ac:dyDescent="0.25">
      <c r="B165" s="719"/>
      <c r="C165" s="709">
        <f t="shared" si="31"/>
        <v>0</v>
      </c>
      <c r="D165" s="709">
        <f t="shared" si="26"/>
        <v>0</v>
      </c>
      <c r="E165" s="709">
        <f t="shared" si="27"/>
        <v>0</v>
      </c>
      <c r="F165" s="709">
        <f t="shared" si="28"/>
        <v>0</v>
      </c>
      <c r="G165" s="726">
        <f t="shared" si="29"/>
        <v>0</v>
      </c>
      <c r="L165" s="722"/>
      <c r="M165" s="723"/>
      <c r="N165" s="723"/>
      <c r="O165" s="723"/>
      <c r="P165" s="723"/>
      <c r="Q165" s="732"/>
      <c r="R165">
        <f t="shared" si="32"/>
        <v>0</v>
      </c>
      <c r="S165">
        <f t="shared" si="33"/>
        <v>0</v>
      </c>
      <c r="T165">
        <f t="shared" si="34"/>
        <v>0</v>
      </c>
      <c r="U165">
        <f t="shared" si="35"/>
        <v>0</v>
      </c>
      <c r="V165">
        <f t="shared" si="36"/>
        <v>0</v>
      </c>
    </row>
    <row r="166" spans="2:22" x14ac:dyDescent="0.25">
      <c r="B166" s="710" t="s">
        <v>647</v>
      </c>
      <c r="C166" s="709">
        <f t="shared" si="31"/>
        <v>44.042192420338687</v>
      </c>
      <c r="D166" s="709">
        <f t="shared" si="26"/>
        <v>42.921218104169796</v>
      </c>
      <c r="E166" s="709">
        <f t="shared" si="27"/>
        <v>42.882566092754992</v>
      </c>
      <c r="F166" s="709">
        <f t="shared" si="28"/>
        <v>0</v>
      </c>
      <c r="G166" s="726">
        <f t="shared" si="29"/>
        <v>-1.3252765689688695E-2</v>
      </c>
      <c r="L166" s="710" t="s">
        <v>605</v>
      </c>
      <c r="M166" s="709">
        <f>'4.1.Summary'!J96</f>
        <v>44.042192420338687</v>
      </c>
      <c r="N166" s="709">
        <f>'4.1.Summary'!K96</f>
        <v>42.921218104169796</v>
      </c>
      <c r="O166" s="709">
        <f>'4.1.Summary'!L96</f>
        <v>42.882566092754992</v>
      </c>
      <c r="P166" s="709">
        <f>'4.1.Summary'!M96</f>
        <v>0</v>
      </c>
      <c r="Q166" s="726">
        <f>'4.1.Summary'!N96</f>
        <v>-1.3252765689688695E-2</v>
      </c>
      <c r="R166">
        <f t="shared" si="32"/>
        <v>0</v>
      </c>
      <c r="S166">
        <f t="shared" si="33"/>
        <v>0</v>
      </c>
      <c r="T166">
        <f t="shared" si="34"/>
        <v>0</v>
      </c>
      <c r="U166">
        <f t="shared" si="35"/>
        <v>0</v>
      </c>
      <c r="V166">
        <f t="shared" si="36"/>
        <v>0</v>
      </c>
    </row>
    <row r="167" spans="2:22" x14ac:dyDescent="0.25">
      <c r="B167" s="710" t="s">
        <v>648</v>
      </c>
      <c r="C167" s="709">
        <f t="shared" si="31"/>
        <v>8.8084384840677359</v>
      </c>
      <c r="D167" s="709">
        <f t="shared" si="26"/>
        <v>8.5842436208339592</v>
      </c>
      <c r="E167" s="709">
        <f t="shared" si="27"/>
        <v>8.576513218550998</v>
      </c>
      <c r="F167" s="709">
        <f t="shared" si="28"/>
        <v>0</v>
      </c>
      <c r="G167" s="726">
        <f t="shared" si="29"/>
        <v>-1.3252765689688584E-2</v>
      </c>
      <c r="L167" s="710" t="s">
        <v>606</v>
      </c>
      <c r="M167" s="709">
        <f>'4.1.Summary'!J98</f>
        <v>8.8084384840677359</v>
      </c>
      <c r="N167" s="709">
        <f>'4.1.Summary'!K98</f>
        <v>8.5842436208339592</v>
      </c>
      <c r="O167" s="709">
        <f>'4.1.Summary'!L98</f>
        <v>8.576513218550998</v>
      </c>
      <c r="P167" s="709">
        <f>'4.1.Summary'!M98</f>
        <v>0</v>
      </c>
      <c r="Q167" s="726">
        <f>'4.1.Summary'!N98</f>
        <v>-1.3252765689688584E-2</v>
      </c>
      <c r="R167">
        <f t="shared" si="32"/>
        <v>0</v>
      </c>
      <c r="S167">
        <f t="shared" si="33"/>
        <v>0</v>
      </c>
      <c r="T167">
        <f t="shared" si="34"/>
        <v>0</v>
      </c>
      <c r="U167">
        <f t="shared" si="35"/>
        <v>0</v>
      </c>
      <c r="V167">
        <f t="shared" si="36"/>
        <v>0</v>
      </c>
    </row>
    <row r="168" spans="2:22" x14ac:dyDescent="0.25">
      <c r="B168" s="710" t="s">
        <v>649</v>
      </c>
      <c r="C168" s="709">
        <f t="shared" si="31"/>
        <v>122.31689238290281</v>
      </c>
      <c r="D168" s="709">
        <f t="shared" si="26"/>
        <v>119.20364830353884</v>
      </c>
      <c r="E168" s="709">
        <f t="shared" si="27"/>
        <v>119.09630137867448</v>
      </c>
      <c r="F168" s="709">
        <f t="shared" si="28"/>
        <v>0</v>
      </c>
      <c r="G168" s="726">
        <f t="shared" si="29"/>
        <v>-1.3252765689688695E-2</v>
      </c>
      <c r="L168" s="710" t="s">
        <v>607</v>
      </c>
      <c r="M168" s="709">
        <f>'4.1.Summary'!J100</f>
        <v>122.31689238290281</v>
      </c>
      <c r="N168" s="709">
        <f>'4.1.Summary'!K100</f>
        <v>119.20364830353884</v>
      </c>
      <c r="O168" s="709">
        <f>'4.1.Summary'!L100</f>
        <v>119.09630137867448</v>
      </c>
      <c r="P168" s="709">
        <f>'4.1.Summary'!M100</f>
        <v>0</v>
      </c>
      <c r="Q168" s="726">
        <f>'4.1.Summary'!N100</f>
        <v>-1.3252765689688695E-2</v>
      </c>
      <c r="R168">
        <f t="shared" si="32"/>
        <v>0</v>
      </c>
      <c r="S168">
        <f t="shared" si="33"/>
        <v>0</v>
      </c>
      <c r="T168">
        <f t="shared" si="34"/>
        <v>0</v>
      </c>
      <c r="U168">
        <f t="shared" si="35"/>
        <v>0</v>
      </c>
      <c r="V168">
        <f t="shared" si="36"/>
        <v>0</v>
      </c>
    </row>
    <row r="169" spans="2:22" x14ac:dyDescent="0.25">
      <c r="B169" s="710" t="s">
        <v>650</v>
      </c>
      <c r="C169" s="709">
        <f t="shared" si="31"/>
        <v>732.25082248794342</v>
      </c>
      <c r="D169" s="709">
        <f t="shared" si="26"/>
        <v>240.18620082837955</v>
      </c>
      <c r="E169" s="709">
        <f t="shared" si="27"/>
        <v>550.42923733356213</v>
      </c>
      <c r="F169" s="709">
        <f t="shared" si="28"/>
        <v>0</v>
      </c>
      <c r="G169" s="726">
        <f t="shared" si="29"/>
        <v>-0.13299657498518547</v>
      </c>
      <c r="L169" s="710" t="s">
        <v>608</v>
      </c>
      <c r="M169" s="709">
        <f>'4.1.Summary'!J101</f>
        <v>732.25082248794342</v>
      </c>
      <c r="N169" s="709">
        <f>'4.1.Summary'!K101</f>
        <v>240.18620082837955</v>
      </c>
      <c r="O169" s="709">
        <f>'4.1.Summary'!L101</f>
        <v>550.42923733356213</v>
      </c>
      <c r="P169" s="709">
        <f>'4.1.Summary'!M101</f>
        <v>0</v>
      </c>
      <c r="Q169" s="726">
        <f>'4.1.Summary'!N101</f>
        <v>-0.13299657498518547</v>
      </c>
      <c r="R169">
        <f t="shared" si="32"/>
        <v>0</v>
      </c>
      <c r="S169">
        <f t="shared" si="33"/>
        <v>0</v>
      </c>
      <c r="T169">
        <f t="shared" si="34"/>
        <v>0</v>
      </c>
      <c r="U169">
        <f t="shared" si="35"/>
        <v>0</v>
      </c>
      <c r="V169">
        <f t="shared" si="36"/>
        <v>0</v>
      </c>
    </row>
    <row r="170" spans="2:22" x14ac:dyDescent="0.25">
      <c r="B170" s="710" t="s">
        <v>651</v>
      </c>
      <c r="C170" s="709">
        <f t="shared" si="31"/>
        <v>248.15535883376276</v>
      </c>
      <c r="D170" s="709">
        <f t="shared" si="26"/>
        <v>428.94419812434279</v>
      </c>
      <c r="E170" s="709">
        <f t="shared" si="27"/>
        <v>445.62059220823778</v>
      </c>
      <c r="F170" s="709">
        <f t="shared" si="28"/>
        <v>0</v>
      </c>
      <c r="G170" s="726">
        <f t="shared" si="29"/>
        <v>0.34004936315707934</v>
      </c>
      <c r="L170" s="710" t="s">
        <v>609</v>
      </c>
      <c r="M170" s="709">
        <f>'4.1.Summary'!J102</f>
        <v>248.15535883376276</v>
      </c>
      <c r="N170" s="709">
        <f>'4.1.Summary'!K102</f>
        <v>428.94419812434279</v>
      </c>
      <c r="O170" s="709">
        <f>'4.1.Summary'!L102</f>
        <v>445.62059220823778</v>
      </c>
      <c r="P170" s="709">
        <f>'4.1.Summary'!M102</f>
        <v>0</v>
      </c>
      <c r="Q170" s="726">
        <f>'4.1.Summary'!N102</f>
        <v>0.34004936315707934</v>
      </c>
      <c r="R170">
        <f t="shared" si="32"/>
        <v>0</v>
      </c>
      <c r="S170">
        <f t="shared" si="33"/>
        <v>0</v>
      </c>
      <c r="T170">
        <f t="shared" si="34"/>
        <v>0</v>
      </c>
      <c r="U170">
        <f t="shared" si="35"/>
        <v>0</v>
      </c>
      <c r="V170">
        <f t="shared" si="36"/>
        <v>0</v>
      </c>
    </row>
    <row r="171" spans="2:22" x14ac:dyDescent="0.25">
      <c r="B171" s="718" t="s">
        <v>652</v>
      </c>
      <c r="C171" s="712">
        <f t="shared" si="31"/>
        <v>0</v>
      </c>
      <c r="D171" s="712">
        <f t="shared" si="26"/>
        <v>0</v>
      </c>
      <c r="E171" s="712">
        <f t="shared" si="27"/>
        <v>0</v>
      </c>
      <c r="F171" s="712">
        <f t="shared" si="28"/>
        <v>0</v>
      </c>
      <c r="G171" s="727">
        <f t="shared" si="29"/>
        <v>0</v>
      </c>
      <c r="L171" s="718" t="s">
        <v>610</v>
      </c>
      <c r="M171" s="712">
        <f>'4.1.Summary'!J103</f>
        <v>0</v>
      </c>
      <c r="N171" s="712">
        <f>'4.1.Summary'!K103</f>
        <v>0</v>
      </c>
      <c r="O171" s="712">
        <f>'4.1.Summary'!L103</f>
        <v>0</v>
      </c>
      <c r="P171" s="712">
        <f>'4.1.Summary'!M103</f>
        <v>0</v>
      </c>
      <c r="Q171" s="727">
        <f>'4.1.Summary'!N103</f>
        <v>0</v>
      </c>
      <c r="R171">
        <f t="shared" si="32"/>
        <v>0</v>
      </c>
      <c r="S171">
        <f t="shared" si="33"/>
        <v>0</v>
      </c>
      <c r="T171">
        <f t="shared" si="34"/>
        <v>0</v>
      </c>
      <c r="U171">
        <f t="shared" si="35"/>
        <v>0</v>
      </c>
      <c r="V171">
        <f t="shared" si="36"/>
        <v>0</v>
      </c>
    </row>
    <row r="172" spans="2:22" x14ac:dyDescent="0.25">
      <c r="B172" s="713" t="s">
        <v>653</v>
      </c>
      <c r="C172" s="714">
        <f t="shared" si="31"/>
        <v>1155.5737046090153</v>
      </c>
      <c r="D172" s="714">
        <f t="shared" si="26"/>
        <v>839.839508981265</v>
      </c>
      <c r="E172" s="714">
        <f t="shared" si="27"/>
        <v>1166.6052102317803</v>
      </c>
      <c r="F172" s="714">
        <f t="shared" si="28"/>
        <v>0</v>
      </c>
      <c r="G172" s="728">
        <f t="shared" si="29"/>
        <v>4.7618351213454257E-3</v>
      </c>
      <c r="L172" s="713" t="s">
        <v>611</v>
      </c>
      <c r="M172" s="714">
        <f>'4.1.Summary'!J104</f>
        <v>1155.5737046090153</v>
      </c>
      <c r="N172" s="714">
        <f>'4.1.Summary'!K104</f>
        <v>839.839508981265</v>
      </c>
      <c r="O172" s="714">
        <f>'4.1.Summary'!L104</f>
        <v>1166.6052102317803</v>
      </c>
      <c r="P172" s="714">
        <f>'4.1.Summary'!M104</f>
        <v>0</v>
      </c>
      <c r="Q172" s="728">
        <f>'4.1.Summary'!N104</f>
        <v>4.7618351213454257E-3</v>
      </c>
      <c r="R172">
        <f t="shared" si="32"/>
        <v>0</v>
      </c>
      <c r="S172">
        <f t="shared" si="33"/>
        <v>0</v>
      </c>
      <c r="T172">
        <f t="shared" si="34"/>
        <v>0</v>
      </c>
      <c r="U172">
        <f t="shared" si="35"/>
        <v>0</v>
      </c>
      <c r="V172">
        <f t="shared" si="36"/>
        <v>0</v>
      </c>
    </row>
    <row r="173" spans="2:22" x14ac:dyDescent="0.25">
      <c r="B173" s="710" t="s">
        <v>654</v>
      </c>
      <c r="C173" s="709">
        <f t="shared" si="31"/>
        <v>0</v>
      </c>
      <c r="D173" s="709">
        <f t="shared" si="26"/>
        <v>673.21651179260471</v>
      </c>
      <c r="E173" s="709">
        <f t="shared" si="27"/>
        <v>554.33967923840567</v>
      </c>
      <c r="F173" s="709">
        <f t="shared" si="28"/>
        <v>0</v>
      </c>
      <c r="G173" s="726">
        <f t="shared" si="29"/>
        <v>0</v>
      </c>
      <c r="L173" s="710" t="s">
        <v>612</v>
      </c>
      <c r="M173" s="709">
        <f>'4.1.Summary'!J106</f>
        <v>0</v>
      </c>
      <c r="N173" s="709">
        <f>'4.1.Summary'!K106</f>
        <v>673.21651179260471</v>
      </c>
      <c r="O173" s="709">
        <f>'4.1.Summary'!L106</f>
        <v>554.33967923840567</v>
      </c>
      <c r="P173" s="709">
        <f>'4.1.Summary'!M106</f>
        <v>0</v>
      </c>
      <c r="Q173" s="726">
        <f>'4.1.Summary'!N106</f>
        <v>0</v>
      </c>
      <c r="R173">
        <f t="shared" si="32"/>
        <v>0</v>
      </c>
      <c r="S173">
        <f t="shared" si="33"/>
        <v>0</v>
      </c>
      <c r="T173">
        <f t="shared" si="34"/>
        <v>0</v>
      </c>
      <c r="U173">
        <f t="shared" si="35"/>
        <v>0</v>
      </c>
      <c r="V173">
        <f t="shared" si="36"/>
        <v>0</v>
      </c>
    </row>
    <row r="174" spans="2:22" x14ac:dyDescent="0.25">
      <c r="B174" s="710" t="s">
        <v>655</v>
      </c>
      <c r="C174" s="709">
        <f t="shared" si="31"/>
        <v>0</v>
      </c>
      <c r="D174" s="709">
        <f t="shared" si="26"/>
        <v>0</v>
      </c>
      <c r="E174" s="709">
        <f t="shared" si="27"/>
        <v>0</v>
      </c>
      <c r="F174" s="709">
        <f t="shared" si="28"/>
        <v>0</v>
      </c>
      <c r="G174" s="726">
        <f t="shared" si="29"/>
        <v>0</v>
      </c>
      <c r="L174" s="710" t="s">
        <v>613</v>
      </c>
      <c r="M174" s="709">
        <f>'4.1.Summary'!J110</f>
        <v>0</v>
      </c>
      <c r="N174" s="709">
        <f>'4.1.Summary'!K110</f>
        <v>0</v>
      </c>
      <c r="O174" s="709">
        <f>'4.1.Summary'!L110</f>
        <v>0</v>
      </c>
      <c r="P174" s="709">
        <f>'4.1.Summary'!M110</f>
        <v>0</v>
      </c>
      <c r="Q174" s="726">
        <f>'4.1.Summary'!N110</f>
        <v>0</v>
      </c>
      <c r="R174">
        <f t="shared" si="32"/>
        <v>0</v>
      </c>
      <c r="S174">
        <f t="shared" si="33"/>
        <v>0</v>
      </c>
      <c r="T174">
        <f t="shared" si="34"/>
        <v>0</v>
      </c>
      <c r="U174">
        <f t="shared" si="35"/>
        <v>0</v>
      </c>
      <c r="V174">
        <f t="shared" si="36"/>
        <v>0</v>
      </c>
    </row>
    <row r="175" spans="2:22" x14ac:dyDescent="0.25">
      <c r="B175" s="710" t="s">
        <v>656</v>
      </c>
      <c r="C175" s="709">
        <f t="shared" si="31"/>
        <v>2371.6953381339326</v>
      </c>
      <c r="D175" s="709">
        <f t="shared" si="26"/>
        <v>3941.5484129879601</v>
      </c>
      <c r="E175" s="709">
        <f t="shared" si="27"/>
        <v>3103.8466369347543</v>
      </c>
      <c r="F175" s="709">
        <f t="shared" si="28"/>
        <v>0</v>
      </c>
      <c r="G175" s="726">
        <f t="shared" si="29"/>
        <v>0.14398591459615195</v>
      </c>
      <c r="L175" s="710" t="s">
        <v>614</v>
      </c>
      <c r="M175" s="709">
        <f>'4.1.Summary'!J111</f>
        <v>2371.6953381339326</v>
      </c>
      <c r="N175" s="709">
        <f>'4.1.Summary'!K111</f>
        <v>3941.5484129879601</v>
      </c>
      <c r="O175" s="709">
        <f>'4.1.Summary'!L111</f>
        <v>3103.8466369347543</v>
      </c>
      <c r="P175" s="709">
        <f>'4.1.Summary'!M111</f>
        <v>0</v>
      </c>
      <c r="Q175" s="726">
        <f>'4.1.Summary'!N111</f>
        <v>0.14398591459615195</v>
      </c>
      <c r="R175">
        <f t="shared" si="32"/>
        <v>0</v>
      </c>
      <c r="S175">
        <f t="shared" si="33"/>
        <v>0</v>
      </c>
      <c r="T175">
        <f t="shared" si="34"/>
        <v>0</v>
      </c>
      <c r="U175">
        <f t="shared" si="35"/>
        <v>0</v>
      </c>
      <c r="V175">
        <f t="shared" si="36"/>
        <v>0</v>
      </c>
    </row>
    <row r="176" spans="2:22" x14ac:dyDescent="0.25">
      <c r="B176" s="655" t="s">
        <v>657</v>
      </c>
      <c r="C176" s="709">
        <f t="shared" si="31"/>
        <v>971.91871572966897</v>
      </c>
      <c r="D176" s="709">
        <f t="shared" si="26"/>
        <v>2154.4197888276071</v>
      </c>
      <c r="E176" s="709">
        <f t="shared" si="27"/>
        <v>1936.53413452261</v>
      </c>
      <c r="F176" s="709">
        <f t="shared" si="28"/>
        <v>0</v>
      </c>
      <c r="G176" s="726">
        <f t="shared" si="29"/>
        <v>0.41155435305692345</v>
      </c>
      <c r="L176" s="655" t="s">
        <v>615</v>
      </c>
      <c r="M176" s="709">
        <f>'4.1.Summary'!J112</f>
        <v>971.91871572966897</v>
      </c>
      <c r="N176" s="709">
        <f>'4.1.Summary'!K112</f>
        <v>2154.4197888276071</v>
      </c>
      <c r="O176" s="709">
        <f>'4.1.Summary'!L112</f>
        <v>1936.53413452261</v>
      </c>
      <c r="P176" s="709">
        <f>'4.1.Summary'!M112</f>
        <v>0</v>
      </c>
      <c r="Q176" s="726">
        <f>'4.1.Summary'!N112</f>
        <v>0.41155435305692345</v>
      </c>
      <c r="R176">
        <f t="shared" si="32"/>
        <v>0</v>
      </c>
      <c r="S176">
        <f t="shared" si="33"/>
        <v>0</v>
      </c>
      <c r="T176">
        <f t="shared" si="34"/>
        <v>0</v>
      </c>
      <c r="U176">
        <f t="shared" si="35"/>
        <v>0</v>
      </c>
      <c r="V176">
        <f t="shared" si="36"/>
        <v>0</v>
      </c>
    </row>
    <row r="177" spans="2:22" x14ac:dyDescent="0.25">
      <c r="B177" s="655" t="s">
        <v>658</v>
      </c>
      <c r="C177" s="709">
        <f t="shared" si="31"/>
        <v>1342.1991499856865</v>
      </c>
      <c r="D177" s="709">
        <f t="shared" si="26"/>
        <v>1686.1100907783762</v>
      </c>
      <c r="E177" s="709">
        <f t="shared" si="27"/>
        <v>1102.3144557130299</v>
      </c>
      <c r="F177" s="709">
        <f t="shared" si="28"/>
        <v>0</v>
      </c>
      <c r="G177" s="726">
        <f t="shared" si="29"/>
        <v>-9.3757820803171743E-2</v>
      </c>
      <c r="L177" s="655" t="s">
        <v>616</v>
      </c>
      <c r="M177" s="709">
        <f>'4.1.Summary'!J113</f>
        <v>1342.1991499856865</v>
      </c>
      <c r="N177" s="709">
        <f>'4.1.Summary'!K113</f>
        <v>1686.1100907783762</v>
      </c>
      <c r="O177" s="709">
        <f>'4.1.Summary'!L113</f>
        <v>1102.3144557130299</v>
      </c>
      <c r="P177" s="709">
        <f>'4.1.Summary'!M113</f>
        <v>0</v>
      </c>
      <c r="Q177" s="726">
        <f>'4.1.Summary'!N113</f>
        <v>-9.3757820803171743E-2</v>
      </c>
      <c r="R177">
        <f t="shared" si="32"/>
        <v>0</v>
      </c>
      <c r="S177">
        <f t="shared" si="33"/>
        <v>0</v>
      </c>
      <c r="T177">
        <f t="shared" si="34"/>
        <v>0</v>
      </c>
      <c r="U177">
        <f t="shared" si="35"/>
        <v>0</v>
      </c>
      <c r="V177">
        <f t="shared" si="36"/>
        <v>0</v>
      </c>
    </row>
    <row r="178" spans="2:22" x14ac:dyDescent="0.25">
      <c r="B178" s="655" t="s">
        <v>659</v>
      </c>
      <c r="C178" s="709">
        <f t="shared" si="31"/>
        <v>0</v>
      </c>
      <c r="D178" s="709">
        <f t="shared" si="26"/>
        <v>0</v>
      </c>
      <c r="E178" s="709">
        <f t="shared" si="27"/>
        <v>0</v>
      </c>
      <c r="F178" s="709">
        <f t="shared" si="28"/>
        <v>0</v>
      </c>
      <c r="G178" s="726">
        <f t="shared" si="29"/>
        <v>0</v>
      </c>
      <c r="L178" s="655" t="s">
        <v>617</v>
      </c>
      <c r="M178" s="709">
        <f>'4.1.Summary'!J114</f>
        <v>0</v>
      </c>
      <c r="N178" s="709">
        <f>'4.1.Summary'!K114</f>
        <v>0</v>
      </c>
      <c r="O178" s="709">
        <f>'4.1.Summary'!L114</f>
        <v>0</v>
      </c>
      <c r="P178" s="709">
        <f>'4.1.Summary'!M114</f>
        <v>0</v>
      </c>
      <c r="Q178" s="726">
        <f>'4.1.Summary'!N114</f>
        <v>0</v>
      </c>
      <c r="R178">
        <f t="shared" si="32"/>
        <v>0</v>
      </c>
      <c r="S178">
        <f t="shared" si="33"/>
        <v>0</v>
      </c>
      <c r="T178">
        <f t="shared" si="34"/>
        <v>0</v>
      </c>
      <c r="U178">
        <f t="shared" si="35"/>
        <v>0</v>
      </c>
      <c r="V178">
        <f t="shared" si="36"/>
        <v>0</v>
      </c>
    </row>
    <row r="179" spans="2:22" x14ac:dyDescent="0.25">
      <c r="B179" s="655" t="s">
        <v>660</v>
      </c>
      <c r="C179" s="709">
        <f t="shared" si="31"/>
        <v>0</v>
      </c>
      <c r="D179" s="709">
        <f t="shared" si="26"/>
        <v>0</v>
      </c>
      <c r="E179" s="709">
        <f t="shared" si="27"/>
        <v>0</v>
      </c>
      <c r="F179" s="709">
        <f t="shared" si="28"/>
        <v>0</v>
      </c>
      <c r="G179" s="726">
        <f t="shared" si="29"/>
        <v>0</v>
      </c>
      <c r="L179" s="655" t="s">
        <v>618</v>
      </c>
      <c r="M179" s="709">
        <f>'4.1.Summary'!J115</f>
        <v>0</v>
      </c>
      <c r="N179" s="709">
        <f>'4.1.Summary'!K115</f>
        <v>0</v>
      </c>
      <c r="O179" s="709">
        <f>'4.1.Summary'!L115</f>
        <v>0</v>
      </c>
      <c r="P179" s="709">
        <f>'4.1.Summary'!M115</f>
        <v>0</v>
      </c>
      <c r="Q179" s="726">
        <f>'4.1.Summary'!N115</f>
        <v>0</v>
      </c>
      <c r="R179">
        <f t="shared" si="32"/>
        <v>0</v>
      </c>
      <c r="S179">
        <f t="shared" si="33"/>
        <v>0</v>
      </c>
      <c r="T179">
        <f t="shared" si="34"/>
        <v>0</v>
      </c>
      <c r="U179">
        <f t="shared" si="35"/>
        <v>0</v>
      </c>
      <c r="V179">
        <f t="shared" si="36"/>
        <v>0</v>
      </c>
    </row>
    <row r="180" spans="2:22" x14ac:dyDescent="0.25">
      <c r="B180" s="655" t="s">
        <v>661</v>
      </c>
      <c r="C180" s="709">
        <f t="shared" si="31"/>
        <v>0</v>
      </c>
      <c r="D180" s="709">
        <f t="shared" si="26"/>
        <v>0</v>
      </c>
      <c r="E180" s="709">
        <f t="shared" si="27"/>
        <v>0</v>
      </c>
      <c r="F180" s="709">
        <f t="shared" si="28"/>
        <v>0</v>
      </c>
      <c r="G180" s="726">
        <f t="shared" si="29"/>
        <v>0</v>
      </c>
      <c r="L180" s="655" t="s">
        <v>619</v>
      </c>
      <c r="M180" s="709">
        <f>'4.1.Summary'!J116</f>
        <v>0</v>
      </c>
      <c r="N180" s="709">
        <f>'4.1.Summary'!K116</f>
        <v>0</v>
      </c>
      <c r="O180" s="709">
        <f>'4.1.Summary'!L116</f>
        <v>0</v>
      </c>
      <c r="P180" s="709">
        <f>'4.1.Summary'!M116</f>
        <v>0</v>
      </c>
      <c r="Q180" s="726">
        <f>'4.1.Summary'!N116</f>
        <v>0</v>
      </c>
      <c r="R180">
        <f t="shared" si="32"/>
        <v>0</v>
      </c>
      <c r="S180">
        <f t="shared" si="33"/>
        <v>0</v>
      </c>
      <c r="T180">
        <f t="shared" si="34"/>
        <v>0</v>
      </c>
      <c r="U180">
        <f t="shared" si="35"/>
        <v>0</v>
      </c>
      <c r="V180">
        <f t="shared" si="36"/>
        <v>0</v>
      </c>
    </row>
    <row r="181" spans="2:22" x14ac:dyDescent="0.25">
      <c r="B181" s="655" t="s">
        <v>662</v>
      </c>
      <c r="C181" s="709">
        <f t="shared" si="31"/>
        <v>30.829534694237079</v>
      </c>
      <c r="D181" s="709">
        <f t="shared" si="26"/>
        <v>56.474021932742446</v>
      </c>
      <c r="E181" s="709">
        <f t="shared" si="27"/>
        <v>33.379397071120742</v>
      </c>
      <c r="F181" s="709">
        <f t="shared" si="28"/>
        <v>0</v>
      </c>
      <c r="G181" s="726">
        <f t="shared" si="29"/>
        <v>4.0532762028548497E-2</v>
      </c>
      <c r="L181" s="655" t="s">
        <v>620</v>
      </c>
      <c r="M181" s="709">
        <f>'4.1.Summary'!J118</f>
        <v>30.829534694237079</v>
      </c>
      <c r="N181" s="709">
        <f>'4.1.Summary'!K118</f>
        <v>56.474021932742446</v>
      </c>
      <c r="O181" s="709">
        <f>'4.1.Summary'!L118</f>
        <v>33.379397071120742</v>
      </c>
      <c r="P181" s="709">
        <f>'4.1.Summary'!M118</f>
        <v>0</v>
      </c>
      <c r="Q181" s="726">
        <f>'4.1.Summary'!N118</f>
        <v>4.0532762028548497E-2</v>
      </c>
      <c r="R181">
        <f t="shared" si="32"/>
        <v>0</v>
      </c>
      <c r="S181">
        <f t="shared" si="33"/>
        <v>0</v>
      </c>
      <c r="T181">
        <f t="shared" si="34"/>
        <v>0</v>
      </c>
      <c r="U181">
        <f t="shared" si="35"/>
        <v>0</v>
      </c>
      <c r="V181">
        <f t="shared" si="36"/>
        <v>0</v>
      </c>
    </row>
    <row r="182" spans="2:22" x14ac:dyDescent="0.25">
      <c r="B182" s="655" t="s">
        <v>663</v>
      </c>
      <c r="C182" s="709">
        <f t="shared" si="31"/>
        <v>26.747937724339916</v>
      </c>
      <c r="D182" s="709">
        <f t="shared" si="26"/>
        <v>44.544511449234925</v>
      </c>
      <c r="E182" s="709">
        <f t="shared" si="27"/>
        <v>31.618649627993733</v>
      </c>
      <c r="F182" s="709">
        <f t="shared" si="28"/>
        <v>0</v>
      </c>
      <c r="G182" s="726">
        <f t="shared" si="29"/>
        <v>8.7242717440807693E-2</v>
      </c>
      <c r="L182" s="655" t="s">
        <v>621</v>
      </c>
      <c r="M182" s="709">
        <f>'4.1.Summary'!J119</f>
        <v>26.747937724339916</v>
      </c>
      <c r="N182" s="709">
        <f>'4.1.Summary'!K119</f>
        <v>44.544511449234925</v>
      </c>
      <c r="O182" s="709">
        <f>'4.1.Summary'!L119</f>
        <v>31.618649627993733</v>
      </c>
      <c r="P182" s="709">
        <f>'4.1.Summary'!M119</f>
        <v>0</v>
      </c>
      <c r="Q182" s="726">
        <f>'4.1.Summary'!N119</f>
        <v>8.7242717440807693E-2</v>
      </c>
      <c r="R182">
        <f t="shared" si="32"/>
        <v>0</v>
      </c>
      <c r="S182">
        <f t="shared" si="33"/>
        <v>0</v>
      </c>
      <c r="T182">
        <f t="shared" si="34"/>
        <v>0</v>
      </c>
      <c r="U182">
        <f t="shared" si="35"/>
        <v>0</v>
      </c>
      <c r="V182">
        <f t="shared" si="36"/>
        <v>0</v>
      </c>
    </row>
    <row r="183" spans="2:22" x14ac:dyDescent="0.25">
      <c r="B183" s="710" t="s">
        <v>664</v>
      </c>
      <c r="C183" s="709">
        <f t="shared" si="31"/>
        <v>9.5782717843694254</v>
      </c>
      <c r="D183" s="709">
        <f t="shared" si="26"/>
        <v>5.2338262119878971</v>
      </c>
      <c r="E183" s="709">
        <f t="shared" si="27"/>
        <v>3.2024207208559359</v>
      </c>
      <c r="F183" s="709">
        <f t="shared" si="28"/>
        <v>0</v>
      </c>
      <c r="G183" s="726">
        <f t="shared" si="29"/>
        <v>-0.42177666324061025</v>
      </c>
      <c r="L183" s="710" t="s">
        <v>622</v>
      </c>
      <c r="M183" s="709">
        <f>'4.1.Summary'!J120</f>
        <v>9.5782717843694254</v>
      </c>
      <c r="N183" s="709">
        <f>'4.1.Summary'!K120</f>
        <v>5.2338262119878971</v>
      </c>
      <c r="O183" s="709">
        <f>'4.1.Summary'!L120</f>
        <v>3.2024207208559359</v>
      </c>
      <c r="P183" s="709">
        <f>'4.1.Summary'!M120</f>
        <v>0</v>
      </c>
      <c r="Q183" s="726">
        <f>'4.1.Summary'!N120</f>
        <v>-0.42177666324061025</v>
      </c>
      <c r="R183">
        <f t="shared" si="32"/>
        <v>0</v>
      </c>
      <c r="S183">
        <f t="shared" si="33"/>
        <v>0</v>
      </c>
      <c r="T183">
        <f t="shared" si="34"/>
        <v>0</v>
      </c>
      <c r="U183">
        <f t="shared" si="35"/>
        <v>0</v>
      </c>
      <c r="V183">
        <f t="shared" si="36"/>
        <v>0</v>
      </c>
    </row>
    <row r="184" spans="2:22" x14ac:dyDescent="0.25">
      <c r="B184" s="711" t="s">
        <v>665</v>
      </c>
      <c r="C184" s="712">
        <f t="shared" si="31"/>
        <v>9.5782717843694254</v>
      </c>
      <c r="D184" s="712">
        <f t="shared" si="26"/>
        <v>5.2338262119878971</v>
      </c>
      <c r="E184" s="712">
        <f t="shared" si="27"/>
        <v>3.2024207208559359</v>
      </c>
      <c r="F184" s="712">
        <f t="shared" si="28"/>
        <v>0</v>
      </c>
      <c r="G184" s="727">
        <f t="shared" si="29"/>
        <v>-0.42177666324061025</v>
      </c>
      <c r="L184" s="711" t="s">
        <v>623</v>
      </c>
      <c r="M184" s="712">
        <f>'4.1.Summary'!J121</f>
        <v>9.5782717843694254</v>
      </c>
      <c r="N184" s="712">
        <f>'4.1.Summary'!K121</f>
        <v>5.2338262119878971</v>
      </c>
      <c r="O184" s="712">
        <f>'4.1.Summary'!L121</f>
        <v>3.2024207208559359</v>
      </c>
      <c r="P184" s="712">
        <f>'4.1.Summary'!M121</f>
        <v>0</v>
      </c>
      <c r="Q184" s="727">
        <f>'4.1.Summary'!N121</f>
        <v>-0.42177666324061025</v>
      </c>
      <c r="R184">
        <f t="shared" si="32"/>
        <v>0</v>
      </c>
      <c r="S184">
        <f t="shared" si="33"/>
        <v>0</v>
      </c>
      <c r="T184">
        <f t="shared" si="34"/>
        <v>0</v>
      </c>
      <c r="U184">
        <f t="shared" si="35"/>
        <v>0</v>
      </c>
      <c r="V184">
        <f t="shared" si="36"/>
        <v>0</v>
      </c>
    </row>
    <row r="185" spans="2:22" x14ac:dyDescent="0.25">
      <c r="B185" s="713" t="s">
        <v>666</v>
      </c>
      <c r="C185" s="714">
        <f t="shared" si="31"/>
        <v>2392.3846314769553</v>
      </c>
      <c r="D185" s="714">
        <f t="shared" si="26"/>
        <v>4823.597909736678</v>
      </c>
      <c r="E185" s="714">
        <f t="shared" si="27"/>
        <v>3661.3908810223206</v>
      </c>
      <c r="F185" s="714">
        <f t="shared" si="28"/>
        <v>0</v>
      </c>
      <c r="G185" s="728">
        <f t="shared" si="29"/>
        <v>0.23710780198939929</v>
      </c>
      <c r="L185" s="713" t="s">
        <v>624</v>
      </c>
      <c r="M185" s="714">
        <f>'4.1.Summary'!J123</f>
        <v>2392.3846314769553</v>
      </c>
      <c r="N185" s="714">
        <f>'4.1.Summary'!K123</f>
        <v>4823.597909736678</v>
      </c>
      <c r="O185" s="714">
        <f>'4.1.Summary'!L123</f>
        <v>3661.3908810223206</v>
      </c>
      <c r="P185" s="714">
        <f>'4.1.Summary'!M123</f>
        <v>0</v>
      </c>
      <c r="Q185" s="728">
        <f>'4.1.Summary'!N123</f>
        <v>0.23710780198939929</v>
      </c>
      <c r="R185">
        <f t="shared" si="32"/>
        <v>0</v>
      </c>
      <c r="S185">
        <f t="shared" si="33"/>
        <v>0</v>
      </c>
      <c r="T185">
        <f t="shared" si="34"/>
        <v>0</v>
      </c>
      <c r="U185">
        <f t="shared" si="35"/>
        <v>0</v>
      </c>
      <c r="V185">
        <f t="shared" si="36"/>
        <v>0</v>
      </c>
    </row>
    <row r="186" spans="2:22" x14ac:dyDescent="0.25">
      <c r="B186" s="718" t="s">
        <v>667</v>
      </c>
      <c r="C186" s="712">
        <f t="shared" si="31"/>
        <v>0</v>
      </c>
      <c r="D186" s="712">
        <f t="shared" si="26"/>
        <v>0</v>
      </c>
      <c r="E186" s="712">
        <f t="shared" si="27"/>
        <v>0</v>
      </c>
      <c r="F186" s="712">
        <f t="shared" si="28"/>
        <v>0</v>
      </c>
      <c r="G186" s="727">
        <f t="shared" si="29"/>
        <v>0</v>
      </c>
      <c r="L186" s="718" t="s">
        <v>625</v>
      </c>
      <c r="M186" s="712">
        <f>'4.1.Summary'!J124</f>
        <v>0</v>
      </c>
      <c r="N186" s="712">
        <f>'4.1.Summary'!K124</f>
        <v>0</v>
      </c>
      <c r="O186" s="712">
        <f>'4.1.Summary'!L124</f>
        <v>0</v>
      </c>
      <c r="P186" s="712">
        <f>'4.1.Summary'!M124</f>
        <v>0</v>
      </c>
      <c r="Q186" s="727">
        <f>'4.1.Summary'!N124</f>
        <v>0</v>
      </c>
      <c r="R186">
        <f t="shared" si="32"/>
        <v>0</v>
      </c>
      <c r="S186">
        <f t="shared" si="33"/>
        <v>0</v>
      </c>
      <c r="T186">
        <f t="shared" si="34"/>
        <v>0</v>
      </c>
      <c r="U186">
        <f t="shared" si="35"/>
        <v>0</v>
      </c>
      <c r="V186">
        <f t="shared" si="36"/>
        <v>0</v>
      </c>
    </row>
    <row r="187" spans="2:22" x14ac:dyDescent="0.25">
      <c r="B187" s="739" t="s">
        <v>668</v>
      </c>
      <c r="C187" s="740">
        <f t="shared" si="31"/>
        <v>2450.9737574596465</v>
      </c>
      <c r="D187" s="740">
        <f t="shared" si="26"/>
        <v>6654</v>
      </c>
      <c r="E187" s="740">
        <f t="shared" si="27"/>
        <v>6326</v>
      </c>
      <c r="F187" s="740">
        <f t="shared" si="28"/>
        <v>6492</v>
      </c>
      <c r="G187" s="743">
        <f t="shared" si="29"/>
        <v>6.1899999999999997E-2</v>
      </c>
      <c r="L187" s="739" t="s">
        <v>626</v>
      </c>
      <c r="M187" s="740">
        <f>'4.1.Summary'!J131</f>
        <v>2450.9737574596465</v>
      </c>
      <c r="N187" s="740">
        <v>6654</v>
      </c>
      <c r="O187" s="740">
        <v>6326</v>
      </c>
      <c r="P187" s="740">
        <v>6492</v>
      </c>
      <c r="Q187" s="743">
        <v>6.1899999999999997E-2</v>
      </c>
      <c r="R187">
        <f t="shared" si="32"/>
        <v>0</v>
      </c>
      <c r="S187">
        <f t="shared" si="33"/>
        <v>0</v>
      </c>
      <c r="T187">
        <f t="shared" si="34"/>
        <v>0</v>
      </c>
      <c r="U187">
        <f t="shared" si="35"/>
        <v>0</v>
      </c>
      <c r="V187">
        <f t="shared" si="36"/>
        <v>0</v>
      </c>
    </row>
    <row r="188" spans="2:22" ht="13.8" thickBot="1" x14ac:dyDescent="0.3">
      <c r="B188" s="741" t="s">
        <v>669</v>
      </c>
      <c r="C188" s="742">
        <f t="shared" si="31"/>
        <v>3606.5474620686618</v>
      </c>
      <c r="D188" s="742">
        <f t="shared" si="26"/>
        <v>5684.3612528703561</v>
      </c>
      <c r="E188" s="742">
        <f t="shared" si="27"/>
        <v>4846.2121057484082</v>
      </c>
      <c r="F188" s="742">
        <f t="shared" si="28"/>
        <v>0</v>
      </c>
      <c r="G188" s="744">
        <f t="shared" si="29"/>
        <v>0.15919202102699415</v>
      </c>
      <c r="L188" s="741" t="s">
        <v>627</v>
      </c>
      <c r="M188" s="742">
        <f>'4.1.Summary'!J132</f>
        <v>3606.5474620686618</v>
      </c>
      <c r="N188" s="742">
        <f>'4.1.Summary'!K132</f>
        <v>5684.3612528703561</v>
      </c>
      <c r="O188" s="742">
        <f>'4.1.Summary'!L132</f>
        <v>4846.2121057484082</v>
      </c>
      <c r="P188" s="742">
        <f>'4.1.Summary'!M132</f>
        <v>0</v>
      </c>
      <c r="Q188" s="744">
        <f>'4.1.Summary'!N132</f>
        <v>0.15919202102699415</v>
      </c>
      <c r="R188">
        <f t="shared" si="32"/>
        <v>0</v>
      </c>
      <c r="S188">
        <f t="shared" si="33"/>
        <v>0</v>
      </c>
      <c r="T188">
        <f t="shared" si="34"/>
        <v>0</v>
      </c>
      <c r="U188">
        <f t="shared" si="35"/>
        <v>0</v>
      </c>
      <c r="V188">
        <f t="shared" si="36"/>
        <v>0</v>
      </c>
    </row>
    <row r="190" spans="2:22" x14ac:dyDescent="0.25">
      <c r="B190" s="707" t="s">
        <v>670</v>
      </c>
      <c r="C190" s="724"/>
      <c r="D190" s="724"/>
      <c r="E190" s="724"/>
      <c r="F190" s="724"/>
      <c r="G190" s="724"/>
      <c r="H190" s="724"/>
      <c r="I190" s="724"/>
      <c r="J190" s="724"/>
      <c r="L190" s="752" t="s">
        <v>418</v>
      </c>
      <c r="M190" s="753"/>
      <c r="N190" s="753"/>
      <c r="O190" s="753"/>
      <c r="P190" s="753"/>
      <c r="Q190" s="753"/>
      <c r="R190" s="753"/>
      <c r="S190" s="753"/>
      <c r="T190" s="753"/>
    </row>
    <row r="191" spans="2:22" ht="15.6" x14ac:dyDescent="0.15">
      <c r="B191" s="647"/>
      <c r="C191" s="648" t="s">
        <v>381</v>
      </c>
      <c r="D191" s="648" t="s">
        <v>382</v>
      </c>
      <c r="E191" s="648" t="s">
        <v>383</v>
      </c>
      <c r="F191" s="648" t="s">
        <v>404</v>
      </c>
      <c r="G191" s="648" t="s">
        <v>405</v>
      </c>
      <c r="H191" s="648" t="s">
        <v>406</v>
      </c>
      <c r="I191" s="648" t="s">
        <v>407</v>
      </c>
      <c r="J191" s="649" t="s">
        <v>414</v>
      </c>
      <c r="L191" s="754"/>
      <c r="M191" s="755" t="s">
        <v>381</v>
      </c>
      <c r="N191" s="755" t="s">
        <v>382</v>
      </c>
      <c r="O191" s="755" t="s">
        <v>383</v>
      </c>
      <c r="P191" s="755" t="s">
        <v>404</v>
      </c>
      <c r="Q191" s="755" t="s">
        <v>405</v>
      </c>
      <c r="R191" s="755" t="s">
        <v>406</v>
      </c>
      <c r="S191" s="755" t="s">
        <v>407</v>
      </c>
      <c r="T191" s="756" t="s">
        <v>414</v>
      </c>
    </row>
    <row r="192" spans="2:22" x14ac:dyDescent="0.25">
      <c r="B192" s="650" t="s">
        <v>678</v>
      </c>
      <c r="C192" s="748" t="e">
        <f>M192</f>
        <v>#REF!</v>
      </c>
      <c r="D192" s="748" t="e">
        <f t="shared" ref="D192:D203" si="37">N192</f>
        <v>#REF!</v>
      </c>
      <c r="E192" s="748" t="e">
        <f t="shared" ref="E192:E203" si="38">O192</f>
        <v>#REF!</v>
      </c>
      <c r="F192" s="748" t="e">
        <f t="shared" ref="F192:F203" si="39">P192</f>
        <v>#REF!</v>
      </c>
      <c r="G192" s="802" t="e">
        <f t="shared" ref="G192:G203" si="40">Q192</f>
        <v>#REF!</v>
      </c>
      <c r="H192" s="748" t="e">
        <f t="shared" ref="H192:H203" si="41">R192</f>
        <v>#REF!</v>
      </c>
      <c r="I192" s="748" t="e">
        <f t="shared" ref="I192:I203" si="42">S192</f>
        <v>#REF!</v>
      </c>
      <c r="J192" s="751">
        <f t="shared" ref="J192:J203" si="43">T192</f>
        <v>0</v>
      </c>
      <c r="L192" s="757" t="str">
        <f>'4.1.Summary'!D275</f>
        <v>Maximum installed capacity (kg/ h)</v>
      </c>
      <c r="M192" s="758" t="e">
        <f>'4.1.Summary'!J275*24/1000</f>
        <v>#REF!</v>
      </c>
      <c r="N192" s="758" t="e">
        <f>'4.1.Summary'!K275*24/1000</f>
        <v>#REF!</v>
      </c>
      <c r="O192" s="758" t="e">
        <f>'4.1.Summary'!L275*24/1000</f>
        <v>#REF!</v>
      </c>
      <c r="P192" s="758" t="e">
        <f>'4.1.Summary'!M275*24/1000</f>
        <v>#REF!</v>
      </c>
      <c r="Q192" s="758" t="e">
        <f>'4.1.Summary'!N275*24/1000</f>
        <v>#REF!</v>
      </c>
      <c r="R192" s="758" t="e">
        <f>'4.1.Summary'!O275*24/1000</f>
        <v>#REF!</v>
      </c>
      <c r="S192" s="758" t="e">
        <f>'4.1.Summary'!P275*24/1000</f>
        <v>#REF!</v>
      </c>
      <c r="T192" s="759">
        <f>'4.1.Summary'!Q275</f>
        <v>0</v>
      </c>
    </row>
    <row r="193" spans="2:20" x14ac:dyDescent="0.25">
      <c r="B193" s="655" t="s">
        <v>681</v>
      </c>
      <c r="C193" s="745" t="e">
        <f t="shared" ref="C193:C203" si="44">M193</f>
        <v>#REF!</v>
      </c>
      <c r="D193" s="745" t="e">
        <f t="shared" si="37"/>
        <v>#REF!</v>
      </c>
      <c r="E193" s="745" t="e">
        <f t="shared" si="38"/>
        <v>#REF!</v>
      </c>
      <c r="F193" s="745" t="e">
        <f t="shared" si="39"/>
        <v>#REF!</v>
      </c>
      <c r="G193" s="745" t="e">
        <f t="shared" si="40"/>
        <v>#REF!</v>
      </c>
      <c r="H193" s="745" t="e">
        <f t="shared" si="41"/>
        <v>#REF!</v>
      </c>
      <c r="I193" s="745" t="e">
        <f t="shared" si="42"/>
        <v>#REF!</v>
      </c>
      <c r="J193" s="746"/>
      <c r="L193" s="760" t="e">
        <f>'4.1.Summary'!D276</f>
        <v>#REF!</v>
      </c>
      <c r="M193" s="761" t="e">
        <f>'4.1.Summary'!J276*24/1000</f>
        <v>#REF!</v>
      </c>
      <c r="N193" s="761" t="e">
        <f>'4.1.Summary'!K276*24/1000</f>
        <v>#REF!</v>
      </c>
      <c r="O193" s="761" t="e">
        <f>'4.1.Summary'!L276*24/1000</f>
        <v>#REF!</v>
      </c>
      <c r="P193" s="761" t="e">
        <f>'4.1.Summary'!M276*24/1000</f>
        <v>#REF!</v>
      </c>
      <c r="Q193" s="761" t="e">
        <f>'4.1.Summary'!N276*24/1000</f>
        <v>#REF!</v>
      </c>
      <c r="R193" s="761" t="e">
        <f>'4.1.Summary'!O276*24/1000</f>
        <v>#REF!</v>
      </c>
      <c r="S193" s="761" t="e">
        <f>'4.1.Summary'!P276*24/1000</f>
        <v>#REF!</v>
      </c>
      <c r="T193" s="762"/>
    </row>
    <row r="194" spans="2:20" x14ac:dyDescent="0.25">
      <c r="B194" s="655" t="s">
        <v>671</v>
      </c>
      <c r="C194" s="745" t="e">
        <f t="shared" si="44"/>
        <v>#REF!</v>
      </c>
      <c r="D194" s="745" t="e">
        <f t="shared" si="37"/>
        <v>#REF!</v>
      </c>
      <c r="E194" s="745" t="e">
        <f t="shared" si="38"/>
        <v>#REF!</v>
      </c>
      <c r="F194" s="745" t="e">
        <f t="shared" si="39"/>
        <v>#REF!</v>
      </c>
      <c r="G194" s="745" t="e">
        <f t="shared" si="40"/>
        <v>#REF!</v>
      </c>
      <c r="H194" s="745" t="e">
        <f t="shared" si="41"/>
        <v>#REF!</v>
      </c>
      <c r="I194" s="745" t="e">
        <f t="shared" si="42"/>
        <v>#REF!</v>
      </c>
      <c r="J194" s="746"/>
      <c r="L194" s="760" t="e">
        <f>'4.1.Summary'!D277</f>
        <v>#REF!</v>
      </c>
      <c r="M194" s="761" t="e">
        <f>'4.1.Summary'!J277*24/1000</f>
        <v>#REF!</v>
      </c>
      <c r="N194" s="761" t="e">
        <f>'4.1.Summary'!K277*24/1000</f>
        <v>#REF!</v>
      </c>
      <c r="O194" s="761" t="e">
        <f>'4.1.Summary'!L277*24/1000</f>
        <v>#REF!</v>
      </c>
      <c r="P194" s="761" t="e">
        <f>'4.1.Summary'!M277*24/1000</f>
        <v>#REF!</v>
      </c>
      <c r="Q194" s="761" t="e">
        <f>'4.1.Summary'!N277*24/1000</f>
        <v>#REF!</v>
      </c>
      <c r="R194" s="761" t="e">
        <f>'4.1.Summary'!O277*24/1000</f>
        <v>#REF!</v>
      </c>
      <c r="S194" s="761" t="e">
        <f>'4.1.Summary'!P277*24/1000</f>
        <v>#REF!</v>
      </c>
      <c r="T194" s="762"/>
    </row>
    <row r="195" spans="2:20" x14ac:dyDescent="0.25">
      <c r="B195" s="655" t="s">
        <v>671</v>
      </c>
      <c r="C195" s="745" t="e">
        <f t="shared" si="44"/>
        <v>#REF!</v>
      </c>
      <c r="D195" s="745" t="e">
        <f t="shared" si="37"/>
        <v>#REF!</v>
      </c>
      <c r="E195" s="745" t="e">
        <f t="shared" si="38"/>
        <v>#REF!</v>
      </c>
      <c r="F195" s="745" t="e">
        <f t="shared" si="39"/>
        <v>#REF!</v>
      </c>
      <c r="G195" s="745" t="e">
        <f t="shared" si="40"/>
        <v>#REF!</v>
      </c>
      <c r="H195" s="745" t="e">
        <f t="shared" si="41"/>
        <v>#REF!</v>
      </c>
      <c r="I195" s="745" t="e">
        <f t="shared" si="42"/>
        <v>#REF!</v>
      </c>
      <c r="J195" s="746"/>
      <c r="L195" s="760" t="e">
        <f>'4.1.Summary'!D278</f>
        <v>#REF!</v>
      </c>
      <c r="M195" s="761" t="e">
        <f>'4.1.Summary'!J278*24/1000</f>
        <v>#REF!</v>
      </c>
      <c r="N195" s="761" t="e">
        <f>'4.1.Summary'!K278*24/1000</f>
        <v>#REF!</v>
      </c>
      <c r="O195" s="761" t="e">
        <f>'4.1.Summary'!L278*24/1000</f>
        <v>#REF!</v>
      </c>
      <c r="P195" s="761" t="e">
        <f>'4.1.Summary'!M278*24/1000</f>
        <v>#REF!</v>
      </c>
      <c r="Q195" s="761" t="e">
        <f>'4.1.Summary'!N278*24/1000</f>
        <v>#REF!</v>
      </c>
      <c r="R195" s="761" t="e">
        <f>'4.1.Summary'!O278*24/1000</f>
        <v>#REF!</v>
      </c>
      <c r="S195" s="761" t="e">
        <f>'4.1.Summary'!P278*24/1000</f>
        <v>#REF!</v>
      </c>
      <c r="T195" s="762"/>
    </row>
    <row r="196" spans="2:20" x14ac:dyDescent="0.25">
      <c r="B196" s="655" t="s">
        <v>672</v>
      </c>
      <c r="C196" s="745" t="e">
        <f t="shared" si="44"/>
        <v>#REF!</v>
      </c>
      <c r="D196" s="745" t="e">
        <f t="shared" si="37"/>
        <v>#REF!</v>
      </c>
      <c r="E196" s="745" t="e">
        <f t="shared" si="38"/>
        <v>#REF!</v>
      </c>
      <c r="F196" s="745" t="e">
        <f t="shared" si="39"/>
        <v>#REF!</v>
      </c>
      <c r="G196" s="745" t="e">
        <f t="shared" si="40"/>
        <v>#REF!</v>
      </c>
      <c r="H196" s="745" t="e">
        <f t="shared" si="41"/>
        <v>#REF!</v>
      </c>
      <c r="I196" s="745" t="e">
        <f t="shared" si="42"/>
        <v>#REF!</v>
      </c>
      <c r="J196" s="746"/>
      <c r="L196" s="760" t="e">
        <f>'4.1.Summary'!D279</f>
        <v>#REF!</v>
      </c>
      <c r="M196" s="761" t="e">
        <f>'4.1.Summary'!J279*24/1000</f>
        <v>#REF!</v>
      </c>
      <c r="N196" s="761" t="e">
        <f>'4.1.Summary'!K279*24/1000</f>
        <v>#REF!</v>
      </c>
      <c r="O196" s="761" t="e">
        <f>'4.1.Summary'!L279*24/1000</f>
        <v>#REF!</v>
      </c>
      <c r="P196" s="761" t="e">
        <f>'4.1.Summary'!M279*24/1000</f>
        <v>#REF!</v>
      </c>
      <c r="Q196" s="761" t="e">
        <f>'4.1.Summary'!N279*24/1000</f>
        <v>#REF!</v>
      </c>
      <c r="R196" s="761" t="e">
        <f>'4.1.Summary'!O279*24/1000</f>
        <v>#REF!</v>
      </c>
      <c r="S196" s="761" t="e">
        <f>'4.1.Summary'!P279*24/1000</f>
        <v>#REF!</v>
      </c>
      <c r="T196" s="762"/>
    </row>
    <row r="197" spans="2:20" x14ac:dyDescent="0.25">
      <c r="B197" s="655" t="s">
        <v>673</v>
      </c>
      <c r="C197" s="745" t="e">
        <f t="shared" si="44"/>
        <v>#REF!</v>
      </c>
      <c r="D197" s="745" t="e">
        <f t="shared" si="37"/>
        <v>#REF!</v>
      </c>
      <c r="E197" s="745" t="e">
        <f t="shared" si="38"/>
        <v>#REF!</v>
      </c>
      <c r="F197" s="745" t="e">
        <f t="shared" si="39"/>
        <v>#REF!</v>
      </c>
      <c r="G197" s="745" t="e">
        <f t="shared" si="40"/>
        <v>#REF!</v>
      </c>
      <c r="H197" s="745" t="e">
        <f t="shared" si="41"/>
        <v>#REF!</v>
      </c>
      <c r="I197" s="745" t="e">
        <f t="shared" si="42"/>
        <v>#REF!</v>
      </c>
      <c r="J197" s="746"/>
      <c r="L197" s="760" t="e">
        <f>'4.1.Summary'!D280</f>
        <v>#REF!</v>
      </c>
      <c r="M197" s="761" t="e">
        <f>'4.1.Summary'!J280*24/1000</f>
        <v>#REF!</v>
      </c>
      <c r="N197" s="761" t="e">
        <f>'4.1.Summary'!K280*24/1000</f>
        <v>#REF!</v>
      </c>
      <c r="O197" s="761" t="e">
        <f>'4.1.Summary'!L280*24/1000</f>
        <v>#REF!</v>
      </c>
      <c r="P197" s="761" t="e">
        <f>'4.1.Summary'!M280*24/1000</f>
        <v>#REF!</v>
      </c>
      <c r="Q197" s="761" t="e">
        <f>'4.1.Summary'!N280*24/1000</f>
        <v>#REF!</v>
      </c>
      <c r="R197" s="761" t="e">
        <f>'4.1.Summary'!O280*24/1000</f>
        <v>#REF!</v>
      </c>
      <c r="S197" s="761" t="e">
        <f>'4.1.Summary'!P280*24/1000</f>
        <v>#REF!</v>
      </c>
      <c r="T197" s="762"/>
    </row>
    <row r="198" spans="2:20" x14ac:dyDescent="0.25">
      <c r="B198" s="655" t="s">
        <v>674</v>
      </c>
      <c r="C198" s="745"/>
      <c r="D198" s="745"/>
      <c r="E198" s="745"/>
      <c r="F198" s="745" t="e">
        <f t="shared" si="39"/>
        <v>#REF!</v>
      </c>
      <c r="G198" s="745" t="e">
        <f t="shared" si="40"/>
        <v>#REF!</v>
      </c>
      <c r="H198" s="745" t="e">
        <f t="shared" si="41"/>
        <v>#REF!</v>
      </c>
      <c r="I198" s="745" t="e">
        <f t="shared" si="42"/>
        <v>#REF!</v>
      </c>
      <c r="J198" s="746"/>
      <c r="L198" s="760" t="e">
        <f>'4.1.Summary'!D281</f>
        <v>#REF!</v>
      </c>
      <c r="M198" s="761">
        <f>'4.1.Summary'!J281*24/1000</f>
        <v>0</v>
      </c>
      <c r="N198" s="761">
        <f>'4.1.Summary'!K281*24/1000</f>
        <v>0</v>
      </c>
      <c r="O198" s="761">
        <f>'4.1.Summary'!L281*24/1000</f>
        <v>0</v>
      </c>
      <c r="P198" s="761" t="e">
        <f>'4.1.Summary'!M281*24/1000</f>
        <v>#REF!</v>
      </c>
      <c r="Q198" s="761" t="e">
        <f>'4.1.Summary'!N281*24/1000</f>
        <v>#REF!</v>
      </c>
      <c r="R198" s="761" t="e">
        <f>'4.1.Summary'!O281*24/1000</f>
        <v>#REF!</v>
      </c>
      <c r="S198" s="761" t="e">
        <f>'4.1.Summary'!P281*24/1000</f>
        <v>#REF!</v>
      </c>
      <c r="T198" s="762"/>
    </row>
    <row r="199" spans="2:20" x14ac:dyDescent="0.25">
      <c r="B199" s="655" t="s">
        <v>675</v>
      </c>
      <c r="C199" s="745"/>
      <c r="D199" s="745"/>
      <c r="E199" s="745"/>
      <c r="F199" s="745"/>
      <c r="G199" s="745" t="e">
        <f t="shared" si="40"/>
        <v>#REF!</v>
      </c>
      <c r="H199" s="745" t="e">
        <f t="shared" si="41"/>
        <v>#REF!</v>
      </c>
      <c r="I199" s="745" t="e">
        <f t="shared" si="42"/>
        <v>#REF!</v>
      </c>
      <c r="J199" s="746"/>
      <c r="L199" s="760" t="e">
        <f>'4.1.Summary'!D282</f>
        <v>#REF!</v>
      </c>
      <c r="M199" s="761">
        <f>'4.1.Summary'!J282*24/1000</f>
        <v>0</v>
      </c>
      <c r="N199" s="761">
        <f>'4.1.Summary'!K282*24/1000</f>
        <v>0</v>
      </c>
      <c r="O199" s="761">
        <f>'4.1.Summary'!L282*24/1000</f>
        <v>0</v>
      </c>
      <c r="P199" s="761">
        <f>'4.1.Summary'!M282*24/1000</f>
        <v>0</v>
      </c>
      <c r="Q199" s="761" t="e">
        <f>'4.1.Summary'!N282*24/1000</f>
        <v>#REF!</v>
      </c>
      <c r="R199" s="761" t="e">
        <f>'4.1.Summary'!O282*24/1000</f>
        <v>#REF!</v>
      </c>
      <c r="S199" s="761" t="e">
        <f>'4.1.Summary'!P282*24/1000</f>
        <v>#REF!</v>
      </c>
      <c r="T199" s="762"/>
    </row>
    <row r="200" spans="2:20" x14ac:dyDescent="0.25">
      <c r="B200" s="655" t="s">
        <v>680</v>
      </c>
      <c r="C200" s="745"/>
      <c r="D200" s="745"/>
      <c r="E200" s="745"/>
      <c r="F200" s="745"/>
      <c r="G200" s="745"/>
      <c r="H200" s="745" t="e">
        <f t="shared" si="41"/>
        <v>#REF!</v>
      </c>
      <c r="I200" s="745" t="e">
        <f t="shared" si="42"/>
        <v>#REF!</v>
      </c>
      <c r="J200" s="746"/>
      <c r="L200" s="760" t="e">
        <f>'4.1.Summary'!D283</f>
        <v>#REF!</v>
      </c>
      <c r="M200" s="761">
        <f>'4.1.Summary'!J283*24/1000</f>
        <v>0</v>
      </c>
      <c r="N200" s="761">
        <f>'4.1.Summary'!K283*24/1000</f>
        <v>0</v>
      </c>
      <c r="O200" s="761">
        <f>'4.1.Summary'!L283*24/1000</f>
        <v>0</v>
      </c>
      <c r="P200" s="761">
        <f>'4.1.Summary'!M283*24/1000</f>
        <v>0</v>
      </c>
      <c r="Q200" s="761">
        <f>'4.1.Summary'!N283*24/1000</f>
        <v>0</v>
      </c>
      <c r="R200" s="761" t="e">
        <f>'4.1.Summary'!O283*24/1000</f>
        <v>#REF!</v>
      </c>
      <c r="S200" s="761" t="e">
        <f>'4.1.Summary'!P283*24/1000</f>
        <v>#REF!</v>
      </c>
      <c r="T200" s="762"/>
    </row>
    <row r="201" spans="2:20" x14ac:dyDescent="0.25">
      <c r="B201" s="655" t="s">
        <v>676</v>
      </c>
      <c r="C201" s="745"/>
      <c r="D201" s="745"/>
      <c r="E201" s="745"/>
      <c r="F201" s="745"/>
      <c r="G201" s="745"/>
      <c r="H201" s="745" t="e">
        <f t="shared" si="41"/>
        <v>#REF!</v>
      </c>
      <c r="I201" s="745" t="e">
        <f t="shared" si="42"/>
        <v>#REF!</v>
      </c>
      <c r="J201" s="746"/>
      <c r="L201" s="760" t="e">
        <f>'4.1.Summary'!D284</f>
        <v>#REF!</v>
      </c>
      <c r="M201" s="761">
        <f>'4.1.Summary'!J284*24/1000</f>
        <v>0</v>
      </c>
      <c r="N201" s="761">
        <f>'4.1.Summary'!K284*24/1000</f>
        <v>0</v>
      </c>
      <c r="O201" s="761">
        <f>'4.1.Summary'!L284*24/1000</f>
        <v>0</v>
      </c>
      <c r="P201" s="761">
        <f>'4.1.Summary'!M284*24/1000</f>
        <v>0</v>
      </c>
      <c r="Q201" s="761" t="e">
        <f>'4.1.Summary'!N284*24/1000</f>
        <v>#REF!</v>
      </c>
      <c r="R201" s="761" t="e">
        <f>'4.1.Summary'!O284*24/1000</f>
        <v>#REF!</v>
      </c>
      <c r="S201" s="761" t="e">
        <f>'4.1.Summary'!P284*24/1000</f>
        <v>#REF!</v>
      </c>
      <c r="T201" s="762"/>
    </row>
    <row r="202" spans="2:20" ht="6" customHeight="1" x14ac:dyDescent="0.25">
      <c r="B202" s="655"/>
      <c r="C202" s="716"/>
      <c r="D202" s="716"/>
      <c r="E202" s="716"/>
      <c r="F202" s="747"/>
      <c r="G202" s="747"/>
      <c r="H202" s="745"/>
      <c r="I202" s="745"/>
      <c r="J202" s="746"/>
      <c r="L202" s="763"/>
      <c r="M202" s="764"/>
      <c r="N202" s="764"/>
      <c r="O202" s="764"/>
      <c r="P202" s="764"/>
      <c r="Q202" s="765"/>
      <c r="R202" s="765"/>
      <c r="S202" s="765"/>
      <c r="T202" s="762"/>
    </row>
    <row r="203" spans="2:20" ht="13.8" thickBot="1" x14ac:dyDescent="0.3">
      <c r="B203" s="666" t="s">
        <v>677</v>
      </c>
      <c r="C203" s="749" t="e">
        <f t="shared" si="44"/>
        <v>#REF!</v>
      </c>
      <c r="D203" s="749" t="e">
        <f t="shared" si="37"/>
        <v>#REF!</v>
      </c>
      <c r="E203" s="749" t="e">
        <f t="shared" si="38"/>
        <v>#REF!</v>
      </c>
      <c r="F203" s="749" t="e">
        <f t="shared" si="39"/>
        <v>#REF!</v>
      </c>
      <c r="G203" s="749" t="e">
        <f t="shared" si="40"/>
        <v>#REF!</v>
      </c>
      <c r="H203" s="749" t="e">
        <f t="shared" si="41"/>
        <v>#REF!</v>
      </c>
      <c r="I203" s="749" t="e">
        <f t="shared" si="42"/>
        <v>#REF!</v>
      </c>
      <c r="J203" s="750">
        <f t="shared" si="43"/>
        <v>0</v>
      </c>
      <c r="L203" s="766" t="str">
        <f>'4.1.Summary'!D286</f>
        <v>Average price (EUR/ kg)</v>
      </c>
      <c r="M203" s="767" t="e">
        <f>'4.1.Summary'!J286</f>
        <v>#REF!</v>
      </c>
      <c r="N203" s="767" t="e">
        <f>'4.1.Summary'!K286</f>
        <v>#REF!</v>
      </c>
      <c r="O203" s="767" t="e">
        <f>'4.1.Summary'!L286</f>
        <v>#REF!</v>
      </c>
      <c r="P203" s="767" t="e">
        <f>'4.1.Summary'!M286</f>
        <v>#REF!</v>
      </c>
      <c r="Q203" s="767" t="e">
        <f>'4.1.Summary'!N286</f>
        <v>#REF!</v>
      </c>
      <c r="R203" s="767" t="e">
        <f>'4.1.Summary'!O286</f>
        <v>#REF!</v>
      </c>
      <c r="S203" s="767" t="e">
        <f>'4.1.Summary'!P286</f>
        <v>#REF!</v>
      </c>
      <c r="T203" s="768">
        <f>'4.1.Summary'!Q286</f>
        <v>0</v>
      </c>
    </row>
    <row r="205" spans="2:20" x14ac:dyDescent="0.25">
      <c r="C205" s="27" t="s">
        <v>381</v>
      </c>
      <c r="D205" s="27" t="s">
        <v>382</v>
      </c>
      <c r="E205" s="27" t="s">
        <v>383</v>
      </c>
      <c r="F205" s="27" t="s">
        <v>404</v>
      </c>
      <c r="G205" s="27" t="s">
        <v>405</v>
      </c>
      <c r="H205" s="27" t="s">
        <v>406</v>
      </c>
      <c r="I205" s="27" t="s">
        <v>407</v>
      </c>
      <c r="M205" s="27" t="s">
        <v>381</v>
      </c>
      <c r="N205" s="27" t="s">
        <v>382</v>
      </c>
      <c r="O205" s="27" t="s">
        <v>383</v>
      </c>
      <c r="P205" s="27" t="s">
        <v>404</v>
      </c>
      <c r="Q205" s="27" t="s">
        <v>405</v>
      </c>
      <c r="R205" s="27" t="s">
        <v>406</v>
      </c>
      <c r="S205" s="27" t="s">
        <v>407</v>
      </c>
    </row>
    <row r="206" spans="2:20" x14ac:dyDescent="0.25">
      <c r="C206" s="27"/>
      <c r="D206" s="27"/>
      <c r="E206" s="27"/>
      <c r="F206" s="27"/>
      <c r="G206" s="27"/>
      <c r="H206" s="27"/>
      <c r="I206" s="27"/>
      <c r="M206" s="27"/>
      <c r="N206" s="27"/>
      <c r="O206" s="27"/>
      <c r="P206" s="27"/>
      <c r="Q206" s="27"/>
      <c r="R206" s="27"/>
      <c r="S206" s="27"/>
    </row>
    <row r="207" spans="2:20" x14ac:dyDescent="0.25">
      <c r="B207" t="s">
        <v>683</v>
      </c>
      <c r="C207" s="683" t="e">
        <f>'4.1.Summary'!J346*24/1000</f>
        <v>#REF!</v>
      </c>
      <c r="D207" s="683" t="e">
        <f>'4.1.Summary'!K346*24/1000</f>
        <v>#REF!</v>
      </c>
      <c r="E207" s="683" t="e">
        <f>'4.1.Summary'!L346*24/1000</f>
        <v>#REF!</v>
      </c>
      <c r="F207" s="683" t="e">
        <f>'4.1.Summary'!M346*24/1000</f>
        <v>#REF!</v>
      </c>
      <c r="G207" s="683" t="e">
        <f>'4.1.Summary'!N346*24/1000</f>
        <v>#REF!</v>
      </c>
      <c r="H207" s="683" t="e">
        <f>'4.1.Summary'!O346*24/1000</f>
        <v>#REF!</v>
      </c>
      <c r="I207" s="683" t="e">
        <f>'4.1.Summary'!P346*24/1000</f>
        <v>#REF!</v>
      </c>
      <c r="L207" t="s">
        <v>679</v>
      </c>
      <c r="M207" s="683" t="e">
        <f>C207</f>
        <v>#REF!</v>
      </c>
      <c r="N207" s="683" t="e">
        <f t="shared" ref="N207:N208" si="45">D207</f>
        <v>#REF!</v>
      </c>
      <c r="O207" s="683" t="e">
        <f t="shared" ref="O207:O208" si="46">E207</f>
        <v>#REF!</v>
      </c>
      <c r="P207" s="683" t="e">
        <f t="shared" ref="P207:P208" si="47">F207</f>
        <v>#REF!</v>
      </c>
      <c r="Q207" s="683" t="e">
        <f t="shared" ref="Q207:Q208" si="48">G207</f>
        <v>#REF!</v>
      </c>
      <c r="R207" s="683" t="e">
        <f t="shared" ref="R207:R208" si="49">H207</f>
        <v>#REF!</v>
      </c>
      <c r="S207" s="683" t="e">
        <f t="shared" ref="S207:S208" si="50">I207</f>
        <v>#REF!</v>
      </c>
    </row>
    <row r="208" spans="2:20" x14ac:dyDescent="0.25">
      <c r="B208" t="s">
        <v>684</v>
      </c>
      <c r="C208" s="769" t="e">
        <f>'4.1.Summary'!J347</f>
        <v>#REF!</v>
      </c>
      <c r="D208" s="769" t="e">
        <f>'4.1.Summary'!K347</f>
        <v>#REF!</v>
      </c>
      <c r="E208" s="769" t="e">
        <f>'4.1.Summary'!L347</f>
        <v>#REF!</v>
      </c>
      <c r="F208" s="769" t="e">
        <f>'4.1.Summary'!M347</f>
        <v>#REF!</v>
      </c>
      <c r="G208" s="769" t="e">
        <f>'4.1.Summary'!N347</f>
        <v>#REF!</v>
      </c>
      <c r="H208" s="769" t="e">
        <f>'4.1.Summary'!O347</f>
        <v>#REF!</v>
      </c>
      <c r="I208" s="769" t="e">
        <f>'4.1.Summary'!P347</f>
        <v>#REF!</v>
      </c>
      <c r="L208" t="s">
        <v>419</v>
      </c>
      <c r="M208" s="770" t="e">
        <f t="shared" ref="M208" si="51">C208</f>
        <v>#REF!</v>
      </c>
      <c r="N208" s="770" t="e">
        <f t="shared" si="45"/>
        <v>#REF!</v>
      </c>
      <c r="O208" s="770" t="e">
        <f t="shared" si="46"/>
        <v>#REF!</v>
      </c>
      <c r="P208" s="770" t="e">
        <f t="shared" si="47"/>
        <v>#REF!</v>
      </c>
      <c r="Q208" s="770" t="e">
        <f t="shared" si="48"/>
        <v>#REF!</v>
      </c>
      <c r="R208" s="770" t="e">
        <f t="shared" si="49"/>
        <v>#REF!</v>
      </c>
      <c r="S208" s="770" t="e">
        <f t="shared" si="50"/>
        <v>#REF!</v>
      </c>
    </row>
    <row r="210" spans="2:17" x14ac:dyDescent="0.25">
      <c r="B210" s="936" t="s">
        <v>685</v>
      </c>
      <c r="C210" s="937"/>
      <c r="D210" s="937"/>
      <c r="E210" s="937"/>
      <c r="F210" s="937"/>
      <c r="G210" s="937"/>
      <c r="L210" s="707" t="s">
        <v>710</v>
      </c>
      <c r="M210" s="724"/>
      <c r="N210" s="724"/>
      <c r="O210" s="724"/>
      <c r="P210" s="724"/>
      <c r="Q210" s="737"/>
    </row>
    <row r="211" spans="2:17" ht="15.6" x14ac:dyDescent="0.15">
      <c r="B211" s="647" t="s">
        <v>686</v>
      </c>
      <c r="C211" s="648" t="s">
        <v>404</v>
      </c>
      <c r="D211" s="648" t="s">
        <v>405</v>
      </c>
      <c r="E211" s="648" t="s">
        <v>406</v>
      </c>
      <c r="F211" s="648" t="s">
        <v>407</v>
      </c>
      <c r="G211" s="649" t="s">
        <v>408</v>
      </c>
      <c r="L211" s="647" t="s">
        <v>255</v>
      </c>
      <c r="M211" s="648" t="s">
        <v>404</v>
      </c>
      <c r="N211" s="648" t="s">
        <v>405</v>
      </c>
      <c r="O211" s="648" t="s">
        <v>406</v>
      </c>
      <c r="P211" s="648" t="s">
        <v>407</v>
      </c>
      <c r="Q211" s="649" t="s">
        <v>408</v>
      </c>
    </row>
    <row r="212" spans="2:17" x14ac:dyDescent="0.25">
      <c r="B212" s="650" t="s">
        <v>512</v>
      </c>
      <c r="C212" s="708">
        <f>'4.1.Summary'!J138</f>
        <v>11882.795996257355</v>
      </c>
      <c r="D212" s="708">
        <f>'4.1.Summary'!K138</f>
        <v>12476.935796070224</v>
      </c>
      <c r="E212" s="708">
        <f>'4.1.Summary'!L138</f>
        <v>13100.782585873734</v>
      </c>
      <c r="F212" s="708">
        <f>'4.1.Summary'!M138</f>
        <v>13755.821715167422</v>
      </c>
      <c r="G212" s="725">
        <f>'4.1.Summary'!N138</f>
        <v>5.0000000000000044E-2</v>
      </c>
      <c r="L212" s="650" t="s">
        <v>552</v>
      </c>
      <c r="M212" s="708">
        <f>C212</f>
        <v>11882.795996257355</v>
      </c>
      <c r="N212" s="708">
        <f t="shared" ref="N212:N257" si="52">D212</f>
        <v>12476.935796070224</v>
      </c>
      <c r="O212" s="708">
        <f t="shared" ref="O212:O257" si="53">E212</f>
        <v>13100.782585873734</v>
      </c>
      <c r="P212" s="708">
        <f t="shared" ref="P212:P257" si="54">F212</f>
        <v>13755.821715167422</v>
      </c>
      <c r="Q212" s="725">
        <f t="shared" ref="Q212:Q257" si="55">G212</f>
        <v>5.0000000000000044E-2</v>
      </c>
    </row>
    <row r="213" spans="2:17" x14ac:dyDescent="0.25">
      <c r="B213" s="710" t="s">
        <v>687</v>
      </c>
      <c r="C213" s="709">
        <f>'4.1.Summary'!J139</f>
        <v>9801.1922500000001</v>
      </c>
      <c r="D213" s="709">
        <f>'4.1.Summary'!K139</f>
        <v>10291.251862500001</v>
      </c>
      <c r="E213" s="709">
        <f>'4.1.Summary'!L139</f>
        <v>10805.814455625001</v>
      </c>
      <c r="F213" s="709">
        <f>'4.1.Summary'!M139</f>
        <v>11346.105178406251</v>
      </c>
      <c r="G213" s="726">
        <f>'4.1.Summary'!N139</f>
        <v>5.0000000000000044E-2</v>
      </c>
      <c r="L213" s="655" t="s">
        <v>553</v>
      </c>
      <c r="M213" s="709">
        <f t="shared" ref="M213:M257" si="56">C213</f>
        <v>9801.1922500000001</v>
      </c>
      <c r="N213" s="709">
        <f t="shared" si="52"/>
        <v>10291.251862500001</v>
      </c>
      <c r="O213" s="709">
        <f t="shared" si="53"/>
        <v>10805.814455625001</v>
      </c>
      <c r="P213" s="709">
        <f t="shared" si="54"/>
        <v>11346.105178406251</v>
      </c>
      <c r="Q213" s="726">
        <f t="shared" si="55"/>
        <v>5.0000000000000044E-2</v>
      </c>
    </row>
    <row r="214" spans="2:17" x14ac:dyDescent="0.25">
      <c r="B214" s="710" t="s">
        <v>688</v>
      </c>
      <c r="C214" s="709">
        <f>'4.1.Summary'!J140</f>
        <v>651.69321828360307</v>
      </c>
      <c r="D214" s="709">
        <f>'4.1.Summary'!K140</f>
        <v>684.27787919778325</v>
      </c>
      <c r="E214" s="709">
        <f>'4.1.Summary'!L140</f>
        <v>718.49177315767247</v>
      </c>
      <c r="F214" s="709">
        <f>'4.1.Summary'!M140</f>
        <v>754.41636181555612</v>
      </c>
      <c r="G214" s="726">
        <f>'4.1.Summary'!N140</f>
        <v>5.0000000000000044E-2</v>
      </c>
      <c r="L214" s="655" t="s">
        <v>554</v>
      </c>
      <c r="M214" s="709">
        <f t="shared" si="56"/>
        <v>651.69321828360307</v>
      </c>
      <c r="N214" s="709">
        <f t="shared" si="52"/>
        <v>684.27787919778325</v>
      </c>
      <c r="O214" s="709">
        <f t="shared" si="53"/>
        <v>718.49177315767247</v>
      </c>
      <c r="P214" s="709">
        <f t="shared" si="54"/>
        <v>754.41636181555612</v>
      </c>
      <c r="Q214" s="726">
        <f t="shared" si="55"/>
        <v>5.0000000000000044E-2</v>
      </c>
    </row>
    <row r="215" spans="2:17" x14ac:dyDescent="0.25">
      <c r="B215" s="710" t="s">
        <v>689</v>
      </c>
      <c r="C215" s="709">
        <f>'4.1.Summary'!J141</f>
        <v>1429.9105279737514</v>
      </c>
      <c r="D215" s="709">
        <f>'4.1.Summary'!K141</f>
        <v>1501.406054372439</v>
      </c>
      <c r="E215" s="709">
        <f>'4.1.Summary'!L141</f>
        <v>1576.4763570910611</v>
      </c>
      <c r="F215" s="709">
        <f>'4.1.Summary'!M141</f>
        <v>1655.3001749456143</v>
      </c>
      <c r="G215" s="726">
        <f>'4.1.Summary'!N141</f>
        <v>5.0000000000000044E-2</v>
      </c>
      <c r="L215" s="655" t="s">
        <v>555</v>
      </c>
      <c r="M215" s="709">
        <f t="shared" si="56"/>
        <v>1429.9105279737514</v>
      </c>
      <c r="N215" s="709">
        <f t="shared" si="52"/>
        <v>1501.406054372439</v>
      </c>
      <c r="O215" s="709">
        <f t="shared" si="53"/>
        <v>1576.4763570910611</v>
      </c>
      <c r="P215" s="709">
        <f t="shared" si="54"/>
        <v>1655.3001749456143</v>
      </c>
      <c r="Q215" s="726">
        <f t="shared" si="55"/>
        <v>5.0000000000000044E-2</v>
      </c>
    </row>
    <row r="216" spans="2:17" x14ac:dyDescent="0.25">
      <c r="B216" s="710" t="s">
        <v>690</v>
      </c>
      <c r="C216" s="709">
        <f>'4.1.Summary'!J142</f>
        <v>0</v>
      </c>
      <c r="D216" s="709">
        <f>'4.1.Summary'!K142</f>
        <v>0</v>
      </c>
      <c r="E216" s="709">
        <f>'4.1.Summary'!L142</f>
        <v>0</v>
      </c>
      <c r="F216" s="709">
        <f>'4.1.Summary'!M142</f>
        <v>0</v>
      </c>
      <c r="G216" s="726">
        <f>'4.1.Summary'!N142</f>
        <v>0</v>
      </c>
      <c r="L216" s="655" t="s">
        <v>556</v>
      </c>
      <c r="M216" s="709">
        <f t="shared" si="56"/>
        <v>0</v>
      </c>
      <c r="N216" s="709">
        <f t="shared" si="52"/>
        <v>0</v>
      </c>
      <c r="O216" s="709">
        <f t="shared" si="53"/>
        <v>0</v>
      </c>
      <c r="P216" s="709">
        <f t="shared" si="54"/>
        <v>0</v>
      </c>
      <c r="Q216" s="726">
        <f t="shared" si="55"/>
        <v>0</v>
      </c>
    </row>
    <row r="217" spans="2:17" x14ac:dyDescent="0.25">
      <c r="B217" s="710" t="s">
        <v>517</v>
      </c>
      <c r="C217" s="709">
        <f>'4.1.Summary'!J143</f>
        <v>89.074478261541927</v>
      </c>
      <c r="D217" s="709">
        <f ca="1">'4.1.Summary'!K143</f>
        <v>90.165660417720304</v>
      </c>
      <c r="E217" s="709">
        <f ca="1">'4.1.Summary'!L143</f>
        <v>94.673943438606315</v>
      </c>
      <c r="F217" s="709">
        <f ca="1">'4.1.Summary'!M143</f>
        <v>99.407640610536632</v>
      </c>
      <c r="G217" s="726">
        <f ca="1">'4.1.Summary'!N143</f>
        <v>3.7262856151809354E-2</v>
      </c>
      <c r="L217" s="710" t="s">
        <v>557</v>
      </c>
      <c r="M217" s="709">
        <f t="shared" si="56"/>
        <v>89.074478261541927</v>
      </c>
      <c r="N217" s="709">
        <f t="shared" ca="1" si="52"/>
        <v>90.165660417720304</v>
      </c>
      <c r="O217" s="709">
        <f t="shared" ca="1" si="53"/>
        <v>94.673943438606315</v>
      </c>
      <c r="P217" s="709">
        <f t="shared" ca="1" si="54"/>
        <v>99.407640610536632</v>
      </c>
      <c r="Q217" s="726">
        <f t="shared" ca="1" si="55"/>
        <v>3.7262856151809354E-2</v>
      </c>
    </row>
    <row r="218" spans="2:17" x14ac:dyDescent="0.25">
      <c r="B218" s="718" t="s">
        <v>518</v>
      </c>
      <c r="C218" s="712">
        <f>'4.1.Summary'!J144</f>
        <v>3.2024207208559359</v>
      </c>
      <c r="D218" s="712">
        <f ca="1">'4.1.Summary'!K144</f>
        <v>0</v>
      </c>
      <c r="E218" s="712">
        <f ca="1">'4.1.Summary'!L144</f>
        <v>0</v>
      </c>
      <c r="F218" s="712">
        <f ca="1">'4.1.Summary'!M144</f>
        <v>0</v>
      </c>
      <c r="G218" s="727">
        <f ca="1">'4.1.Summary'!N144</f>
        <v>-1</v>
      </c>
      <c r="L218" s="718" t="s">
        <v>558</v>
      </c>
      <c r="M218" s="712">
        <f t="shared" si="56"/>
        <v>3.2024207208559359</v>
      </c>
      <c r="N218" s="712">
        <f t="shared" ca="1" si="52"/>
        <v>0</v>
      </c>
      <c r="O218" s="712">
        <f t="shared" ca="1" si="53"/>
        <v>0</v>
      </c>
      <c r="P218" s="712">
        <f t="shared" ca="1" si="54"/>
        <v>0</v>
      </c>
      <c r="Q218" s="727">
        <f t="shared" ca="1" si="55"/>
        <v>-1</v>
      </c>
    </row>
    <row r="219" spans="2:17" x14ac:dyDescent="0.25">
      <c r="B219" s="713" t="s">
        <v>519</v>
      </c>
      <c r="C219" s="714">
        <f>'4.1.Summary'!J145</f>
        <v>11971.870474518897</v>
      </c>
      <c r="D219" s="714">
        <f ca="1">'4.1.Summary'!K145</f>
        <v>12567.101456487944</v>
      </c>
      <c r="E219" s="714">
        <f ca="1">'4.1.Summary'!L145</f>
        <v>13195.45652931234</v>
      </c>
      <c r="F219" s="714">
        <f ca="1">'4.1.Summary'!M145</f>
        <v>13855.229355777958</v>
      </c>
      <c r="G219" s="728">
        <f ca="1">'4.1.Summary'!N145</f>
        <v>4.9906368247965238E-2</v>
      </c>
      <c r="L219" s="713" t="s">
        <v>559</v>
      </c>
      <c r="M219" s="714">
        <f t="shared" si="56"/>
        <v>11971.870474518897</v>
      </c>
      <c r="N219" s="714">
        <f t="shared" ca="1" si="52"/>
        <v>12567.101456487944</v>
      </c>
      <c r="O219" s="714">
        <f t="shared" ca="1" si="53"/>
        <v>13195.45652931234</v>
      </c>
      <c r="P219" s="714">
        <f t="shared" ca="1" si="54"/>
        <v>13855.229355777958</v>
      </c>
      <c r="Q219" s="728">
        <f t="shared" ca="1" si="55"/>
        <v>4.9906368247965238E-2</v>
      </c>
    </row>
    <row r="220" spans="2:17" ht="5.25" customHeight="1" x14ac:dyDescent="0.25">
      <c r="B220" s="722"/>
      <c r="C220" s="717"/>
      <c r="D220" s="717"/>
      <c r="E220" s="717"/>
      <c r="F220" s="717"/>
      <c r="G220" s="730"/>
      <c r="L220" s="722"/>
      <c r="M220" s="771">
        <f t="shared" si="56"/>
        <v>0</v>
      </c>
      <c r="N220" s="771">
        <f t="shared" si="52"/>
        <v>0</v>
      </c>
      <c r="O220" s="771">
        <f t="shared" si="53"/>
        <v>0</v>
      </c>
      <c r="P220" s="771">
        <f t="shared" si="54"/>
        <v>0</v>
      </c>
      <c r="Q220" s="772">
        <f t="shared" si="55"/>
        <v>0</v>
      </c>
    </row>
    <row r="221" spans="2:17" x14ac:dyDescent="0.25">
      <c r="B221" s="660" t="s">
        <v>520</v>
      </c>
      <c r="C221" s="717">
        <f>'4.1.Summary'!J147</f>
        <v>249.53682413476119</v>
      </c>
      <c r="D221" s="717">
        <f>'4.1.Summary'!K147</f>
        <v>280.08357329608538</v>
      </c>
      <c r="E221" s="717">
        <f>'4.1.Summary'!L147</f>
        <v>294.0877519608897</v>
      </c>
      <c r="F221" s="717">
        <f>'4.1.Summary'!M147</f>
        <v>308.7921395589342</v>
      </c>
      <c r="G221" s="730">
        <f>'4.1.Summary'!N147</f>
        <v>7.3603365849039593E-2</v>
      </c>
      <c r="L221" s="660" t="s">
        <v>560</v>
      </c>
      <c r="M221" s="717">
        <f t="shared" si="56"/>
        <v>249.53682413476119</v>
      </c>
      <c r="N221" s="717">
        <f t="shared" si="52"/>
        <v>280.08357329608538</v>
      </c>
      <c r="O221" s="717">
        <f t="shared" si="53"/>
        <v>294.0877519608897</v>
      </c>
      <c r="P221" s="717">
        <f t="shared" si="54"/>
        <v>308.7921395589342</v>
      </c>
      <c r="Q221" s="730">
        <f t="shared" si="55"/>
        <v>7.3603365849039593E-2</v>
      </c>
    </row>
    <row r="222" spans="2:17" x14ac:dyDescent="0.25">
      <c r="B222" s="710" t="s">
        <v>691</v>
      </c>
      <c r="C222" s="709">
        <f>'4.1.Summary'!J148</f>
        <v>232.88030912614562</v>
      </c>
      <c r="D222" s="709">
        <f>'4.1.Summary'!K148</f>
        <v>261.38807110538067</v>
      </c>
      <c r="E222" s="709">
        <f>'4.1.Summary'!L148</f>
        <v>274.45747466064972</v>
      </c>
      <c r="F222" s="709">
        <f>'4.1.Summary'!M148</f>
        <v>288.18034839368227</v>
      </c>
      <c r="G222" s="726">
        <f>'4.1.Summary'!N148</f>
        <v>7.3603365849039593E-2</v>
      </c>
      <c r="L222" s="655" t="s">
        <v>561</v>
      </c>
      <c r="M222" s="709">
        <f t="shared" si="56"/>
        <v>232.88030912614562</v>
      </c>
      <c r="N222" s="709">
        <f t="shared" si="52"/>
        <v>261.38807110538067</v>
      </c>
      <c r="O222" s="709">
        <f t="shared" si="53"/>
        <v>274.45747466064972</v>
      </c>
      <c r="P222" s="709">
        <f t="shared" si="54"/>
        <v>288.18034839368227</v>
      </c>
      <c r="Q222" s="726">
        <f t="shared" si="55"/>
        <v>7.3603365849039593E-2</v>
      </c>
    </row>
    <row r="223" spans="2:17" x14ac:dyDescent="0.25">
      <c r="B223" s="710" t="s">
        <v>692</v>
      </c>
      <c r="C223" s="709">
        <f>'4.1.Summary'!J149</f>
        <v>11.416436851593186</v>
      </c>
      <c r="D223" s="709">
        <f>'4.1.Summary'!K149</f>
        <v>12.813966190322697</v>
      </c>
      <c r="E223" s="709">
        <f>'4.1.Summary'!L149</f>
        <v>13.454664499838833</v>
      </c>
      <c r="F223" s="709">
        <f>'4.1.Summary'!M149</f>
        <v>14.127397724830777</v>
      </c>
      <c r="G223" s="726">
        <f>'4.1.Summary'!N149</f>
        <v>7.3603365849039593E-2</v>
      </c>
      <c r="L223" s="655" t="s">
        <v>562</v>
      </c>
      <c r="M223" s="709">
        <f t="shared" si="56"/>
        <v>11.416436851593186</v>
      </c>
      <c r="N223" s="709">
        <f t="shared" si="52"/>
        <v>12.813966190322697</v>
      </c>
      <c r="O223" s="709">
        <f t="shared" si="53"/>
        <v>13.454664499838833</v>
      </c>
      <c r="P223" s="709">
        <f t="shared" si="54"/>
        <v>14.127397724830777</v>
      </c>
      <c r="Q223" s="726">
        <f t="shared" si="55"/>
        <v>7.3603365849039593E-2</v>
      </c>
    </row>
    <row r="224" spans="2:17" x14ac:dyDescent="0.25">
      <c r="B224" s="710" t="s">
        <v>693</v>
      </c>
      <c r="C224" s="709">
        <f>'4.1.Summary'!J150</f>
        <v>5.240078157022392</v>
      </c>
      <c r="D224" s="709">
        <f>'4.1.Summary'!K150</f>
        <v>5.8815360003820301</v>
      </c>
      <c r="E224" s="709">
        <f>'4.1.Summary'!L150</f>
        <v>6.1756128004011313</v>
      </c>
      <c r="F224" s="709">
        <f>'4.1.Summary'!M150</f>
        <v>6.4843934404211891</v>
      </c>
      <c r="G224" s="726">
        <f>'4.1.Summary'!N150</f>
        <v>7.3603365849039593E-2</v>
      </c>
      <c r="L224" s="655" t="s">
        <v>563</v>
      </c>
      <c r="M224" s="709">
        <f t="shared" si="56"/>
        <v>5.240078157022392</v>
      </c>
      <c r="N224" s="709">
        <f t="shared" si="52"/>
        <v>5.8815360003820301</v>
      </c>
      <c r="O224" s="709">
        <f t="shared" si="53"/>
        <v>6.1756128004011313</v>
      </c>
      <c r="P224" s="709">
        <f t="shared" si="54"/>
        <v>6.4843934404211891</v>
      </c>
      <c r="Q224" s="726">
        <f t="shared" si="55"/>
        <v>7.3603365849039593E-2</v>
      </c>
    </row>
    <row r="225" spans="2:17" x14ac:dyDescent="0.25">
      <c r="B225" s="660" t="s">
        <v>524</v>
      </c>
      <c r="C225" s="717">
        <f>'4.1.Summary'!J151</f>
        <v>10923.445812244656</v>
      </c>
      <c r="D225" s="717">
        <f>'4.1.Summary'!K151</f>
        <v>11469.61810285689</v>
      </c>
      <c r="E225" s="717">
        <f>'4.1.Summary'!L151</f>
        <v>12043.099007999732</v>
      </c>
      <c r="F225" s="717">
        <f>'4.1.Summary'!M151</f>
        <v>12645.25395839972</v>
      </c>
      <c r="G225" s="730">
        <f>'4.1.Summary'!N151</f>
        <v>5.0000000000000044E-2</v>
      </c>
      <c r="L225" s="660" t="s">
        <v>564</v>
      </c>
      <c r="M225" s="717">
        <f t="shared" si="56"/>
        <v>10923.445812244656</v>
      </c>
      <c r="N225" s="717">
        <f t="shared" si="52"/>
        <v>11469.61810285689</v>
      </c>
      <c r="O225" s="717">
        <f t="shared" si="53"/>
        <v>12043.099007999732</v>
      </c>
      <c r="P225" s="717">
        <f t="shared" si="54"/>
        <v>12645.25395839972</v>
      </c>
      <c r="Q225" s="730">
        <f t="shared" si="55"/>
        <v>5.0000000000000044E-2</v>
      </c>
    </row>
    <row r="226" spans="2:17" x14ac:dyDescent="0.25">
      <c r="B226" s="710" t="s">
        <v>694</v>
      </c>
      <c r="C226" s="709">
        <f>'4.1.Summary'!J152</f>
        <v>6908.7134053006184</v>
      </c>
      <c r="D226" s="709">
        <f>'4.1.Summary'!K152</f>
        <v>7254.1490755656496</v>
      </c>
      <c r="E226" s="709">
        <f>'4.1.Summary'!L152</f>
        <v>7616.8565293439315</v>
      </c>
      <c r="F226" s="709">
        <f>'4.1.Summary'!M152</f>
        <v>7997.699355811128</v>
      </c>
      <c r="G226" s="726">
        <f>'4.1.Summary'!N152</f>
        <v>5.0000000000000044E-2</v>
      </c>
      <c r="L226" s="655" t="s">
        <v>565</v>
      </c>
      <c r="M226" s="709">
        <f t="shared" si="56"/>
        <v>6908.7134053006184</v>
      </c>
      <c r="N226" s="709">
        <f t="shared" si="52"/>
        <v>7254.1490755656496</v>
      </c>
      <c r="O226" s="709">
        <f t="shared" si="53"/>
        <v>7616.8565293439315</v>
      </c>
      <c r="P226" s="709">
        <f t="shared" si="54"/>
        <v>7997.699355811128</v>
      </c>
      <c r="Q226" s="726">
        <f t="shared" si="55"/>
        <v>5.0000000000000044E-2</v>
      </c>
    </row>
    <row r="227" spans="2:17" x14ac:dyDescent="0.25">
      <c r="B227" s="710" t="s">
        <v>695</v>
      </c>
      <c r="C227" s="709">
        <f>'4.1.Summary'!J153</f>
        <v>186.32005414109614</v>
      </c>
      <c r="D227" s="709">
        <f>'4.1.Summary'!K153</f>
        <v>195.63605684815096</v>
      </c>
      <c r="E227" s="709">
        <f>'4.1.Summary'!L153</f>
        <v>205.41785969055849</v>
      </c>
      <c r="F227" s="709">
        <f>'4.1.Summary'!M153</f>
        <v>215.68875267508642</v>
      </c>
      <c r="G227" s="726">
        <f>'4.1.Summary'!N153</f>
        <v>5.0000000000000044E-2</v>
      </c>
      <c r="L227" s="655" t="s">
        <v>566</v>
      </c>
      <c r="M227" s="709">
        <f t="shared" si="56"/>
        <v>186.32005414109614</v>
      </c>
      <c r="N227" s="709">
        <f t="shared" si="52"/>
        <v>195.63605684815096</v>
      </c>
      <c r="O227" s="709">
        <f t="shared" si="53"/>
        <v>205.41785969055849</v>
      </c>
      <c r="P227" s="709">
        <f t="shared" si="54"/>
        <v>215.68875267508642</v>
      </c>
      <c r="Q227" s="726">
        <f t="shared" si="55"/>
        <v>5.0000000000000044E-2</v>
      </c>
    </row>
    <row r="228" spans="2:17" x14ac:dyDescent="0.25">
      <c r="B228" s="710" t="s">
        <v>696</v>
      </c>
      <c r="C228" s="709">
        <f>'4.1.Summary'!J154</f>
        <v>1299.9907665331348</v>
      </c>
      <c r="D228" s="709">
        <f>'4.1.Summary'!K154</f>
        <v>1364.9903048597916</v>
      </c>
      <c r="E228" s="709">
        <f>'4.1.Summary'!L154</f>
        <v>1433.2398201027811</v>
      </c>
      <c r="F228" s="709">
        <f>'4.1.Summary'!M154</f>
        <v>1504.9018111079201</v>
      </c>
      <c r="G228" s="726">
        <f>'4.1.Summary'!N154</f>
        <v>5.0000000000000044E-2</v>
      </c>
      <c r="L228" s="655" t="s">
        <v>567</v>
      </c>
      <c r="M228" s="709">
        <f t="shared" si="56"/>
        <v>1299.9907665331348</v>
      </c>
      <c r="N228" s="709">
        <f t="shared" si="52"/>
        <v>1364.9903048597916</v>
      </c>
      <c r="O228" s="709">
        <f t="shared" si="53"/>
        <v>1433.2398201027811</v>
      </c>
      <c r="P228" s="709">
        <f t="shared" si="54"/>
        <v>1504.9018111079201</v>
      </c>
      <c r="Q228" s="726">
        <f t="shared" si="55"/>
        <v>5.0000000000000044E-2</v>
      </c>
    </row>
    <row r="229" spans="2:17" x14ac:dyDescent="0.25">
      <c r="B229" s="710" t="s">
        <v>697</v>
      </c>
      <c r="C229" s="709">
        <f>'4.1.Summary'!J155</f>
        <v>0</v>
      </c>
      <c r="D229" s="709">
        <f>'4.1.Summary'!K155</f>
        <v>0</v>
      </c>
      <c r="E229" s="709">
        <f>'4.1.Summary'!L155</f>
        <v>0</v>
      </c>
      <c r="F229" s="709">
        <f>'4.1.Summary'!M155</f>
        <v>0</v>
      </c>
      <c r="G229" s="726">
        <f>'4.1.Summary'!N155</f>
        <v>0</v>
      </c>
      <c r="L229" s="655" t="s">
        <v>568</v>
      </c>
      <c r="M229" s="709">
        <f t="shared" si="56"/>
        <v>0</v>
      </c>
      <c r="N229" s="709">
        <f t="shared" si="52"/>
        <v>0</v>
      </c>
      <c r="O229" s="709">
        <f t="shared" si="53"/>
        <v>0</v>
      </c>
      <c r="P229" s="709">
        <f t="shared" si="54"/>
        <v>0</v>
      </c>
      <c r="Q229" s="726">
        <f t="shared" si="55"/>
        <v>0</v>
      </c>
    </row>
    <row r="230" spans="2:17" x14ac:dyDescent="0.25">
      <c r="B230" s="710" t="s">
        <v>698</v>
      </c>
      <c r="C230" s="709">
        <f>'4.1.Summary'!J156</f>
        <v>0</v>
      </c>
      <c r="D230" s="709">
        <f>'4.1.Summary'!K156</f>
        <v>0</v>
      </c>
      <c r="E230" s="709">
        <f>'4.1.Summary'!L156</f>
        <v>0</v>
      </c>
      <c r="F230" s="709">
        <f>'4.1.Summary'!M156</f>
        <v>0</v>
      </c>
      <c r="G230" s="726">
        <f>'4.1.Summary'!N156</f>
        <v>0</v>
      </c>
      <c r="L230" s="655" t="s">
        <v>569</v>
      </c>
      <c r="M230" s="709">
        <f t="shared" si="56"/>
        <v>0</v>
      </c>
      <c r="N230" s="709">
        <f t="shared" si="52"/>
        <v>0</v>
      </c>
      <c r="O230" s="709">
        <f t="shared" si="53"/>
        <v>0</v>
      </c>
      <c r="P230" s="709">
        <f t="shared" si="54"/>
        <v>0</v>
      </c>
      <c r="Q230" s="726">
        <f t="shared" si="55"/>
        <v>0</v>
      </c>
    </row>
    <row r="231" spans="2:17" x14ac:dyDescent="0.25">
      <c r="B231" s="710" t="s">
        <v>715</v>
      </c>
      <c r="C231" s="709">
        <f>'4.1.Summary'!J157</f>
        <v>248.6505552809713</v>
      </c>
      <c r="D231" s="709">
        <f>'4.1.Summary'!K157</f>
        <v>261.08308304501986</v>
      </c>
      <c r="E231" s="709">
        <f>'4.1.Summary'!L157</f>
        <v>274.13723719727085</v>
      </c>
      <c r="F231" s="709">
        <f>'4.1.Summary'!M157</f>
        <v>287.84409905713443</v>
      </c>
      <c r="G231" s="726">
        <f>'4.1.Summary'!N157</f>
        <v>5.0000000000000044E-2</v>
      </c>
      <c r="L231" s="655" t="s">
        <v>570</v>
      </c>
      <c r="M231" s="709">
        <f t="shared" si="56"/>
        <v>248.6505552809713</v>
      </c>
      <c r="N231" s="709">
        <f t="shared" si="52"/>
        <v>261.08308304501986</v>
      </c>
      <c r="O231" s="709">
        <f t="shared" si="53"/>
        <v>274.13723719727085</v>
      </c>
      <c r="P231" s="709">
        <f t="shared" si="54"/>
        <v>287.84409905713443</v>
      </c>
      <c r="Q231" s="726">
        <f t="shared" si="55"/>
        <v>5.0000000000000044E-2</v>
      </c>
    </row>
    <row r="232" spans="2:17" x14ac:dyDescent="0.25">
      <c r="B232" s="710" t="s">
        <v>699</v>
      </c>
      <c r="C232" s="709">
        <f>'4.1.Summary'!J158</f>
        <v>0</v>
      </c>
      <c r="D232" s="709">
        <f>'4.1.Summary'!K158</f>
        <v>0</v>
      </c>
      <c r="E232" s="709">
        <f>'4.1.Summary'!L158</f>
        <v>0</v>
      </c>
      <c r="F232" s="709">
        <f>'4.1.Summary'!M158</f>
        <v>0</v>
      </c>
      <c r="G232" s="726">
        <f>'4.1.Summary'!N158</f>
        <v>0</v>
      </c>
      <c r="L232" s="655" t="s">
        <v>571</v>
      </c>
      <c r="M232" s="709">
        <f t="shared" si="56"/>
        <v>0</v>
      </c>
      <c r="N232" s="709">
        <f t="shared" si="52"/>
        <v>0</v>
      </c>
      <c r="O232" s="709">
        <f t="shared" si="53"/>
        <v>0</v>
      </c>
      <c r="P232" s="709">
        <f t="shared" si="54"/>
        <v>0</v>
      </c>
      <c r="Q232" s="726">
        <f t="shared" si="55"/>
        <v>0</v>
      </c>
    </row>
    <row r="233" spans="2:17" x14ac:dyDescent="0.25">
      <c r="B233" s="710" t="s">
        <v>700</v>
      </c>
      <c r="C233" s="709">
        <f>'4.1.Summary'!J159</f>
        <v>0</v>
      </c>
      <c r="D233" s="709">
        <f>'4.1.Summary'!K159</f>
        <v>0</v>
      </c>
      <c r="E233" s="709">
        <f>'4.1.Summary'!L159</f>
        <v>0</v>
      </c>
      <c r="F233" s="709">
        <f>'4.1.Summary'!M159</f>
        <v>0</v>
      </c>
      <c r="G233" s="726">
        <f>'4.1.Summary'!N159</f>
        <v>0</v>
      </c>
      <c r="L233" s="655" t="s">
        <v>572</v>
      </c>
      <c r="M233" s="709">
        <f t="shared" si="56"/>
        <v>0</v>
      </c>
      <c r="N233" s="709">
        <f t="shared" si="52"/>
        <v>0</v>
      </c>
      <c r="O233" s="709">
        <f t="shared" si="53"/>
        <v>0</v>
      </c>
      <c r="P233" s="709">
        <f t="shared" si="54"/>
        <v>0</v>
      </c>
      <c r="Q233" s="726">
        <f t="shared" si="55"/>
        <v>0</v>
      </c>
    </row>
    <row r="234" spans="2:17" x14ac:dyDescent="0.25">
      <c r="B234" s="710" t="s">
        <v>701</v>
      </c>
      <c r="C234" s="709">
        <f>'4.1.Summary'!J160</f>
        <v>240.02981549763237</v>
      </c>
      <c r="D234" s="709">
        <f>'4.1.Summary'!K160</f>
        <v>252.031306272514</v>
      </c>
      <c r="E234" s="709">
        <f>'4.1.Summary'!L160</f>
        <v>264.63287158613969</v>
      </c>
      <c r="F234" s="709">
        <f>'4.1.Summary'!M160</f>
        <v>277.86451516544668</v>
      </c>
      <c r="G234" s="726">
        <f>'4.1.Summary'!N160</f>
        <v>5.0000000000000044E-2</v>
      </c>
      <c r="L234" s="655" t="s">
        <v>573</v>
      </c>
      <c r="M234" s="709">
        <f t="shared" si="56"/>
        <v>240.02981549763237</v>
      </c>
      <c r="N234" s="709">
        <f t="shared" si="52"/>
        <v>252.031306272514</v>
      </c>
      <c r="O234" s="709">
        <f t="shared" si="53"/>
        <v>264.63287158613969</v>
      </c>
      <c r="P234" s="709">
        <f t="shared" si="54"/>
        <v>277.86451516544668</v>
      </c>
      <c r="Q234" s="726">
        <f t="shared" si="55"/>
        <v>5.0000000000000044E-2</v>
      </c>
    </row>
    <row r="235" spans="2:17" x14ac:dyDescent="0.25">
      <c r="B235" s="710" t="s">
        <v>702</v>
      </c>
      <c r="C235" s="709">
        <f>'4.1.Summary'!J161</f>
        <v>119.10291004660512</v>
      </c>
      <c r="D235" s="709">
        <f>'4.1.Summary'!K161</f>
        <v>125.05805554893539</v>
      </c>
      <c r="E235" s="709">
        <f>'4.1.Summary'!L161</f>
        <v>131.31095832638215</v>
      </c>
      <c r="F235" s="709">
        <f>'4.1.Summary'!M161</f>
        <v>137.87650624270125</v>
      </c>
      <c r="G235" s="726">
        <f>'4.1.Summary'!N161</f>
        <v>5.0000000000000044E-2</v>
      </c>
      <c r="L235" s="655" t="s">
        <v>574</v>
      </c>
      <c r="M235" s="709">
        <f t="shared" si="56"/>
        <v>119.10291004660512</v>
      </c>
      <c r="N235" s="709">
        <f t="shared" si="52"/>
        <v>125.05805554893539</v>
      </c>
      <c r="O235" s="709">
        <f t="shared" si="53"/>
        <v>131.31095832638215</v>
      </c>
      <c r="P235" s="709">
        <f t="shared" si="54"/>
        <v>137.87650624270125</v>
      </c>
      <c r="Q235" s="726">
        <f t="shared" si="55"/>
        <v>5.0000000000000044E-2</v>
      </c>
    </row>
    <row r="236" spans="2:17" x14ac:dyDescent="0.25">
      <c r="B236" s="718" t="s">
        <v>703</v>
      </c>
      <c r="C236" s="712">
        <f>'4.1.Summary'!J162</f>
        <v>1929.6398356525713</v>
      </c>
      <c r="D236" s="712">
        <f>'4.1.Summary'!K162</f>
        <v>2026.1218274352</v>
      </c>
      <c r="E236" s="712">
        <f>'4.1.Summary'!L162</f>
        <v>2127.4279188069595</v>
      </c>
      <c r="F236" s="712">
        <f>'4.1.Summary'!M162</f>
        <v>2233.799314747308</v>
      </c>
      <c r="G236" s="727">
        <f>'4.1.Summary'!N162</f>
        <v>5.0000000000000044E-2</v>
      </c>
      <c r="L236" s="711" t="s">
        <v>575</v>
      </c>
      <c r="M236" s="712">
        <f t="shared" si="56"/>
        <v>1929.6398356525713</v>
      </c>
      <c r="N236" s="712">
        <f t="shared" si="52"/>
        <v>2026.1218274352</v>
      </c>
      <c r="O236" s="712">
        <f t="shared" si="53"/>
        <v>2127.4279188069595</v>
      </c>
      <c r="P236" s="712">
        <f t="shared" si="54"/>
        <v>2233.799314747308</v>
      </c>
      <c r="Q236" s="727">
        <f t="shared" si="55"/>
        <v>5.0000000000000044E-2</v>
      </c>
    </row>
    <row r="237" spans="2:17" x14ac:dyDescent="0.25">
      <c r="B237" s="713" t="s">
        <v>535</v>
      </c>
      <c r="C237" s="714">
        <f>'4.1.Summary'!J163</f>
        <v>11172.982636379416</v>
      </c>
      <c r="D237" s="714">
        <f>'4.1.Summary'!K163</f>
        <v>11749.701676152976</v>
      </c>
      <c r="E237" s="714">
        <f>'4.1.Summary'!L163</f>
        <v>12337.186759960621</v>
      </c>
      <c r="F237" s="714">
        <f>'4.1.Summary'!M163</f>
        <v>12954.046097958655</v>
      </c>
      <c r="G237" s="728">
        <f>'4.1.Summary'!N163</f>
        <v>5.0538818772228655E-2</v>
      </c>
      <c r="L237" s="713" t="s">
        <v>576</v>
      </c>
      <c r="M237" s="714">
        <f t="shared" si="56"/>
        <v>11172.982636379416</v>
      </c>
      <c r="N237" s="714">
        <f t="shared" si="52"/>
        <v>11749.701676152976</v>
      </c>
      <c r="O237" s="714">
        <f t="shared" si="53"/>
        <v>12337.186759960621</v>
      </c>
      <c r="P237" s="714">
        <f t="shared" si="54"/>
        <v>12954.046097958655</v>
      </c>
      <c r="Q237" s="728">
        <f t="shared" si="55"/>
        <v>5.0538818772228655E-2</v>
      </c>
    </row>
    <row r="238" spans="2:17" ht="5.25" customHeight="1" x14ac:dyDescent="0.25">
      <c r="B238" s="722"/>
      <c r="C238" s="709"/>
      <c r="D238" s="709"/>
      <c r="E238" s="709"/>
      <c r="F238" s="709"/>
      <c r="G238" s="730"/>
      <c r="L238" s="722"/>
      <c r="M238" s="723">
        <f t="shared" si="56"/>
        <v>0</v>
      </c>
      <c r="N238" s="723">
        <f t="shared" si="52"/>
        <v>0</v>
      </c>
      <c r="O238" s="723">
        <f t="shared" si="53"/>
        <v>0</v>
      </c>
      <c r="P238" s="723">
        <f t="shared" si="54"/>
        <v>0</v>
      </c>
      <c r="Q238" s="772">
        <f t="shared" si="55"/>
        <v>0</v>
      </c>
    </row>
    <row r="239" spans="2:17" x14ac:dyDescent="0.25">
      <c r="B239" s="660" t="s">
        <v>448</v>
      </c>
      <c r="C239" s="717">
        <f>'4.1.Summary'!J165</f>
        <v>798.88783813948066</v>
      </c>
      <c r="D239" s="717">
        <f ca="1">'4.1.Summary'!K165</f>
        <v>817.39978033496845</v>
      </c>
      <c r="E239" s="717">
        <f ca="1">'4.1.Summary'!L165</f>
        <v>858.26976935171842</v>
      </c>
      <c r="F239" s="717">
        <f ca="1">'4.1.Summary'!M165</f>
        <v>901.18325781930253</v>
      </c>
      <c r="G239" s="730">
        <f ca="1">'4.1.Summary'!N165</f>
        <v>4.0980118380607777E-2</v>
      </c>
      <c r="L239" s="660" t="s">
        <v>448</v>
      </c>
      <c r="M239" s="717">
        <f t="shared" si="56"/>
        <v>798.88783813948066</v>
      </c>
      <c r="N239" s="717">
        <f t="shared" ca="1" si="52"/>
        <v>817.39978033496845</v>
      </c>
      <c r="O239" s="717">
        <f t="shared" ca="1" si="53"/>
        <v>858.26976935171842</v>
      </c>
      <c r="P239" s="717">
        <f t="shared" ca="1" si="54"/>
        <v>901.18325781930253</v>
      </c>
      <c r="Q239" s="730">
        <f t="shared" ca="1" si="55"/>
        <v>4.0980118380607777E-2</v>
      </c>
    </row>
    <row r="240" spans="2:17" x14ac:dyDescent="0.25">
      <c r="B240" s="663" t="s">
        <v>450</v>
      </c>
      <c r="C240" s="736">
        <f>'4.1.Summary'!J166</f>
        <v>6.6730411078189084E-2</v>
      </c>
      <c r="D240" s="736">
        <f ca="1">'4.1.Summary'!K166</f>
        <v>6.5042824963665286E-2</v>
      </c>
      <c r="E240" s="736">
        <f ca="1">'4.1.Summary'!L166</f>
        <v>6.504282496366541E-2</v>
      </c>
      <c r="F240" s="736">
        <f ca="1">'4.1.Summary'!M166</f>
        <v>6.5042824963665272E-2</v>
      </c>
      <c r="G240" s="730">
        <f ca="1">'4.1.Summary'!N166</f>
        <v>-8.5019484949435675E-3</v>
      </c>
      <c r="L240" s="663" t="s">
        <v>450</v>
      </c>
      <c r="M240" s="736">
        <f t="shared" si="56"/>
        <v>6.6730411078189084E-2</v>
      </c>
      <c r="N240" s="736">
        <f t="shared" ca="1" si="52"/>
        <v>6.5042824963665286E-2</v>
      </c>
      <c r="O240" s="736">
        <f t="shared" ca="1" si="53"/>
        <v>6.504282496366541E-2</v>
      </c>
      <c r="P240" s="736">
        <f t="shared" ca="1" si="54"/>
        <v>6.5042824963665272E-2</v>
      </c>
      <c r="Q240" s="730">
        <f t="shared" ca="1" si="55"/>
        <v>-8.5019484949435675E-3</v>
      </c>
    </row>
    <row r="241" spans="2:17" x14ac:dyDescent="0.25">
      <c r="B241" s="710" t="s">
        <v>536</v>
      </c>
      <c r="C241" s="709">
        <f ca="1">'4.1.Summary'!J167</f>
        <v>34.757559124338016</v>
      </c>
      <c r="D241" s="709">
        <f ca="1">'4.1.Summary'!K167</f>
        <v>14.181678306650907</v>
      </c>
      <c r="E241" s="709">
        <f ca="1">'4.1.Summary'!L167</f>
        <v>2.4891930804770608</v>
      </c>
      <c r="F241" s="709">
        <f ca="1">'4.1.Summary'!M167</f>
        <v>0.51522295046739008</v>
      </c>
      <c r="G241" s="726">
        <f ca="1">'4.1.Summary'!N167</f>
        <v>-0.7543508249306069</v>
      </c>
      <c r="L241" s="710" t="s">
        <v>577</v>
      </c>
      <c r="M241" s="709">
        <f t="shared" ca="1" si="56"/>
        <v>34.757559124338016</v>
      </c>
      <c r="N241" s="709">
        <f t="shared" ca="1" si="52"/>
        <v>14.181678306650907</v>
      </c>
      <c r="O241" s="709">
        <f t="shared" ca="1" si="53"/>
        <v>2.4891930804770608</v>
      </c>
      <c r="P241" s="709">
        <f t="shared" ca="1" si="54"/>
        <v>0.51522295046739008</v>
      </c>
      <c r="Q241" s="726">
        <f t="shared" ca="1" si="55"/>
        <v>-0.7543508249306069</v>
      </c>
    </row>
    <row r="242" spans="2:17" ht="3.75" customHeight="1" x14ac:dyDescent="0.25">
      <c r="B242" s="722"/>
      <c r="C242" s="709"/>
      <c r="D242" s="709"/>
      <c r="E242" s="709"/>
      <c r="F242" s="709"/>
      <c r="G242" s="726"/>
      <c r="L242" s="722"/>
      <c r="M242" s="723">
        <f t="shared" si="56"/>
        <v>0</v>
      </c>
      <c r="N242" s="723">
        <f t="shared" si="52"/>
        <v>0</v>
      </c>
      <c r="O242" s="723">
        <f t="shared" si="53"/>
        <v>0</v>
      </c>
      <c r="P242" s="723">
        <f t="shared" si="54"/>
        <v>0</v>
      </c>
      <c r="Q242" s="732">
        <f t="shared" si="55"/>
        <v>0</v>
      </c>
    </row>
    <row r="243" spans="2:17" x14ac:dyDescent="0.25">
      <c r="B243" s="660" t="s">
        <v>537</v>
      </c>
      <c r="C243" s="717">
        <f ca="1">'4.1.Summary'!J169</f>
        <v>764.13027901514261</v>
      </c>
      <c r="D243" s="717">
        <f ca="1">'4.1.Summary'!K169</f>
        <v>803.2181020283175</v>
      </c>
      <c r="E243" s="717">
        <f ca="1">'4.1.Summary'!L169</f>
        <v>855.78057627124133</v>
      </c>
      <c r="F243" s="717">
        <f ca="1">'4.1.Summary'!M169</f>
        <v>900.66803486883509</v>
      </c>
      <c r="G243" s="730">
        <f ca="1">'4.1.Summary'!N169</f>
        <v>5.6328782633731311E-2</v>
      </c>
      <c r="L243" s="660" t="s">
        <v>537</v>
      </c>
      <c r="M243" s="717">
        <f t="shared" ca="1" si="56"/>
        <v>764.13027901514261</v>
      </c>
      <c r="N243" s="717">
        <f t="shared" ca="1" si="52"/>
        <v>803.2181020283175</v>
      </c>
      <c r="O243" s="717">
        <f t="shared" ca="1" si="53"/>
        <v>855.78057627124133</v>
      </c>
      <c r="P243" s="717">
        <f t="shared" ca="1" si="54"/>
        <v>900.66803486883509</v>
      </c>
      <c r="Q243" s="730">
        <f t="shared" ca="1" si="55"/>
        <v>5.6328782633731311E-2</v>
      </c>
    </row>
    <row r="244" spans="2:17" x14ac:dyDescent="0.25">
      <c r="B244" s="663" t="s">
        <v>538</v>
      </c>
      <c r="C244" s="736">
        <f ca="1">'4.1.Summary'!J170</f>
        <v>6.3827142186471911E-2</v>
      </c>
      <c r="D244" s="736">
        <f ca="1">'4.1.Summary'!K170</f>
        <v>6.3914348492320375E-2</v>
      </c>
      <c r="E244" s="736">
        <f ca="1">'4.1.Summary'!L170</f>
        <v>6.485418479991302E-2</v>
      </c>
      <c r="F244" s="736">
        <f ca="1">'4.1.Summary'!M170</f>
        <v>6.500563879104862E-2</v>
      </c>
      <c r="G244" s="726">
        <f ca="1">'4.1.Summary'!N170</f>
        <v>6.1171306127836278E-3</v>
      </c>
      <c r="L244" s="663" t="s">
        <v>538</v>
      </c>
      <c r="M244" s="736">
        <f t="shared" ca="1" si="56"/>
        <v>6.3827142186471911E-2</v>
      </c>
      <c r="N244" s="736">
        <f t="shared" ca="1" si="52"/>
        <v>6.3914348492320375E-2</v>
      </c>
      <c r="O244" s="736">
        <f t="shared" ca="1" si="53"/>
        <v>6.485418479991302E-2</v>
      </c>
      <c r="P244" s="736">
        <f t="shared" ca="1" si="54"/>
        <v>6.500563879104862E-2</v>
      </c>
      <c r="Q244" s="726">
        <f t="shared" ca="1" si="55"/>
        <v>6.1171306127836278E-3</v>
      </c>
    </row>
    <row r="245" spans="2:17" ht="5.25" customHeight="1" x14ac:dyDescent="0.25">
      <c r="B245" s="722"/>
      <c r="C245" s="709"/>
      <c r="D245" s="709"/>
      <c r="E245" s="709"/>
      <c r="F245" s="709"/>
      <c r="G245" s="726"/>
      <c r="L245" s="722"/>
      <c r="M245" s="723">
        <f t="shared" si="56"/>
        <v>0</v>
      </c>
      <c r="N245" s="723">
        <f t="shared" si="52"/>
        <v>0</v>
      </c>
      <c r="O245" s="723">
        <f t="shared" si="53"/>
        <v>0</v>
      </c>
      <c r="P245" s="723">
        <f t="shared" si="54"/>
        <v>0</v>
      </c>
      <c r="Q245" s="732">
        <f t="shared" si="55"/>
        <v>0</v>
      </c>
    </row>
    <row r="246" spans="2:17" x14ac:dyDescent="0.25">
      <c r="B246" s="710" t="s">
        <v>704</v>
      </c>
      <c r="C246" s="709">
        <f>'4.1.Summary'!J172</f>
        <v>0</v>
      </c>
      <c r="D246" s="709">
        <f>'4.1.Summary'!K172</f>
        <v>0</v>
      </c>
      <c r="E246" s="709">
        <f>'4.1.Summary'!L172</f>
        <v>0</v>
      </c>
      <c r="F246" s="709">
        <f>'4.1.Summary'!M172</f>
        <v>0</v>
      </c>
      <c r="G246" s="726">
        <f>'4.1.Summary'!N172</f>
        <v>0</v>
      </c>
      <c r="L246" s="655" t="s">
        <v>578</v>
      </c>
      <c r="M246" s="709">
        <f t="shared" si="56"/>
        <v>0</v>
      </c>
      <c r="N246" s="709">
        <f t="shared" si="52"/>
        <v>0</v>
      </c>
      <c r="O246" s="709">
        <f t="shared" si="53"/>
        <v>0</v>
      </c>
      <c r="P246" s="709">
        <f t="shared" si="54"/>
        <v>0</v>
      </c>
      <c r="Q246" s="726">
        <f t="shared" si="55"/>
        <v>0</v>
      </c>
    </row>
    <row r="247" spans="2:17" x14ac:dyDescent="0.25">
      <c r="B247" s="710" t="s">
        <v>705</v>
      </c>
      <c r="C247" s="709">
        <f>'4.1.Summary'!J173</f>
        <v>16.175816207251444</v>
      </c>
      <c r="D247" s="709">
        <f>'4.1.Summary'!K173</f>
        <v>0.18994999999999998</v>
      </c>
      <c r="E247" s="709">
        <f>'4.1.Summary'!L173</f>
        <v>2.3864115868997261E-4</v>
      </c>
      <c r="F247" s="709">
        <f>'4.1.Summary'!M173</f>
        <v>2.4332039709565835E-4</v>
      </c>
      <c r="G247" s="726">
        <f>'4.1.Summary'!N173</f>
        <v>-0.97531475524585365</v>
      </c>
      <c r="L247" s="655" t="s">
        <v>579</v>
      </c>
      <c r="M247" s="709">
        <f t="shared" si="56"/>
        <v>16.175816207251444</v>
      </c>
      <c r="N247" s="709">
        <f t="shared" si="52"/>
        <v>0.18994999999999998</v>
      </c>
      <c r="O247" s="709">
        <f t="shared" si="53"/>
        <v>2.3864115868997261E-4</v>
      </c>
      <c r="P247" s="709">
        <f t="shared" si="54"/>
        <v>2.4332039709565835E-4</v>
      </c>
      <c r="Q247" s="726">
        <f t="shared" si="55"/>
        <v>-0.97531475524585365</v>
      </c>
    </row>
    <row r="248" spans="2:17" x14ac:dyDescent="0.25">
      <c r="B248" s="710" t="s">
        <v>706</v>
      </c>
      <c r="C248" s="709">
        <f>'4.1.Summary'!J174</f>
        <v>0</v>
      </c>
      <c r="D248" s="709">
        <f>'4.1.Summary'!K174</f>
        <v>0</v>
      </c>
      <c r="E248" s="709">
        <f>'4.1.Summary'!L174</f>
        <v>0</v>
      </c>
      <c r="F248" s="709">
        <f>'4.1.Summary'!M174</f>
        <v>0</v>
      </c>
      <c r="G248" s="726">
        <f>'4.1.Summary'!N174</f>
        <v>0</v>
      </c>
      <c r="L248" s="655" t="s">
        <v>580</v>
      </c>
      <c r="M248" s="709">
        <f t="shared" si="56"/>
        <v>0</v>
      </c>
      <c r="N248" s="709">
        <f t="shared" si="52"/>
        <v>0</v>
      </c>
      <c r="O248" s="709">
        <f t="shared" si="53"/>
        <v>0</v>
      </c>
      <c r="P248" s="709">
        <f t="shared" si="54"/>
        <v>0</v>
      </c>
      <c r="Q248" s="726">
        <f t="shared" si="55"/>
        <v>0</v>
      </c>
    </row>
    <row r="249" spans="2:17" x14ac:dyDescent="0.25">
      <c r="B249" s="710" t="s">
        <v>707</v>
      </c>
      <c r="C249" s="709">
        <f>'4.1.Summary'!J175</f>
        <v>0</v>
      </c>
      <c r="D249" s="709">
        <f>'4.1.Summary'!K175</f>
        <v>0</v>
      </c>
      <c r="E249" s="709">
        <f>'4.1.Summary'!L175</f>
        <v>0</v>
      </c>
      <c r="F249" s="709">
        <f>'4.1.Summary'!M175</f>
        <v>0</v>
      </c>
      <c r="G249" s="726">
        <f>'4.1.Summary'!N175</f>
        <v>0</v>
      </c>
      <c r="L249" s="655" t="s">
        <v>581</v>
      </c>
      <c r="M249" s="709">
        <f t="shared" si="56"/>
        <v>0</v>
      </c>
      <c r="N249" s="709">
        <f t="shared" si="52"/>
        <v>0</v>
      </c>
      <c r="O249" s="709">
        <f t="shared" si="53"/>
        <v>0</v>
      </c>
      <c r="P249" s="709">
        <f t="shared" si="54"/>
        <v>0</v>
      </c>
      <c r="Q249" s="726">
        <f t="shared" si="55"/>
        <v>0</v>
      </c>
    </row>
    <row r="250" spans="2:17" x14ac:dyDescent="0.25">
      <c r="B250" s="710" t="s">
        <v>708</v>
      </c>
      <c r="C250" s="709">
        <f>'4.1.Summary'!J176</f>
        <v>0</v>
      </c>
      <c r="D250" s="709">
        <f>'4.1.Summary'!K176</f>
        <v>0</v>
      </c>
      <c r="E250" s="709">
        <f>'4.1.Summary'!L176</f>
        <v>0</v>
      </c>
      <c r="F250" s="709">
        <f>'4.1.Summary'!M176</f>
        <v>0</v>
      </c>
      <c r="G250" s="726">
        <f>'4.1.Summary'!N176</f>
        <v>0</v>
      </c>
      <c r="L250" s="655" t="s">
        <v>582</v>
      </c>
      <c r="M250" s="709">
        <f t="shared" si="56"/>
        <v>0</v>
      </c>
      <c r="N250" s="709">
        <f t="shared" si="52"/>
        <v>0</v>
      </c>
      <c r="O250" s="709">
        <f t="shared" si="53"/>
        <v>0</v>
      </c>
      <c r="P250" s="709">
        <f t="shared" si="54"/>
        <v>0</v>
      </c>
      <c r="Q250" s="726">
        <f t="shared" si="55"/>
        <v>0</v>
      </c>
    </row>
    <row r="251" spans="2:17" x14ac:dyDescent="0.25">
      <c r="B251" s="718" t="s">
        <v>709</v>
      </c>
      <c r="C251" s="712">
        <f>'4.1.Summary'!J177</f>
        <v>1.4194210716607578</v>
      </c>
      <c r="D251" s="712">
        <f>'4.1.Summary'!K177</f>
        <v>1.4903921252437957</v>
      </c>
      <c r="E251" s="712">
        <f>'4.1.Summary'!L177</f>
        <v>1.5649117315059853</v>
      </c>
      <c r="F251" s="712">
        <f>'4.1.Summary'!M177</f>
        <v>1.6431573180812846</v>
      </c>
      <c r="G251" s="727">
        <f>'4.1.Summary'!N177</f>
        <v>5.0000000000000044E-2</v>
      </c>
      <c r="L251" s="711" t="s">
        <v>583</v>
      </c>
      <c r="M251" s="712">
        <f t="shared" si="56"/>
        <v>1.4194210716607578</v>
      </c>
      <c r="N251" s="712">
        <f t="shared" si="52"/>
        <v>1.4903921252437957</v>
      </c>
      <c r="O251" s="712">
        <f t="shared" si="53"/>
        <v>1.5649117315059853</v>
      </c>
      <c r="P251" s="712">
        <f t="shared" si="54"/>
        <v>1.6431573180812846</v>
      </c>
      <c r="Q251" s="727">
        <f t="shared" si="55"/>
        <v>5.0000000000000044E-2</v>
      </c>
    </row>
    <row r="252" spans="2:17" x14ac:dyDescent="0.25">
      <c r="B252" s="713" t="s">
        <v>545</v>
      </c>
      <c r="C252" s="714">
        <f>'4.1.Summary'!J178</f>
        <v>14.756395135590687</v>
      </c>
      <c r="D252" s="714">
        <f>'4.1.Summary'!K178</f>
        <v>-1.3004421252437957</v>
      </c>
      <c r="E252" s="714">
        <f>'4.1.Summary'!L178</f>
        <v>-1.5646730903472954</v>
      </c>
      <c r="F252" s="714">
        <f>'4.1.Summary'!M178</f>
        <v>-1.6429139976841889</v>
      </c>
      <c r="G252" s="728">
        <f>'4.1.Summary'!N178</f>
        <v>-1.4810735925836092</v>
      </c>
      <c r="L252" s="713" t="s">
        <v>584</v>
      </c>
      <c r="M252" s="714">
        <f t="shared" si="56"/>
        <v>14.756395135590687</v>
      </c>
      <c r="N252" s="714">
        <f t="shared" si="52"/>
        <v>-1.3004421252437957</v>
      </c>
      <c r="O252" s="714">
        <f t="shared" si="53"/>
        <v>-1.5646730903472954</v>
      </c>
      <c r="P252" s="714">
        <f t="shared" si="54"/>
        <v>-1.6429139976841889</v>
      </c>
      <c r="Q252" s="728">
        <f t="shared" si="55"/>
        <v>-1.4810735925836092</v>
      </c>
    </row>
    <row r="253" spans="2:17" x14ac:dyDescent="0.25">
      <c r="B253" s="710" t="s">
        <v>546</v>
      </c>
      <c r="C253" s="709">
        <f ca="1">'4.1.Summary'!J179</f>
        <v>749.37388387955195</v>
      </c>
      <c r="D253" s="709">
        <f ca="1">'4.1.Summary'!K179</f>
        <v>804.51854415356127</v>
      </c>
      <c r="E253" s="709">
        <f ca="1">'4.1.Summary'!L179</f>
        <v>857.34524936158857</v>
      </c>
      <c r="F253" s="709">
        <f ca="1">'4.1.Summary'!M179</f>
        <v>902.31094886651931</v>
      </c>
      <c r="G253" s="726">
        <f ca="1">'4.1.Summary'!N179</f>
        <v>6.3863456486968673E-2</v>
      </c>
      <c r="L253" s="710" t="s">
        <v>546</v>
      </c>
      <c r="M253" s="709">
        <f t="shared" ca="1" si="56"/>
        <v>749.37388387955195</v>
      </c>
      <c r="N253" s="709">
        <f t="shared" ca="1" si="52"/>
        <v>804.51854415356127</v>
      </c>
      <c r="O253" s="709">
        <f t="shared" ca="1" si="53"/>
        <v>857.34524936158857</v>
      </c>
      <c r="P253" s="709">
        <f t="shared" ca="1" si="54"/>
        <v>902.31094886651931</v>
      </c>
      <c r="Q253" s="726">
        <f t="shared" ca="1" si="55"/>
        <v>6.3863456486968673E-2</v>
      </c>
    </row>
    <row r="254" spans="2:17" x14ac:dyDescent="0.25">
      <c r="B254" s="710" t="s">
        <v>547</v>
      </c>
      <c r="C254" s="735">
        <f ca="1">'4.1.Summary'!J180</f>
        <v>6.259455324667354E-2</v>
      </c>
      <c r="D254" s="735">
        <f ca="1">'4.1.Summary'!K180</f>
        <v>6.4017828370297528E-2</v>
      </c>
      <c r="E254" s="735">
        <f ca="1">'4.1.Summary'!L180</f>
        <v>6.4972761454450995E-2</v>
      </c>
      <c r="F254" s="735">
        <f ca="1">'4.1.Summary'!M180</f>
        <v>6.5124215969058236E-2</v>
      </c>
      <c r="G254" s="726">
        <f ca="1">'4.1.Summary'!N180</f>
        <v>1.3293650425508341E-2</v>
      </c>
      <c r="L254" s="710" t="s">
        <v>547</v>
      </c>
      <c r="M254" s="735">
        <f t="shared" ca="1" si="56"/>
        <v>6.259455324667354E-2</v>
      </c>
      <c r="N254" s="735">
        <f t="shared" ca="1" si="52"/>
        <v>6.4017828370297528E-2</v>
      </c>
      <c r="O254" s="735">
        <f t="shared" ca="1" si="53"/>
        <v>6.4972761454450995E-2</v>
      </c>
      <c r="P254" s="735">
        <f t="shared" ca="1" si="54"/>
        <v>6.5124215969058236E-2</v>
      </c>
      <c r="Q254" s="726">
        <f t="shared" ca="1" si="55"/>
        <v>1.3293650425508341E-2</v>
      </c>
    </row>
    <row r="255" spans="2:17" x14ac:dyDescent="0.25">
      <c r="B255" s="710" t="s">
        <v>548</v>
      </c>
      <c r="C255" s="709">
        <f ca="1">'4.1.Summary'!J181</f>
        <v>119.89982142072832</v>
      </c>
      <c r="D255" s="709">
        <f ca="1">'4.1.Summary'!K181</f>
        <v>128.72296706456981</v>
      </c>
      <c r="E255" s="709">
        <f ca="1">'4.1.Summary'!L181</f>
        <v>137.17523989785417</v>
      </c>
      <c r="F255" s="709">
        <f ca="1">'4.1.Summary'!M181</f>
        <v>144.3697518186431</v>
      </c>
      <c r="G255" s="726">
        <f ca="1">'4.1.Summary'!N181</f>
        <v>6.3863456486968673E-2</v>
      </c>
      <c r="L255" s="710" t="s">
        <v>585</v>
      </c>
      <c r="M255" s="709">
        <f t="shared" ca="1" si="56"/>
        <v>119.89982142072832</v>
      </c>
      <c r="N255" s="709">
        <f t="shared" ca="1" si="52"/>
        <v>128.72296706456981</v>
      </c>
      <c r="O255" s="709">
        <f t="shared" ca="1" si="53"/>
        <v>137.17523989785417</v>
      </c>
      <c r="P255" s="709">
        <f t="shared" ca="1" si="54"/>
        <v>144.3697518186431</v>
      </c>
      <c r="Q255" s="726">
        <f t="shared" ca="1" si="55"/>
        <v>6.3863456486968673E-2</v>
      </c>
    </row>
    <row r="256" spans="2:17" x14ac:dyDescent="0.25">
      <c r="B256" s="660" t="s">
        <v>549</v>
      </c>
      <c r="C256" s="717">
        <f ca="1">'4.1.Summary'!J182</f>
        <v>629.4740624588236</v>
      </c>
      <c r="D256" s="717">
        <f ca="1">'4.1.Summary'!K182</f>
        <v>675.79557708899142</v>
      </c>
      <c r="E256" s="717">
        <f ca="1">'4.1.Summary'!L182</f>
        <v>720.17000946373446</v>
      </c>
      <c r="F256" s="717">
        <f ca="1">'4.1.Summary'!M182</f>
        <v>757.94119704787624</v>
      </c>
      <c r="G256" s="730">
        <f ca="1">'4.1.Summary'!N182</f>
        <v>6.3863456486968673E-2</v>
      </c>
      <c r="L256" s="660" t="s">
        <v>549</v>
      </c>
      <c r="M256" s="717">
        <f t="shared" ca="1" si="56"/>
        <v>629.4740624588236</v>
      </c>
      <c r="N256" s="717">
        <f t="shared" ca="1" si="52"/>
        <v>675.79557708899142</v>
      </c>
      <c r="O256" s="717">
        <f t="shared" ca="1" si="53"/>
        <v>720.17000946373446</v>
      </c>
      <c r="P256" s="717">
        <f t="shared" ca="1" si="54"/>
        <v>757.94119704787624</v>
      </c>
      <c r="Q256" s="730">
        <f t="shared" ca="1" si="55"/>
        <v>6.3863456486968673E-2</v>
      </c>
    </row>
    <row r="257" spans="2:17" ht="13.8" thickBot="1" x14ac:dyDescent="0.3">
      <c r="B257" s="666" t="s">
        <v>550</v>
      </c>
      <c r="C257" s="734">
        <f ca="1">'4.1.Summary'!J183</f>
        <v>5.2579424727205774E-2</v>
      </c>
      <c r="D257" s="734">
        <f ca="1">'4.1.Summary'!K183</f>
        <v>5.3774975831049919E-2</v>
      </c>
      <c r="E257" s="734">
        <f ca="1">'4.1.Summary'!L183</f>
        <v>5.4577119621738848E-2</v>
      </c>
      <c r="F257" s="734">
        <f ca="1">'4.1.Summary'!M183</f>
        <v>5.4704341414008921E-2</v>
      </c>
      <c r="G257" s="733">
        <f ca="1">'4.1.Summary'!N183</f>
        <v>1.3293650425508341E-2</v>
      </c>
      <c r="L257" s="666" t="s">
        <v>550</v>
      </c>
      <c r="M257" s="734">
        <f t="shared" ca="1" si="56"/>
        <v>5.2579424727205774E-2</v>
      </c>
      <c r="N257" s="734">
        <f t="shared" ca="1" si="52"/>
        <v>5.3774975831049919E-2</v>
      </c>
      <c r="O257" s="734">
        <f t="shared" ca="1" si="53"/>
        <v>5.4577119621738848E-2</v>
      </c>
      <c r="P257" s="734">
        <f t="shared" ca="1" si="54"/>
        <v>5.4704341414008921E-2</v>
      </c>
      <c r="Q257" s="733">
        <f t="shared" ca="1" si="55"/>
        <v>1.3293650425508341E-2</v>
      </c>
    </row>
    <row r="259" spans="2:17" x14ac:dyDescent="0.25">
      <c r="C259" t="s">
        <v>404</v>
      </c>
      <c r="D259" t="s">
        <v>405</v>
      </c>
      <c r="E259" t="s">
        <v>406</v>
      </c>
      <c r="F259" t="s">
        <v>407</v>
      </c>
      <c r="M259" t="s">
        <v>404</v>
      </c>
      <c r="N259" t="s">
        <v>405</v>
      </c>
      <c r="O259" t="s">
        <v>406</v>
      </c>
      <c r="P259" t="s">
        <v>407</v>
      </c>
    </row>
    <row r="261" spans="2:17" x14ac:dyDescent="0.25">
      <c r="B261" t="s">
        <v>711</v>
      </c>
      <c r="C261" s="682">
        <f>'4.1.Summary'!J311</f>
        <v>0.24953682413476119</v>
      </c>
      <c r="D261" s="682">
        <f>'4.1.Summary'!K311</f>
        <v>0.28008357329608535</v>
      </c>
      <c r="E261" s="682">
        <f>'4.1.Summary'!L311</f>
        <v>0.29408775196088971</v>
      </c>
      <c r="F261" s="682">
        <f>'4.1.Summary'!M311</f>
        <v>0.3087921395589342</v>
      </c>
      <c r="L261" t="str">
        <f>'4.1.Summary'!D311</f>
        <v>Salaries, wages and related costs</v>
      </c>
      <c r="M261" s="682">
        <f>C261</f>
        <v>0.24953682413476119</v>
      </c>
      <c r="N261" s="682">
        <f t="shared" ref="N261:N264" si="57">D261</f>
        <v>0.28008357329608535</v>
      </c>
      <c r="O261" s="682">
        <f t="shared" ref="O261:O264" si="58">E261</f>
        <v>0.29408775196088971</v>
      </c>
      <c r="P261" s="682">
        <f t="shared" ref="P261:P264" si="59">F261</f>
        <v>0.3087921395589342</v>
      </c>
    </row>
    <row r="262" spans="2:17" x14ac:dyDescent="0.25">
      <c r="B262" t="s">
        <v>459</v>
      </c>
      <c r="C262" s="682">
        <f>'4.1.Summary'!J312</f>
        <v>6.9087134053006185</v>
      </c>
      <c r="D262" s="682">
        <f>'4.1.Summary'!K312</f>
        <v>7.2541490755656497</v>
      </c>
      <c r="E262" s="682">
        <f>'4.1.Summary'!L312</f>
        <v>7.6168565293439316</v>
      </c>
      <c r="F262" s="682">
        <f>'4.1.Summary'!M312</f>
        <v>7.997699355811128</v>
      </c>
      <c r="L262" t="str">
        <f>'4.1.Summary'!D312</f>
        <v>Raw materials</v>
      </c>
      <c r="M262" s="682">
        <f t="shared" ref="M262:M264" si="60">C262</f>
        <v>6.9087134053006185</v>
      </c>
      <c r="N262" s="682">
        <f t="shared" si="57"/>
        <v>7.2541490755656497</v>
      </c>
      <c r="O262" s="682">
        <f t="shared" si="58"/>
        <v>7.6168565293439316</v>
      </c>
      <c r="P262" s="682">
        <f t="shared" si="59"/>
        <v>7.997699355811128</v>
      </c>
    </row>
    <row r="263" spans="2:17" x14ac:dyDescent="0.25">
      <c r="B263" t="s">
        <v>460</v>
      </c>
      <c r="C263" s="682">
        <f>'4.1.Summary'!J313</f>
        <v>0.18632005414109615</v>
      </c>
      <c r="D263" s="682">
        <f>'4.1.Summary'!K313</f>
        <v>0.19563605684815097</v>
      </c>
      <c r="E263" s="682">
        <f>'4.1.Summary'!L313</f>
        <v>0.20541785969055848</v>
      </c>
      <c r="F263" s="682">
        <f>'4.1.Summary'!M313</f>
        <v>0.21568875267508641</v>
      </c>
      <c r="L263" t="str">
        <f>'4.1.Summary'!D313</f>
        <v>Consumables</v>
      </c>
      <c r="M263" s="682">
        <f t="shared" si="60"/>
        <v>0.18632005414109615</v>
      </c>
      <c r="N263" s="682">
        <f t="shared" si="57"/>
        <v>0.19563605684815097</v>
      </c>
      <c r="O263" s="682">
        <f t="shared" si="58"/>
        <v>0.20541785969055848</v>
      </c>
      <c r="P263" s="682">
        <f t="shared" si="59"/>
        <v>0.21568875267508641</v>
      </c>
    </row>
    <row r="264" spans="2:17" x14ac:dyDescent="0.25">
      <c r="B264" t="s">
        <v>462</v>
      </c>
      <c r="C264" s="682">
        <f>'4.1.Summary'!J314</f>
        <v>3.8284123528029412</v>
      </c>
      <c r="D264" s="682">
        <f>'4.1.Summary'!K314</f>
        <v>4.0198329704430895</v>
      </c>
      <c r="E264" s="682">
        <f>'4.1.Summary'!L314</f>
        <v>4.2208246189652421</v>
      </c>
      <c r="F264" s="682">
        <f>'4.1.Summary'!M314</f>
        <v>4.431865849913506</v>
      </c>
      <c r="L264" t="str">
        <f>'4.1.Summary'!D314</f>
        <v>Other operating expenses</v>
      </c>
      <c r="M264" s="682">
        <f t="shared" si="60"/>
        <v>3.8284123528029412</v>
      </c>
      <c r="N264" s="682">
        <f t="shared" si="57"/>
        <v>4.0198329704430895</v>
      </c>
      <c r="O264" s="682">
        <f t="shared" si="58"/>
        <v>4.2208246189652421</v>
      </c>
      <c r="P264" s="682">
        <f t="shared" si="59"/>
        <v>4.431865849913506</v>
      </c>
    </row>
    <row r="265" spans="2:17" x14ac:dyDescent="0.25">
      <c r="L265" t="s">
        <v>501</v>
      </c>
      <c r="M265" s="682">
        <f>SUM(M261:M264)</f>
        <v>11.172982636379418</v>
      </c>
      <c r="N265" s="682">
        <f t="shared" ref="N265:P265" si="61">SUM(N261:N264)</f>
        <v>11.749701676152975</v>
      </c>
      <c r="O265" s="682">
        <f t="shared" si="61"/>
        <v>12.337186759960622</v>
      </c>
      <c r="P265" s="682">
        <f t="shared" si="61"/>
        <v>12.954046097958656</v>
      </c>
    </row>
    <row r="266" spans="2:17" x14ac:dyDescent="0.25">
      <c r="L266" t="s">
        <v>717</v>
      </c>
      <c r="M266" s="682">
        <f>'4.1.Summary'!J163/1000</f>
        <v>11.172982636379416</v>
      </c>
      <c r="N266" s="682">
        <f>'4.1.Summary'!K163/1000</f>
        <v>11.749701676152975</v>
      </c>
      <c r="O266" s="682">
        <f>'4.1.Summary'!L163/1000</f>
        <v>12.337186759960622</v>
      </c>
      <c r="P266" s="682">
        <f>'4.1.Summary'!M163/1000</f>
        <v>12.954046097958654</v>
      </c>
    </row>
    <row r="267" spans="2:17" x14ac:dyDescent="0.25">
      <c r="L267" t="s">
        <v>718</v>
      </c>
      <c r="M267" s="682">
        <f>M265-M266</f>
        <v>0</v>
      </c>
      <c r="N267" s="682">
        <f t="shared" ref="N267:P267" si="62">N265-N266</f>
        <v>0</v>
      </c>
      <c r="O267" s="682">
        <f t="shared" si="62"/>
        <v>0</v>
      </c>
      <c r="P267" s="682">
        <f t="shared" si="62"/>
        <v>0</v>
      </c>
    </row>
    <row r="268" spans="2:17" x14ac:dyDescent="0.25">
      <c r="C268" t="s">
        <v>404</v>
      </c>
      <c r="D268" t="s">
        <v>405</v>
      </c>
      <c r="E268" t="s">
        <v>406</v>
      </c>
      <c r="F268" t="s">
        <v>407</v>
      </c>
      <c r="M268" t="s">
        <v>404</v>
      </c>
      <c r="N268" t="s">
        <v>405</v>
      </c>
      <c r="O268" t="s">
        <v>406</v>
      </c>
      <c r="P268" t="s">
        <v>407</v>
      </c>
    </row>
    <row r="270" spans="2:17" x14ac:dyDescent="0.25">
      <c r="B270" s="583" t="s">
        <v>57</v>
      </c>
      <c r="C270" s="682">
        <f>'4.1.Summary'!J317</f>
        <v>0.79888783813948061</v>
      </c>
      <c r="D270" s="682">
        <f ca="1">'4.1.Summary'!K317</f>
        <v>0.81739978033496841</v>
      </c>
      <c r="E270" s="682">
        <f ca="1">'4.1.Summary'!L317</f>
        <v>0.85826976935171839</v>
      </c>
      <c r="F270" s="682">
        <f ca="1">'4.1.Summary'!M317</f>
        <v>0.90118325781930253</v>
      </c>
      <c r="H270">
        <v>500</v>
      </c>
      <c r="L270" s="583" t="s">
        <v>57</v>
      </c>
      <c r="M270" s="683">
        <f>C270</f>
        <v>0.79888783813948061</v>
      </c>
      <c r="N270" s="683">
        <f t="shared" ref="N270:N273" ca="1" si="63">D270</f>
        <v>0.81739978033496841</v>
      </c>
      <c r="O270" s="683">
        <f t="shared" ref="O270:O273" ca="1" si="64">E270</f>
        <v>0.85826976935171839</v>
      </c>
      <c r="P270" s="683">
        <f t="shared" ref="P270:P273" ca="1" si="65">F270</f>
        <v>0.90118325781930253</v>
      </c>
      <c r="Q270" s="641">
        <f ca="1">((P270/M270)^(1/(2020-2017)))-1</f>
        <v>4.0980118380607777E-2</v>
      </c>
    </row>
    <row r="271" spans="2:17" x14ac:dyDescent="0.25">
      <c r="B271" s="583" t="s">
        <v>56</v>
      </c>
      <c r="C271" s="682">
        <f ca="1">'4.1.Summary'!J318</f>
        <v>0.76413027901514263</v>
      </c>
      <c r="D271" s="682">
        <f ca="1">'4.1.Summary'!K318</f>
        <v>0.80321810202831745</v>
      </c>
      <c r="E271" s="682">
        <f ca="1">'4.1.Summary'!L318</f>
        <v>0.85578057627124138</v>
      </c>
      <c r="F271" s="682">
        <f ca="1">'4.1.Summary'!M318</f>
        <v>0.90066803486883507</v>
      </c>
      <c r="H271">
        <v>2000</v>
      </c>
      <c r="L271" s="583" t="s">
        <v>56</v>
      </c>
      <c r="M271" s="683">
        <f t="shared" ref="M271:M273" ca="1" si="66">C271</f>
        <v>0.76413027901514263</v>
      </c>
      <c r="N271" s="683">
        <f t="shared" ca="1" si="63"/>
        <v>0.80321810202831745</v>
      </c>
      <c r="O271" s="683">
        <f t="shared" ca="1" si="64"/>
        <v>0.85578057627124138</v>
      </c>
      <c r="P271" s="683">
        <f t="shared" ca="1" si="65"/>
        <v>0.90066803486883507</v>
      </c>
    </row>
    <row r="272" spans="2:17" x14ac:dyDescent="0.25">
      <c r="B272" s="583" t="s">
        <v>398</v>
      </c>
      <c r="C272" s="684">
        <f>'4.1.Summary'!J319</f>
        <v>6.6730411078189084E-2</v>
      </c>
      <c r="D272" s="684">
        <f ca="1">'4.1.Summary'!K319</f>
        <v>6.5042824963665286E-2</v>
      </c>
      <c r="E272" s="684">
        <f ca="1">'4.1.Summary'!L319</f>
        <v>6.504282496366541E-2</v>
      </c>
      <c r="F272" s="684">
        <f ca="1">'4.1.Summary'!M319</f>
        <v>6.5042824963665272E-2</v>
      </c>
      <c r="L272" s="583" t="s">
        <v>398</v>
      </c>
      <c r="M272" s="684">
        <f t="shared" si="66"/>
        <v>6.6730411078189084E-2</v>
      </c>
      <c r="N272" s="684">
        <f t="shared" ca="1" si="63"/>
        <v>6.5042824963665286E-2</v>
      </c>
      <c r="O272" s="684">
        <f t="shared" ca="1" si="64"/>
        <v>6.504282496366541E-2</v>
      </c>
      <c r="P272" s="684">
        <f t="shared" ca="1" si="65"/>
        <v>6.5042824963665272E-2</v>
      </c>
    </row>
    <row r="273" spans="2:17" x14ac:dyDescent="0.25">
      <c r="B273" s="583" t="s">
        <v>399</v>
      </c>
      <c r="C273" s="684">
        <f ca="1">'4.1.Summary'!J320</f>
        <v>6.3827142186471911E-2</v>
      </c>
      <c r="D273" s="684">
        <f ca="1">'4.1.Summary'!K320</f>
        <v>6.3914348492320375E-2</v>
      </c>
      <c r="E273" s="684">
        <f ca="1">'4.1.Summary'!L320</f>
        <v>6.485418479991302E-2</v>
      </c>
      <c r="F273" s="684">
        <f ca="1">'4.1.Summary'!M320</f>
        <v>6.500563879104862E-2</v>
      </c>
      <c r="L273" s="583" t="s">
        <v>399</v>
      </c>
      <c r="M273" s="684">
        <f t="shared" ca="1" si="66"/>
        <v>6.3827142186471911E-2</v>
      </c>
      <c r="N273" s="684">
        <f t="shared" ca="1" si="63"/>
        <v>6.3914348492320375E-2</v>
      </c>
      <c r="O273" s="684">
        <f t="shared" ca="1" si="64"/>
        <v>6.485418479991302E-2</v>
      </c>
      <c r="P273" s="684">
        <f t="shared" ca="1" si="65"/>
        <v>6.500563879104862E-2</v>
      </c>
    </row>
    <row r="275" spans="2:17" x14ac:dyDescent="0.25">
      <c r="B275" s="773" t="s">
        <v>712</v>
      </c>
      <c r="C275" s="774"/>
      <c r="D275" s="774"/>
      <c r="E275" s="774"/>
      <c r="F275" s="774"/>
      <c r="G275" s="775"/>
      <c r="H275" s="776"/>
      <c r="I275" s="776"/>
      <c r="J275" s="776"/>
      <c r="K275" s="776"/>
      <c r="L275" s="773" t="s">
        <v>714</v>
      </c>
      <c r="M275" s="774"/>
      <c r="N275" s="774"/>
      <c r="O275" s="774"/>
      <c r="P275" s="774"/>
      <c r="Q275" s="775"/>
    </row>
    <row r="276" spans="2:17" ht="20.399999999999999" x14ac:dyDescent="0.2">
      <c r="B276" s="777" t="s">
        <v>713</v>
      </c>
      <c r="C276" s="778" t="s">
        <v>412</v>
      </c>
      <c r="D276" s="778" t="s">
        <v>411</v>
      </c>
      <c r="E276" s="778" t="s">
        <v>410</v>
      </c>
      <c r="F276" s="778" t="s">
        <v>409</v>
      </c>
      <c r="G276" s="779" t="s">
        <v>408</v>
      </c>
      <c r="H276" s="776"/>
      <c r="I276" s="776"/>
      <c r="J276" s="776"/>
      <c r="K276" s="776"/>
      <c r="L276" s="777" t="s">
        <v>255</v>
      </c>
      <c r="M276" s="778" t="s">
        <v>412</v>
      </c>
      <c r="N276" s="778" t="s">
        <v>411</v>
      </c>
      <c r="O276" s="778" t="s">
        <v>410</v>
      </c>
      <c r="P276" s="778" t="s">
        <v>409</v>
      </c>
      <c r="Q276" s="779" t="s">
        <v>408</v>
      </c>
    </row>
    <row r="277" spans="2:17" x14ac:dyDescent="0.25">
      <c r="B277" s="780" t="s">
        <v>629</v>
      </c>
      <c r="C277" s="781">
        <f>M277</f>
        <v>1.1904886468406277</v>
      </c>
      <c r="D277" s="781">
        <f t="shared" ref="D277:D318" si="67">N277</f>
        <v>1.1904886468406277</v>
      </c>
      <c r="E277" s="781">
        <f t="shared" ref="E277:E318" si="68">O277</f>
        <v>1.1904886468406277</v>
      </c>
      <c r="F277" s="781">
        <f t="shared" ref="F277:F318" si="69">P277</f>
        <v>1.1904886468406277</v>
      </c>
      <c r="G277" s="795">
        <f t="shared" ref="G277:G318" si="70">Q277</f>
        <v>0</v>
      </c>
      <c r="H277" s="776"/>
      <c r="I277" s="776"/>
      <c r="J277" s="776"/>
      <c r="K277" s="776"/>
      <c r="L277" s="780" t="s">
        <v>587</v>
      </c>
      <c r="M277" s="781">
        <f>'4.1.Summary'!J189</f>
        <v>1.1904886468406277</v>
      </c>
      <c r="N277" s="781">
        <f>'4.1.Summary'!K189</f>
        <v>1.1904886468406277</v>
      </c>
      <c r="O277" s="781">
        <f>'4.1.Summary'!L189</f>
        <v>1.1904886468406277</v>
      </c>
      <c r="P277" s="781">
        <f>'4.1.Summary'!M189</f>
        <v>1.1904886468406277</v>
      </c>
      <c r="Q277" s="795">
        <f>'4.1.Summary'!N189</f>
        <v>0</v>
      </c>
    </row>
    <row r="278" spans="2:17" x14ac:dyDescent="0.25">
      <c r="B278" s="782" t="s">
        <v>630</v>
      </c>
      <c r="C278" s="783">
        <f t="shared" ref="C278:C318" ca="1" si="71">M278</f>
        <v>47.646898518407262</v>
      </c>
      <c r="D278" s="783">
        <f t="shared" ca="1" si="67"/>
        <v>33.465220211756353</v>
      </c>
      <c r="E278" s="783">
        <f t="shared" ca="1" si="68"/>
        <v>30.976027131279295</v>
      </c>
      <c r="F278" s="783">
        <f t="shared" ca="1" si="69"/>
        <v>30.460804180811905</v>
      </c>
      <c r="G278" s="796">
        <f t="shared" ca="1" si="70"/>
        <v>-0.19370207929156225</v>
      </c>
      <c r="H278" s="776"/>
      <c r="I278" s="776"/>
      <c r="J278" s="776"/>
      <c r="K278" s="776"/>
      <c r="L278" s="782" t="s">
        <v>588</v>
      </c>
      <c r="M278" s="783">
        <f ca="1">'4.1.Summary'!J193</f>
        <v>47.646898518407262</v>
      </c>
      <c r="N278" s="783">
        <f ca="1">'4.1.Summary'!K193</f>
        <v>33.465220211756353</v>
      </c>
      <c r="O278" s="783">
        <f ca="1">'4.1.Summary'!L193</f>
        <v>30.976027131279295</v>
      </c>
      <c r="P278" s="783">
        <f ca="1">'4.1.Summary'!M193</f>
        <v>30.460804180811905</v>
      </c>
      <c r="Q278" s="796">
        <f ca="1">'4.1.Summary'!N193</f>
        <v>-0.19370207929156225</v>
      </c>
    </row>
    <row r="279" spans="2:17" x14ac:dyDescent="0.25">
      <c r="B279" s="793" t="s">
        <v>631</v>
      </c>
      <c r="C279" s="783">
        <f t="shared" si="71"/>
        <v>4.288256609275499</v>
      </c>
      <c r="D279" s="783">
        <f t="shared" si="67"/>
        <v>4.288256609275499</v>
      </c>
      <c r="E279" s="783">
        <f t="shared" si="68"/>
        <v>4.288256609275499</v>
      </c>
      <c r="F279" s="783">
        <f t="shared" si="69"/>
        <v>4.288256609275499</v>
      </c>
      <c r="G279" s="796">
        <f t="shared" si="70"/>
        <v>0</v>
      </c>
      <c r="H279" s="776"/>
      <c r="I279" s="776"/>
      <c r="J279" s="776"/>
      <c r="K279" s="776"/>
      <c r="L279" s="793" t="s">
        <v>589</v>
      </c>
      <c r="M279" s="783">
        <f>'4.1.Summary'!J194</f>
        <v>4.288256609275499</v>
      </c>
      <c r="N279" s="783">
        <f>'4.1.Summary'!K194</f>
        <v>4.288256609275499</v>
      </c>
      <c r="O279" s="783">
        <f>'4.1.Summary'!L194</f>
        <v>4.288256609275499</v>
      </c>
      <c r="P279" s="783">
        <f>'4.1.Summary'!M194</f>
        <v>4.288256609275499</v>
      </c>
      <c r="Q279" s="796">
        <f>'4.1.Summary'!N194</f>
        <v>0</v>
      </c>
    </row>
    <row r="280" spans="2:17" x14ac:dyDescent="0.25">
      <c r="B280" s="793" t="s">
        <v>632</v>
      </c>
      <c r="C280" s="783">
        <f t="shared" si="71"/>
        <v>0</v>
      </c>
      <c r="D280" s="783">
        <f t="shared" si="67"/>
        <v>0</v>
      </c>
      <c r="E280" s="783">
        <f t="shared" si="68"/>
        <v>0</v>
      </c>
      <c r="F280" s="783">
        <f t="shared" si="69"/>
        <v>0</v>
      </c>
      <c r="G280" s="796">
        <f t="shared" si="70"/>
        <v>0</v>
      </c>
      <c r="H280" s="776"/>
      <c r="I280" s="776"/>
      <c r="J280" s="776"/>
      <c r="K280" s="776"/>
      <c r="L280" s="793" t="s">
        <v>590</v>
      </c>
      <c r="M280" s="783">
        <f>'4.1.Summary'!J195</f>
        <v>0</v>
      </c>
      <c r="N280" s="783">
        <f>'4.1.Summary'!K195</f>
        <v>0</v>
      </c>
      <c r="O280" s="783">
        <f>'4.1.Summary'!L195</f>
        <v>0</v>
      </c>
      <c r="P280" s="783">
        <f>'4.1.Summary'!M195</f>
        <v>0</v>
      </c>
      <c r="Q280" s="796">
        <f>'4.1.Summary'!N195</f>
        <v>0</v>
      </c>
    </row>
    <row r="281" spans="2:17" ht="13.5" customHeight="1" x14ac:dyDescent="0.25">
      <c r="B281" s="793" t="s">
        <v>633</v>
      </c>
      <c r="C281" s="783">
        <f t="shared" ca="1" si="71"/>
        <v>0.71337721649256025</v>
      </c>
      <c r="D281" s="783">
        <f t="shared" ca="1" si="67"/>
        <v>-12.17133536543502</v>
      </c>
      <c r="E281" s="783">
        <f t="shared" ca="1" si="68"/>
        <v>-14.455095975728348</v>
      </c>
      <c r="F281" s="783">
        <f t="shared" ca="1" si="69"/>
        <v>-14.970318926195738</v>
      </c>
      <c r="G281" s="796">
        <f t="shared" ca="1" si="70"/>
        <v>0</v>
      </c>
      <c r="H281" s="776"/>
      <c r="I281" s="776"/>
      <c r="J281" s="776"/>
      <c r="K281" s="776"/>
      <c r="L281" s="793" t="s">
        <v>591</v>
      </c>
      <c r="M281" s="783">
        <f ca="1">'4.1.Summary'!J196</f>
        <v>0.71337721649256025</v>
      </c>
      <c r="N281" s="783">
        <f ca="1">'4.1.Summary'!K196</f>
        <v>-12.17133536543502</v>
      </c>
      <c r="O281" s="783">
        <f ca="1">'4.1.Summary'!L196</f>
        <v>-14.455095975728348</v>
      </c>
      <c r="P281" s="783">
        <f ca="1">'4.1.Summary'!M196</f>
        <v>-14.970318926195738</v>
      </c>
      <c r="Q281" s="796">
        <f ca="1">'4.1.Summary'!N196</f>
        <v>0</v>
      </c>
    </row>
    <row r="282" spans="2:17" ht="20.399999999999999" x14ac:dyDescent="0.25">
      <c r="B282" s="793" t="s">
        <v>634</v>
      </c>
      <c r="C282" s="783">
        <f t="shared" si="71"/>
        <v>42.645264692639202</v>
      </c>
      <c r="D282" s="783">
        <f t="shared" si="67"/>
        <v>41.348298967915873</v>
      </c>
      <c r="E282" s="783">
        <f t="shared" si="68"/>
        <v>41.142866497732143</v>
      </c>
      <c r="F282" s="783">
        <f t="shared" si="69"/>
        <v>41.142866497732143</v>
      </c>
      <c r="G282" s="796">
        <f t="shared" si="70"/>
        <v>-1.7773004563046868E-2</v>
      </c>
      <c r="H282" s="776"/>
      <c r="I282" s="776"/>
      <c r="J282" s="776"/>
      <c r="K282" s="776"/>
      <c r="L282" s="793" t="s">
        <v>592</v>
      </c>
      <c r="M282" s="783">
        <f>'4.1.Summary'!J201</f>
        <v>42.645264692639202</v>
      </c>
      <c r="N282" s="783">
        <f>'4.1.Summary'!K201</f>
        <v>41.348298967915873</v>
      </c>
      <c r="O282" s="783">
        <f>'4.1.Summary'!L201</f>
        <v>41.142866497732143</v>
      </c>
      <c r="P282" s="783">
        <f>'4.1.Summary'!M201</f>
        <v>41.142866497732143</v>
      </c>
      <c r="Q282" s="796">
        <f>'4.1.Summary'!N201</f>
        <v>-1.7773004563046868E-2</v>
      </c>
    </row>
    <row r="283" spans="2:17" x14ac:dyDescent="0.25">
      <c r="B283" s="793" t="s">
        <v>635</v>
      </c>
      <c r="C283" s="783" t="e">
        <f t="shared" si="71"/>
        <v>#REF!</v>
      </c>
      <c r="D283" s="783" t="e">
        <f t="shared" si="67"/>
        <v>#REF!</v>
      </c>
      <c r="E283" s="783" t="e">
        <f t="shared" si="68"/>
        <v>#REF!</v>
      </c>
      <c r="F283" s="783" t="e">
        <f t="shared" si="69"/>
        <v>#REF!</v>
      </c>
      <c r="G283" s="796">
        <f t="shared" si="70"/>
        <v>0</v>
      </c>
      <c r="H283" s="776"/>
      <c r="I283" s="776"/>
      <c r="J283" s="776"/>
      <c r="K283" s="776"/>
      <c r="L283" s="793" t="s">
        <v>593</v>
      </c>
      <c r="M283" s="783" t="e">
        <f>'4.1.Summary'!J202</f>
        <v>#REF!</v>
      </c>
      <c r="N283" s="783" t="e">
        <f>'4.1.Summary'!K202</f>
        <v>#REF!</v>
      </c>
      <c r="O283" s="783" t="e">
        <f>'4.1.Summary'!L202</f>
        <v>#REF!</v>
      </c>
      <c r="P283" s="783" t="e">
        <f>'4.1.Summary'!M202</f>
        <v>#REF!</v>
      </c>
      <c r="Q283" s="796">
        <f>'4.1.Summary'!N202</f>
        <v>0</v>
      </c>
    </row>
    <row r="284" spans="2:17" x14ac:dyDescent="0.25">
      <c r="B284" s="794" t="s">
        <v>636</v>
      </c>
      <c r="C284" s="785">
        <f t="shared" si="71"/>
        <v>0</v>
      </c>
      <c r="D284" s="785">
        <f t="shared" si="67"/>
        <v>0</v>
      </c>
      <c r="E284" s="785">
        <f t="shared" si="68"/>
        <v>0</v>
      </c>
      <c r="F284" s="785">
        <f t="shared" si="69"/>
        <v>0</v>
      </c>
      <c r="G284" s="797">
        <f t="shared" si="70"/>
        <v>0</v>
      </c>
      <c r="H284" s="776"/>
      <c r="I284" s="776"/>
      <c r="J284" s="776"/>
      <c r="K284" s="776"/>
      <c r="L284" s="794" t="s">
        <v>594</v>
      </c>
      <c r="M284" s="785">
        <f>'4.1.Summary'!J203</f>
        <v>0</v>
      </c>
      <c r="N284" s="785">
        <f>'4.1.Summary'!K203</f>
        <v>0</v>
      </c>
      <c r="O284" s="785">
        <f>'4.1.Summary'!L203</f>
        <v>0</v>
      </c>
      <c r="P284" s="785">
        <f>'4.1.Summary'!M203</f>
        <v>0</v>
      </c>
      <c r="Q284" s="797">
        <f>'4.1.Summary'!N203</f>
        <v>0</v>
      </c>
    </row>
    <row r="285" spans="2:17" x14ac:dyDescent="0.25">
      <c r="B285" s="786" t="s">
        <v>637</v>
      </c>
      <c r="C285" s="787">
        <f t="shared" ca="1" si="71"/>
        <v>48.83738716524789</v>
      </c>
      <c r="D285" s="787">
        <f t="shared" ca="1" si="67"/>
        <v>34.655708858596981</v>
      </c>
      <c r="E285" s="787">
        <f t="shared" ca="1" si="68"/>
        <v>32.166515778119923</v>
      </c>
      <c r="F285" s="787">
        <f t="shared" ca="1" si="69"/>
        <v>31.651292827652533</v>
      </c>
      <c r="G285" s="798">
        <f t="shared" ca="1" si="70"/>
        <v>-0.18843034478144938</v>
      </c>
      <c r="H285" s="776"/>
      <c r="I285" s="776"/>
      <c r="J285" s="776"/>
      <c r="K285" s="776"/>
      <c r="L285" s="786" t="s">
        <v>595</v>
      </c>
      <c r="M285" s="787">
        <f ca="1">'4.1.Summary'!J209</f>
        <v>48.83738716524789</v>
      </c>
      <c r="N285" s="787">
        <f ca="1">'4.1.Summary'!K209</f>
        <v>34.655708858596981</v>
      </c>
      <c r="O285" s="787">
        <f ca="1">'4.1.Summary'!L209</f>
        <v>32.166515778119923</v>
      </c>
      <c r="P285" s="787">
        <f ca="1">'4.1.Summary'!M209</f>
        <v>31.651292827652533</v>
      </c>
      <c r="Q285" s="798">
        <f ca="1">'4.1.Summary'!N209</f>
        <v>-0.18843034478144938</v>
      </c>
    </row>
    <row r="286" spans="2:17" x14ac:dyDescent="0.25">
      <c r="B286" s="782" t="s">
        <v>638</v>
      </c>
      <c r="C286" s="783">
        <f t="shared" si="71"/>
        <v>2628.146953517381</v>
      </c>
      <c r="D286" s="783">
        <f t="shared" si="67"/>
        <v>2752.0145353429962</v>
      </c>
      <c r="E286" s="783">
        <f t="shared" si="68"/>
        <v>2897.5320162529129</v>
      </c>
      <c r="F286" s="783">
        <f t="shared" si="69"/>
        <v>3042.4086170655587</v>
      </c>
      <c r="G286" s="796">
        <f t="shared" si="70"/>
        <v>5.0000000000000044E-2</v>
      </c>
      <c r="H286" s="776"/>
      <c r="I286" s="776"/>
      <c r="J286" s="776"/>
      <c r="K286" s="776"/>
      <c r="L286" s="782" t="s">
        <v>596</v>
      </c>
      <c r="M286" s="783">
        <f>'4.1.Summary'!J211</f>
        <v>2628.146953517381</v>
      </c>
      <c r="N286" s="783">
        <f>'4.1.Summary'!K211</f>
        <v>2752.0145353429962</v>
      </c>
      <c r="O286" s="783">
        <f>'4.1.Summary'!L211</f>
        <v>2897.5320162529129</v>
      </c>
      <c r="P286" s="783">
        <f>'4.1.Summary'!M211</f>
        <v>3042.4086170655587</v>
      </c>
      <c r="Q286" s="796">
        <f>'4.1.Summary'!N211</f>
        <v>5.0000000000000044E-2</v>
      </c>
    </row>
    <row r="287" spans="2:17" x14ac:dyDescent="0.25">
      <c r="B287" s="782" t="s">
        <v>639</v>
      </c>
      <c r="C287" s="783">
        <f t="shared" si="71"/>
        <v>852.68340417454704</v>
      </c>
      <c r="D287" s="783">
        <f t="shared" si="67"/>
        <v>892.87135150244603</v>
      </c>
      <c r="E287" s="783">
        <f t="shared" si="68"/>
        <v>940.08345310243817</v>
      </c>
      <c r="F287" s="783">
        <f t="shared" si="69"/>
        <v>987.0876257575602</v>
      </c>
      <c r="G287" s="796">
        <f t="shared" si="70"/>
        <v>5.0000000000000044E-2</v>
      </c>
      <c r="H287" s="776"/>
      <c r="I287" s="776"/>
      <c r="J287" s="776"/>
      <c r="K287" s="776"/>
      <c r="L287" s="782" t="s">
        <v>597</v>
      </c>
      <c r="M287" s="783">
        <f>'4.1.Summary'!J213</f>
        <v>852.68340417454704</v>
      </c>
      <c r="N287" s="783">
        <f>'4.1.Summary'!K213</f>
        <v>892.87135150244603</v>
      </c>
      <c r="O287" s="783">
        <f>'4.1.Summary'!L213</f>
        <v>940.08345310243817</v>
      </c>
      <c r="P287" s="783">
        <f>'4.1.Summary'!M213</f>
        <v>987.0876257575602</v>
      </c>
      <c r="Q287" s="796">
        <f>'4.1.Summary'!N213</f>
        <v>5.0000000000000044E-2</v>
      </c>
    </row>
    <row r="288" spans="2:17" x14ac:dyDescent="0.25">
      <c r="B288" s="782" t="s">
        <v>640</v>
      </c>
      <c r="C288" s="783">
        <f t="shared" si="71"/>
        <v>277.80385420002875</v>
      </c>
      <c r="D288" s="783">
        <f t="shared" si="67"/>
        <v>290.89706863978427</v>
      </c>
      <c r="E288" s="783">
        <f t="shared" si="68"/>
        <v>306.27874925553169</v>
      </c>
      <c r="F288" s="783">
        <f t="shared" si="69"/>
        <v>321.59268671830836</v>
      </c>
      <c r="G288" s="796">
        <f t="shared" si="70"/>
        <v>5.0000000000000044E-2</v>
      </c>
      <c r="H288" s="776"/>
      <c r="I288" s="776"/>
      <c r="J288" s="776"/>
      <c r="K288" s="776"/>
      <c r="L288" s="782" t="s">
        <v>598</v>
      </c>
      <c r="M288" s="783">
        <f>'4.1.Summary'!J214</f>
        <v>277.80385420002875</v>
      </c>
      <c r="N288" s="783">
        <f>'4.1.Summary'!K214</f>
        <v>290.89706863978427</v>
      </c>
      <c r="O288" s="783">
        <f>'4.1.Summary'!L214</f>
        <v>306.27874925553169</v>
      </c>
      <c r="P288" s="783">
        <f>'4.1.Summary'!M214</f>
        <v>321.59268671830836</v>
      </c>
      <c r="Q288" s="796">
        <f>'4.1.Summary'!N214</f>
        <v>5.0000000000000044E-2</v>
      </c>
    </row>
    <row r="289" spans="2:17" x14ac:dyDescent="0.25">
      <c r="B289" s="782" t="s">
        <v>641</v>
      </c>
      <c r="C289" s="783">
        <f t="shared" si="71"/>
        <v>2519.2859041075876</v>
      </c>
      <c r="D289" s="783">
        <f t="shared" ca="1" si="67"/>
        <v>2638.022739752003</v>
      </c>
      <c r="E289" s="783">
        <f t="shared" ca="1" si="68"/>
        <v>2777.5127092786151</v>
      </c>
      <c r="F289" s="783">
        <f t="shared" ca="1" si="69"/>
        <v>2916.388344742546</v>
      </c>
      <c r="G289" s="796">
        <f t="shared" ca="1" si="70"/>
        <v>4.9999999999999822E-2</v>
      </c>
      <c r="H289" s="776"/>
      <c r="I289" s="776"/>
      <c r="J289" s="776"/>
      <c r="K289" s="776"/>
      <c r="L289" s="782" t="s">
        <v>599</v>
      </c>
      <c r="M289" s="783">
        <f>'4.1.Summary'!J215</f>
        <v>2519.2859041075876</v>
      </c>
      <c r="N289" s="783">
        <f ca="1">'4.1.Summary'!K215</f>
        <v>2638.022739752003</v>
      </c>
      <c r="O289" s="783">
        <f ca="1">'4.1.Summary'!L215</f>
        <v>2777.5127092786151</v>
      </c>
      <c r="P289" s="783">
        <f ca="1">'4.1.Summary'!M215</f>
        <v>2916.388344742546</v>
      </c>
      <c r="Q289" s="796">
        <f ca="1">'4.1.Summary'!N215</f>
        <v>4.9999999999999822E-2</v>
      </c>
    </row>
    <row r="290" spans="2:17" x14ac:dyDescent="0.25">
      <c r="B290" s="782" t="s">
        <v>642</v>
      </c>
      <c r="C290" s="783">
        <f t="shared" si="71"/>
        <v>180.14829337204424</v>
      </c>
      <c r="D290" s="783">
        <f t="shared" ca="1" si="67"/>
        <v>188.63888916621846</v>
      </c>
      <c r="E290" s="783">
        <f t="shared" ca="1" si="68"/>
        <v>198.61349344267876</v>
      </c>
      <c r="F290" s="783">
        <f t="shared" ca="1" si="69"/>
        <v>208.54416811481269</v>
      </c>
      <c r="G290" s="796">
        <f t="shared" ca="1" si="70"/>
        <v>5.0000000000000044E-2</v>
      </c>
      <c r="H290" s="776"/>
      <c r="I290" s="776"/>
      <c r="J290" s="776"/>
      <c r="K290" s="776"/>
      <c r="L290" s="782" t="s">
        <v>600</v>
      </c>
      <c r="M290" s="783">
        <f>'4.1.Summary'!J216</f>
        <v>180.14829337204424</v>
      </c>
      <c r="N290" s="783">
        <f ca="1">'4.1.Summary'!K216</f>
        <v>188.63888916621846</v>
      </c>
      <c r="O290" s="783">
        <f ca="1">'4.1.Summary'!L216</f>
        <v>198.61349344267876</v>
      </c>
      <c r="P290" s="783">
        <f ca="1">'4.1.Summary'!M216</f>
        <v>208.54416811481269</v>
      </c>
      <c r="Q290" s="796">
        <f ca="1">'4.1.Summary'!N216</f>
        <v>5.0000000000000044E-2</v>
      </c>
    </row>
    <row r="291" spans="2:17" x14ac:dyDescent="0.25">
      <c r="B291" s="782" t="s">
        <v>643</v>
      </c>
      <c r="C291" s="783">
        <f t="shared" si="71"/>
        <v>672.26699645175506</v>
      </c>
      <c r="D291" s="783">
        <f t="shared" ca="1" si="67"/>
        <v>703.95171144845665</v>
      </c>
      <c r="E291" s="783">
        <f t="shared" ca="1" si="68"/>
        <v>741.17436358805992</v>
      </c>
      <c r="F291" s="783">
        <f t="shared" ca="1" si="69"/>
        <v>778.23308176746298</v>
      </c>
      <c r="G291" s="796">
        <f t="shared" ca="1" si="70"/>
        <v>5.0000000000000044E-2</v>
      </c>
      <c r="H291" s="776"/>
      <c r="I291" s="776"/>
      <c r="J291" s="776"/>
      <c r="K291" s="776"/>
      <c r="L291" s="782" t="s">
        <v>601</v>
      </c>
      <c r="M291" s="783">
        <f>'4.1.Summary'!J218</f>
        <v>672.26699645175506</v>
      </c>
      <c r="N291" s="783">
        <f ca="1">'4.1.Summary'!K218</f>
        <v>703.95171144845665</v>
      </c>
      <c r="O291" s="783">
        <f ca="1">'4.1.Summary'!L218</f>
        <v>741.17436358805992</v>
      </c>
      <c r="P291" s="783">
        <f ca="1">'4.1.Summary'!M218</f>
        <v>778.23308176746298</v>
      </c>
      <c r="Q291" s="796">
        <f ca="1">'4.1.Summary'!N218</f>
        <v>5.0000000000000044E-2</v>
      </c>
    </row>
    <row r="292" spans="2:17" x14ac:dyDescent="0.25">
      <c r="B292" s="784" t="s">
        <v>644</v>
      </c>
      <c r="C292" s="785">
        <f t="shared" ca="1" si="71"/>
        <v>1419.3636002193971</v>
      </c>
      <c r="D292" s="785">
        <f t="shared" ca="1" si="67"/>
        <v>1702.969858507156</v>
      </c>
      <c r="E292" s="785">
        <f t="shared" ca="1" si="68"/>
        <v>2381.4340852068431</v>
      </c>
      <c r="F292" s="785">
        <f t="shared" ca="1" si="69"/>
        <v>3039.7447724879676</v>
      </c>
      <c r="G292" s="797">
        <f t="shared" ca="1" si="70"/>
        <v>0.29530621980231531</v>
      </c>
      <c r="H292" s="776"/>
      <c r="I292" s="776"/>
      <c r="J292" s="776"/>
      <c r="K292" s="776"/>
      <c r="L292" s="784" t="s">
        <v>602</v>
      </c>
      <c r="M292" s="785">
        <f ca="1">'4.1.Summary'!J220</f>
        <v>1419.3636002193971</v>
      </c>
      <c r="N292" s="785">
        <f ca="1">'4.1.Summary'!K220</f>
        <v>1702.969858507156</v>
      </c>
      <c r="O292" s="785">
        <f ca="1">'4.1.Summary'!L220</f>
        <v>2381.4340852068431</v>
      </c>
      <c r="P292" s="785">
        <f ca="1">'4.1.Summary'!M220</f>
        <v>3039.7447724879676</v>
      </c>
      <c r="Q292" s="797">
        <f ca="1">'4.1.Summary'!N220</f>
        <v>0.29530621980231531</v>
      </c>
    </row>
    <row r="293" spans="2:17" x14ac:dyDescent="0.25">
      <c r="B293" s="788" t="s">
        <v>645</v>
      </c>
      <c r="C293" s="789">
        <f t="shared" ca="1" si="71"/>
        <v>7419.2117476681651</v>
      </c>
      <c r="D293" s="789">
        <f t="shared" ca="1" si="67"/>
        <v>7985.5977342168298</v>
      </c>
      <c r="E293" s="789">
        <f t="shared" ca="1" si="68"/>
        <v>8996.2666677691104</v>
      </c>
      <c r="F293" s="789">
        <f t="shared" ca="1" si="69"/>
        <v>9985.3189841783478</v>
      </c>
      <c r="G293" s="799">
        <f t="shared" ca="1" si="70"/>
        <v>0.10116469055707089</v>
      </c>
      <c r="H293" s="776"/>
      <c r="I293" s="776"/>
      <c r="J293" s="776"/>
      <c r="K293" s="776"/>
      <c r="L293" s="788" t="s">
        <v>603</v>
      </c>
      <c r="M293" s="789">
        <f ca="1">'4.1.Summary'!J221</f>
        <v>7419.2117476681651</v>
      </c>
      <c r="N293" s="789">
        <f ca="1">'4.1.Summary'!K221</f>
        <v>7985.5977342168298</v>
      </c>
      <c r="O293" s="789">
        <f ca="1">'4.1.Summary'!L221</f>
        <v>8996.2666677691104</v>
      </c>
      <c r="P293" s="789">
        <f ca="1">'4.1.Summary'!M221</f>
        <v>9985.3189841783478</v>
      </c>
      <c r="Q293" s="799">
        <f ca="1">'4.1.Summary'!N221</f>
        <v>0.10116469055707089</v>
      </c>
    </row>
    <row r="294" spans="2:17" x14ac:dyDescent="0.25">
      <c r="B294" s="786" t="s">
        <v>646</v>
      </c>
      <c r="C294" s="787">
        <f t="shared" ca="1" si="71"/>
        <v>7468.0491348334126</v>
      </c>
      <c r="D294" s="787">
        <f t="shared" ca="1" si="67"/>
        <v>8020.2534430754267</v>
      </c>
      <c r="E294" s="787">
        <f t="shared" ca="1" si="68"/>
        <v>9028.4331835472312</v>
      </c>
      <c r="F294" s="787">
        <f t="shared" ca="1" si="69"/>
        <v>10016.970277006001</v>
      </c>
      <c r="G294" s="798">
        <f t="shared" ca="1" si="70"/>
        <v>9.9518676796157113E-2</v>
      </c>
      <c r="H294" s="776"/>
      <c r="I294" s="776"/>
      <c r="J294" s="776"/>
      <c r="K294" s="776"/>
      <c r="L294" s="786" t="s">
        <v>604</v>
      </c>
      <c r="M294" s="787">
        <f ca="1">'4.1.Summary'!J222</f>
        <v>7468.0491348334126</v>
      </c>
      <c r="N294" s="787">
        <f ca="1">'4.1.Summary'!K222</f>
        <v>8020.2534430754267</v>
      </c>
      <c r="O294" s="787">
        <f ca="1">'4.1.Summary'!L222</f>
        <v>9028.4331835472312</v>
      </c>
      <c r="P294" s="787">
        <f ca="1">'4.1.Summary'!M222</f>
        <v>10016.970277006001</v>
      </c>
      <c r="Q294" s="798">
        <f ca="1">'4.1.Summary'!N222</f>
        <v>9.9518676796157113E-2</v>
      </c>
    </row>
    <row r="295" spans="2:17" ht="5.25" customHeight="1" x14ac:dyDescent="0.25">
      <c r="B295" s="782"/>
      <c r="C295" s="783">
        <f t="shared" si="71"/>
        <v>0</v>
      </c>
      <c r="D295" s="783">
        <f t="shared" si="67"/>
        <v>0</v>
      </c>
      <c r="E295" s="783">
        <f t="shared" si="68"/>
        <v>0</v>
      </c>
      <c r="F295" s="783">
        <f t="shared" si="69"/>
        <v>0</v>
      </c>
      <c r="G295" s="796">
        <f t="shared" si="70"/>
        <v>0</v>
      </c>
      <c r="H295" s="776"/>
      <c r="I295" s="776"/>
      <c r="J295" s="776"/>
      <c r="K295" s="776"/>
      <c r="L295" s="790"/>
      <c r="M295" s="783"/>
      <c r="N295" s="783"/>
      <c r="O295" s="783"/>
      <c r="P295" s="783"/>
      <c r="Q295" s="796"/>
    </row>
    <row r="296" spans="2:17" x14ac:dyDescent="0.25">
      <c r="B296" s="782" t="s">
        <v>647</v>
      </c>
      <c r="C296" s="783">
        <f t="shared" si="71"/>
        <v>42.882566092754992</v>
      </c>
      <c r="D296" s="783">
        <f t="shared" si="67"/>
        <v>42.882566092754992</v>
      </c>
      <c r="E296" s="783">
        <f t="shared" si="68"/>
        <v>42.882566092754992</v>
      </c>
      <c r="F296" s="783">
        <f t="shared" si="69"/>
        <v>42.882566092754992</v>
      </c>
      <c r="G296" s="796">
        <f t="shared" si="70"/>
        <v>0</v>
      </c>
      <c r="H296" s="776"/>
      <c r="I296" s="776"/>
      <c r="J296" s="776"/>
      <c r="K296" s="776"/>
      <c r="L296" s="782" t="s">
        <v>605</v>
      </c>
      <c r="M296" s="783">
        <f>'4.1.Summary'!J225</f>
        <v>42.882566092754992</v>
      </c>
      <c r="N296" s="783">
        <f>'4.1.Summary'!K225</f>
        <v>42.882566092754992</v>
      </c>
      <c r="O296" s="783">
        <f>'4.1.Summary'!L225</f>
        <v>42.882566092754992</v>
      </c>
      <c r="P296" s="783">
        <f>'4.1.Summary'!M225</f>
        <v>42.882566092754992</v>
      </c>
      <c r="Q296" s="796">
        <f>'4.1.Summary'!N225</f>
        <v>0</v>
      </c>
    </row>
    <row r="297" spans="2:17" x14ac:dyDescent="0.25">
      <c r="B297" s="782" t="s">
        <v>648</v>
      </c>
      <c r="C297" s="783">
        <f t="shared" si="71"/>
        <v>8.576513218550998</v>
      </c>
      <c r="D297" s="783">
        <f t="shared" si="67"/>
        <v>8.576513218550998</v>
      </c>
      <c r="E297" s="783">
        <f t="shared" si="68"/>
        <v>8.576513218550998</v>
      </c>
      <c r="F297" s="783">
        <f t="shared" si="69"/>
        <v>8.576513218550998</v>
      </c>
      <c r="G297" s="796">
        <f t="shared" si="70"/>
        <v>0</v>
      </c>
      <c r="H297" s="776"/>
      <c r="I297" s="776"/>
      <c r="J297" s="776"/>
      <c r="K297" s="776"/>
      <c r="L297" s="782" t="s">
        <v>606</v>
      </c>
      <c r="M297" s="783">
        <f>'4.1.Summary'!J227</f>
        <v>8.576513218550998</v>
      </c>
      <c r="N297" s="783">
        <f>'4.1.Summary'!K227</f>
        <v>8.576513218550998</v>
      </c>
      <c r="O297" s="783">
        <f>'4.1.Summary'!L227</f>
        <v>8.576513218550998</v>
      </c>
      <c r="P297" s="783">
        <f>'4.1.Summary'!M227</f>
        <v>8.576513218550998</v>
      </c>
      <c r="Q297" s="796">
        <f>'4.1.Summary'!N227</f>
        <v>0</v>
      </c>
    </row>
    <row r="298" spans="2:17" x14ac:dyDescent="0.25">
      <c r="B298" s="782" t="s">
        <v>649</v>
      </c>
      <c r="C298" s="783">
        <f t="shared" si="71"/>
        <v>119.09630137867448</v>
      </c>
      <c r="D298" s="783">
        <f t="shared" si="67"/>
        <v>119.09630137867448</v>
      </c>
      <c r="E298" s="783">
        <f t="shared" si="68"/>
        <v>119.09630137867448</v>
      </c>
      <c r="F298" s="783">
        <f t="shared" si="69"/>
        <v>119.09630137867448</v>
      </c>
      <c r="G298" s="796">
        <f t="shared" si="70"/>
        <v>0</v>
      </c>
      <c r="H298" s="776"/>
      <c r="I298" s="776"/>
      <c r="J298" s="776"/>
      <c r="K298" s="776"/>
      <c r="L298" s="782" t="s">
        <v>607</v>
      </c>
      <c r="M298" s="783">
        <f>'4.1.Summary'!J229</f>
        <v>119.09630137867448</v>
      </c>
      <c r="N298" s="783">
        <f>'4.1.Summary'!K229</f>
        <v>119.09630137867448</v>
      </c>
      <c r="O298" s="783">
        <f>'4.1.Summary'!L229</f>
        <v>119.09630137867448</v>
      </c>
      <c r="P298" s="783">
        <f>'4.1.Summary'!M229</f>
        <v>119.09630137867448</v>
      </c>
      <c r="Q298" s="796">
        <f>'4.1.Summary'!N229</f>
        <v>0</v>
      </c>
    </row>
    <row r="299" spans="2:17" x14ac:dyDescent="0.25">
      <c r="B299" s="782" t="s">
        <v>650</v>
      </c>
      <c r="C299" s="783">
        <f t="shared" si="71"/>
        <v>996.04982954179991</v>
      </c>
      <c r="D299" s="783">
        <f t="shared" ca="1" si="67"/>
        <v>1625.5238920006236</v>
      </c>
      <c r="E299" s="783">
        <f t="shared" ca="1" si="68"/>
        <v>2301.3194690896153</v>
      </c>
      <c r="F299" s="783">
        <f t="shared" ca="1" si="69"/>
        <v>3021.4894785533497</v>
      </c>
      <c r="G299" s="796">
        <f t="shared" ca="1" si="70"/>
        <v>0.52001517266056285</v>
      </c>
      <c r="H299" s="776"/>
      <c r="I299" s="776"/>
      <c r="J299" s="776"/>
      <c r="K299" s="776"/>
      <c r="L299" s="782" t="s">
        <v>608</v>
      </c>
      <c r="M299" s="783">
        <f>'4.1.Summary'!J230</f>
        <v>996.04982954179991</v>
      </c>
      <c r="N299" s="783">
        <f ca="1">'4.1.Summary'!K230</f>
        <v>1625.5238920006236</v>
      </c>
      <c r="O299" s="783">
        <f ca="1">'4.1.Summary'!L230</f>
        <v>2301.3194690896153</v>
      </c>
      <c r="P299" s="783">
        <f ca="1">'4.1.Summary'!M230</f>
        <v>3021.4894785533497</v>
      </c>
      <c r="Q299" s="796">
        <f ca="1">'4.1.Summary'!N230</f>
        <v>0.52001517266056285</v>
      </c>
    </row>
    <row r="300" spans="2:17" x14ac:dyDescent="0.25">
      <c r="B300" s="782" t="s">
        <v>651</v>
      </c>
      <c r="C300" s="783">
        <f t="shared" ca="1" si="71"/>
        <v>629.4740624588236</v>
      </c>
      <c r="D300" s="783">
        <f t="shared" ca="1" si="67"/>
        <v>675.79557708899142</v>
      </c>
      <c r="E300" s="783">
        <f t="shared" ca="1" si="68"/>
        <v>720.17000946373446</v>
      </c>
      <c r="F300" s="783">
        <f t="shared" ca="1" si="69"/>
        <v>757.94119704787624</v>
      </c>
      <c r="G300" s="796">
        <f t="shared" ca="1" si="70"/>
        <v>6.961773708161334E-2</v>
      </c>
      <c r="H300" s="776"/>
      <c r="I300" s="776"/>
      <c r="J300" s="776"/>
      <c r="K300" s="776"/>
      <c r="L300" s="782" t="s">
        <v>609</v>
      </c>
      <c r="M300" s="783">
        <f ca="1">'4.1.Summary'!J231</f>
        <v>629.4740624588236</v>
      </c>
      <c r="N300" s="783">
        <f ca="1">'4.1.Summary'!K231</f>
        <v>675.79557708899142</v>
      </c>
      <c r="O300" s="783">
        <f ca="1">'4.1.Summary'!L231</f>
        <v>720.17000946373446</v>
      </c>
      <c r="P300" s="783">
        <f ca="1">'4.1.Summary'!M231</f>
        <v>757.94119704787624</v>
      </c>
      <c r="Q300" s="796">
        <f ca="1">'4.1.Summary'!N231</f>
        <v>6.961773708161334E-2</v>
      </c>
    </row>
    <row r="301" spans="2:17" x14ac:dyDescent="0.25">
      <c r="B301" s="784" t="s">
        <v>652</v>
      </c>
      <c r="C301" s="785">
        <f t="shared" si="71"/>
        <v>0</v>
      </c>
      <c r="D301" s="785">
        <f t="shared" si="67"/>
        <v>0</v>
      </c>
      <c r="E301" s="785">
        <f t="shared" si="68"/>
        <v>0</v>
      </c>
      <c r="F301" s="785">
        <f t="shared" si="69"/>
        <v>0</v>
      </c>
      <c r="G301" s="797">
        <f t="shared" si="70"/>
        <v>0</v>
      </c>
      <c r="H301" s="776"/>
      <c r="I301" s="776"/>
      <c r="J301" s="776"/>
      <c r="K301" s="776"/>
      <c r="L301" s="784" t="s">
        <v>610</v>
      </c>
      <c r="M301" s="785">
        <f>'4.1.Summary'!J232</f>
        <v>0</v>
      </c>
      <c r="N301" s="785">
        <f>'4.1.Summary'!K232</f>
        <v>0</v>
      </c>
      <c r="O301" s="785">
        <f>'4.1.Summary'!L232</f>
        <v>0</v>
      </c>
      <c r="P301" s="785">
        <f>'4.1.Summary'!M232</f>
        <v>0</v>
      </c>
      <c r="Q301" s="797">
        <f>'4.1.Summary'!N232</f>
        <v>0</v>
      </c>
    </row>
    <row r="302" spans="2:17" x14ac:dyDescent="0.25">
      <c r="B302" s="786" t="s">
        <v>653</v>
      </c>
      <c r="C302" s="787">
        <f t="shared" ca="1" si="71"/>
        <v>1796.0792726906038</v>
      </c>
      <c r="D302" s="787">
        <f t="shared" ca="1" si="67"/>
        <v>2471.8748497795955</v>
      </c>
      <c r="E302" s="787">
        <f t="shared" ca="1" si="68"/>
        <v>3192.0448592433304</v>
      </c>
      <c r="F302" s="787">
        <f t="shared" ca="1" si="69"/>
        <v>3949.9860562912068</v>
      </c>
      <c r="G302" s="798">
        <f t="shared" ca="1" si="70"/>
        <v>0.33312766976840691</v>
      </c>
      <c r="H302" s="776"/>
      <c r="I302" s="776"/>
      <c r="J302" s="776"/>
      <c r="K302" s="776"/>
      <c r="L302" s="786" t="s">
        <v>611</v>
      </c>
      <c r="M302" s="787">
        <f ca="1">'4.1.Summary'!J233</f>
        <v>1796.0792726906038</v>
      </c>
      <c r="N302" s="787">
        <f ca="1">'4.1.Summary'!K233</f>
        <v>2471.8748497795955</v>
      </c>
      <c r="O302" s="787">
        <f ca="1">'4.1.Summary'!L233</f>
        <v>3192.0448592433304</v>
      </c>
      <c r="P302" s="787">
        <f ca="1">'4.1.Summary'!M233</f>
        <v>3949.9860562912068</v>
      </c>
      <c r="Q302" s="798">
        <f ca="1">'4.1.Summary'!N233</f>
        <v>0.33312766976840691</v>
      </c>
    </row>
    <row r="303" spans="2:17" x14ac:dyDescent="0.25">
      <c r="B303" s="782" t="s">
        <v>654</v>
      </c>
      <c r="C303" s="783">
        <f t="shared" si="71"/>
        <v>364.33967923840567</v>
      </c>
      <c r="D303" s="783">
        <f t="shared" si="67"/>
        <v>4.6792384056857372E-3</v>
      </c>
      <c r="E303" s="783">
        <f t="shared" si="68"/>
        <v>4.6792384056857372E-3</v>
      </c>
      <c r="F303" s="783">
        <f t="shared" si="69"/>
        <v>4.6792384056857372E-3</v>
      </c>
      <c r="G303" s="796">
        <f t="shared" si="70"/>
        <v>-0.99641627768758911</v>
      </c>
      <c r="H303" s="776"/>
      <c r="I303" s="776"/>
      <c r="J303" s="776"/>
      <c r="K303" s="776"/>
      <c r="L303" s="782" t="s">
        <v>612</v>
      </c>
      <c r="M303" s="783">
        <f>'4.1.Summary'!J235</f>
        <v>364.33967923840567</v>
      </c>
      <c r="N303" s="783">
        <f>'4.1.Summary'!K235</f>
        <v>4.6792384056857372E-3</v>
      </c>
      <c r="O303" s="783">
        <f>'4.1.Summary'!L235</f>
        <v>4.6792384056857372E-3</v>
      </c>
      <c r="P303" s="783">
        <f>'4.1.Summary'!M235</f>
        <v>4.6792384056857372E-3</v>
      </c>
      <c r="Q303" s="796">
        <f>'4.1.Summary'!N235</f>
        <v>-0.99641627768758911</v>
      </c>
    </row>
    <row r="304" spans="2:17" x14ac:dyDescent="0.25">
      <c r="B304" s="782" t="s">
        <v>655</v>
      </c>
      <c r="C304" s="783">
        <f t="shared" si="71"/>
        <v>0</v>
      </c>
      <c r="D304" s="783">
        <f t="shared" si="67"/>
        <v>0</v>
      </c>
      <c r="E304" s="783">
        <f t="shared" si="68"/>
        <v>0</v>
      </c>
      <c r="F304" s="783">
        <f t="shared" si="69"/>
        <v>0</v>
      </c>
      <c r="G304" s="796">
        <f t="shared" si="70"/>
        <v>0</v>
      </c>
      <c r="H304" s="776"/>
      <c r="I304" s="776"/>
      <c r="J304" s="776"/>
      <c r="K304" s="776"/>
      <c r="L304" s="782" t="s">
        <v>613</v>
      </c>
      <c r="M304" s="783">
        <f>'4.1.Summary'!J239</f>
        <v>0</v>
      </c>
      <c r="N304" s="783">
        <f>'4.1.Summary'!K239</f>
        <v>0</v>
      </c>
      <c r="O304" s="783">
        <f>'4.1.Summary'!L239</f>
        <v>0</v>
      </c>
      <c r="P304" s="783">
        <f>'4.1.Summary'!M239</f>
        <v>0</v>
      </c>
      <c r="Q304" s="796">
        <f>'4.1.Summary'!N239</f>
        <v>0</v>
      </c>
    </row>
    <row r="305" spans="2:17" x14ac:dyDescent="0.25">
      <c r="B305" s="782" t="s">
        <v>656</v>
      </c>
      <c r="C305" s="783">
        <f t="shared" si="71"/>
        <v>5299.6608742817916</v>
      </c>
      <c r="D305" s="783">
        <f t="shared" si="67"/>
        <v>5546.4536454348145</v>
      </c>
      <c r="E305" s="783">
        <f t="shared" si="68"/>
        <v>5836.381500937191</v>
      </c>
      <c r="F305" s="783">
        <f t="shared" si="69"/>
        <v>6066.9773973480842</v>
      </c>
      <c r="G305" s="796">
        <f t="shared" si="70"/>
        <v>4.9416277229979988E-2</v>
      </c>
      <c r="H305" s="776"/>
      <c r="I305" s="776"/>
      <c r="J305" s="776"/>
      <c r="K305" s="776"/>
      <c r="L305" s="782" t="s">
        <v>614</v>
      </c>
      <c r="M305" s="783">
        <f>'4.1.Summary'!J240</f>
        <v>5299.6608742817916</v>
      </c>
      <c r="N305" s="783">
        <f>'4.1.Summary'!K240</f>
        <v>5546.4536454348145</v>
      </c>
      <c r="O305" s="783">
        <f>'4.1.Summary'!L240</f>
        <v>5836.381500937191</v>
      </c>
      <c r="P305" s="783">
        <f>'4.1.Summary'!M240</f>
        <v>6066.9773973480842</v>
      </c>
      <c r="Q305" s="796">
        <f>'4.1.Summary'!N240</f>
        <v>4.9416277229979988E-2</v>
      </c>
    </row>
    <row r="306" spans="2:17" x14ac:dyDescent="0.25">
      <c r="B306" s="793" t="s">
        <v>657</v>
      </c>
      <c r="C306" s="783">
        <f t="shared" si="71"/>
        <v>2918.7616906968419</v>
      </c>
      <c r="D306" s="783">
        <f t="shared" si="67"/>
        <v>3056.3262785780457</v>
      </c>
      <c r="E306" s="783">
        <f t="shared" si="68"/>
        <v>3217.9347639932676</v>
      </c>
      <c r="F306" s="783">
        <f t="shared" si="69"/>
        <v>3378.8315021929316</v>
      </c>
      <c r="G306" s="796">
        <f t="shared" si="70"/>
        <v>4.9999999999999822E-2</v>
      </c>
      <c r="H306" s="776"/>
      <c r="I306" s="776"/>
      <c r="J306" s="776"/>
      <c r="K306" s="776"/>
      <c r="L306" s="793" t="s">
        <v>615</v>
      </c>
      <c r="M306" s="783">
        <f>'4.1.Summary'!J241</f>
        <v>2918.7616906968419</v>
      </c>
      <c r="N306" s="783">
        <f>'4.1.Summary'!K241</f>
        <v>3056.3262785780457</v>
      </c>
      <c r="O306" s="783">
        <f>'4.1.Summary'!L241</f>
        <v>3217.9347639932676</v>
      </c>
      <c r="P306" s="783">
        <f>'4.1.Summary'!M241</f>
        <v>3378.8315021929316</v>
      </c>
      <c r="Q306" s="796">
        <f>'4.1.Summary'!N241</f>
        <v>4.9999999999999822E-2</v>
      </c>
    </row>
    <row r="307" spans="2:17" x14ac:dyDescent="0.25">
      <c r="B307" s="793" t="s">
        <v>658</v>
      </c>
      <c r="C307" s="783">
        <f t="shared" si="71"/>
        <v>2263.0677615906752</v>
      </c>
      <c r="D307" s="783">
        <f t="shared" si="67"/>
        <v>2369.7287421574488</v>
      </c>
      <c r="E307" s="783">
        <f t="shared" si="68"/>
        <v>2495.0322071537189</v>
      </c>
      <c r="F307" s="783">
        <f t="shared" si="69"/>
        <v>2619.7838175114052</v>
      </c>
      <c r="G307" s="796">
        <f t="shared" si="70"/>
        <v>4.9999999999999822E-2</v>
      </c>
      <c r="H307" s="776"/>
      <c r="I307" s="776"/>
      <c r="J307" s="776"/>
      <c r="K307" s="776"/>
      <c r="L307" s="793" t="s">
        <v>616</v>
      </c>
      <c r="M307" s="783">
        <f>'4.1.Summary'!J242</f>
        <v>2263.0677615906752</v>
      </c>
      <c r="N307" s="783">
        <f>'4.1.Summary'!K242</f>
        <v>2369.7287421574488</v>
      </c>
      <c r="O307" s="783">
        <f>'4.1.Summary'!L242</f>
        <v>2495.0322071537189</v>
      </c>
      <c r="P307" s="783">
        <f>'4.1.Summary'!M242</f>
        <v>2619.7838175114052</v>
      </c>
      <c r="Q307" s="796">
        <f>'4.1.Summary'!N242</f>
        <v>4.9999999999999822E-2</v>
      </c>
    </row>
    <row r="308" spans="2:17" x14ac:dyDescent="0.25">
      <c r="B308" s="793" t="s">
        <v>659</v>
      </c>
      <c r="C308" s="783">
        <f t="shared" si="71"/>
        <v>0</v>
      </c>
      <c r="D308" s="783">
        <f t="shared" si="67"/>
        <v>0</v>
      </c>
      <c r="E308" s="783">
        <f t="shared" si="68"/>
        <v>0</v>
      </c>
      <c r="F308" s="783">
        <f t="shared" si="69"/>
        <v>0</v>
      </c>
      <c r="G308" s="796">
        <f t="shared" si="70"/>
        <v>0</v>
      </c>
      <c r="H308" s="776"/>
      <c r="I308" s="776"/>
      <c r="J308" s="776"/>
      <c r="K308" s="776"/>
      <c r="L308" s="793" t="s">
        <v>617</v>
      </c>
      <c r="M308" s="783">
        <f>'4.1.Summary'!J243</f>
        <v>0</v>
      </c>
      <c r="N308" s="783">
        <f>'4.1.Summary'!K243</f>
        <v>0</v>
      </c>
      <c r="O308" s="783">
        <f>'4.1.Summary'!L243</f>
        <v>0</v>
      </c>
      <c r="P308" s="783">
        <f>'4.1.Summary'!M243</f>
        <v>0</v>
      </c>
      <c r="Q308" s="796">
        <f>'4.1.Summary'!N243</f>
        <v>0</v>
      </c>
    </row>
    <row r="309" spans="2:17" x14ac:dyDescent="0.25">
      <c r="B309" s="793" t="s">
        <v>660</v>
      </c>
      <c r="C309" s="783">
        <f t="shared" si="71"/>
        <v>0</v>
      </c>
      <c r="D309" s="783">
        <f t="shared" si="67"/>
        <v>0</v>
      </c>
      <c r="E309" s="783">
        <f t="shared" si="68"/>
        <v>0</v>
      </c>
      <c r="F309" s="783">
        <f t="shared" si="69"/>
        <v>0</v>
      </c>
      <c r="G309" s="796">
        <f t="shared" si="70"/>
        <v>0</v>
      </c>
      <c r="H309" s="776"/>
      <c r="I309" s="776"/>
      <c r="J309" s="776"/>
      <c r="K309" s="776"/>
      <c r="L309" s="793" t="s">
        <v>618</v>
      </c>
      <c r="M309" s="783">
        <f>'4.1.Summary'!J244</f>
        <v>0</v>
      </c>
      <c r="N309" s="783">
        <f>'4.1.Summary'!K244</f>
        <v>0</v>
      </c>
      <c r="O309" s="783">
        <f>'4.1.Summary'!L244</f>
        <v>0</v>
      </c>
      <c r="P309" s="783">
        <f>'4.1.Summary'!M244</f>
        <v>0</v>
      </c>
      <c r="Q309" s="796">
        <f>'4.1.Summary'!N244</f>
        <v>0</v>
      </c>
    </row>
    <row r="310" spans="2:17" x14ac:dyDescent="0.25">
      <c r="B310" s="793" t="s">
        <v>661</v>
      </c>
      <c r="C310" s="783">
        <f t="shared" si="71"/>
        <v>0</v>
      </c>
      <c r="D310" s="783">
        <f t="shared" si="67"/>
        <v>0</v>
      </c>
      <c r="E310" s="783">
        <f t="shared" si="68"/>
        <v>0</v>
      </c>
      <c r="F310" s="783">
        <f t="shared" si="69"/>
        <v>0</v>
      </c>
      <c r="G310" s="796">
        <f t="shared" si="70"/>
        <v>0</v>
      </c>
      <c r="H310" s="776"/>
      <c r="I310" s="776"/>
      <c r="J310" s="776"/>
      <c r="K310" s="776"/>
      <c r="L310" s="793" t="s">
        <v>619</v>
      </c>
      <c r="M310" s="783">
        <f>'4.1.Summary'!J245</f>
        <v>0</v>
      </c>
      <c r="N310" s="783">
        <f>'4.1.Summary'!K245</f>
        <v>0</v>
      </c>
      <c r="O310" s="783">
        <f>'4.1.Summary'!L245</f>
        <v>0</v>
      </c>
      <c r="P310" s="783">
        <f>'4.1.Summary'!M245</f>
        <v>0</v>
      </c>
      <c r="Q310" s="796">
        <f>'4.1.Summary'!N245</f>
        <v>0</v>
      </c>
    </row>
    <row r="311" spans="2:17" x14ac:dyDescent="0.25">
      <c r="B311" s="793" t="s">
        <v>662</v>
      </c>
      <c r="C311" s="783">
        <f t="shared" si="71"/>
        <v>63.362077643747547</v>
      </c>
      <c r="D311" s="783">
        <f t="shared" si="67"/>
        <v>63.362077643747547</v>
      </c>
      <c r="E311" s="783">
        <f t="shared" si="68"/>
        <v>63.362077643747547</v>
      </c>
      <c r="F311" s="783">
        <f t="shared" si="69"/>
        <v>63.362077643747547</v>
      </c>
      <c r="G311" s="796">
        <f t="shared" si="70"/>
        <v>0</v>
      </c>
      <c r="H311" s="776"/>
      <c r="I311" s="776"/>
      <c r="J311" s="776"/>
      <c r="K311" s="776"/>
      <c r="L311" s="793" t="s">
        <v>620</v>
      </c>
      <c r="M311" s="783">
        <f>'4.1.Summary'!J247</f>
        <v>63.362077643747547</v>
      </c>
      <c r="N311" s="783">
        <f>'4.1.Summary'!K247</f>
        <v>63.362077643747547</v>
      </c>
      <c r="O311" s="783">
        <f>'4.1.Summary'!L247</f>
        <v>63.362077643747547</v>
      </c>
      <c r="P311" s="783">
        <f>'4.1.Summary'!M247</f>
        <v>63.362077643747547</v>
      </c>
      <c r="Q311" s="796">
        <f>'4.1.Summary'!N247</f>
        <v>0</v>
      </c>
    </row>
    <row r="312" spans="2:17" x14ac:dyDescent="0.25">
      <c r="B312" s="793" t="s">
        <v>663</v>
      </c>
      <c r="C312" s="783">
        <f t="shared" si="71"/>
        <v>54.469344350527372</v>
      </c>
      <c r="D312" s="783">
        <f t="shared" si="67"/>
        <v>57.036547055572726</v>
      </c>
      <c r="E312" s="783">
        <f t="shared" si="68"/>
        <v>60.052452146456417</v>
      </c>
      <c r="F312" s="783">
        <f t="shared" si="69"/>
        <v>5</v>
      </c>
      <c r="G312" s="796">
        <f t="shared" si="70"/>
        <v>4.9999999999999822E-2</v>
      </c>
      <c r="H312" s="776"/>
      <c r="I312" s="776"/>
      <c r="J312" s="776"/>
      <c r="K312" s="776"/>
      <c r="L312" s="793" t="s">
        <v>621</v>
      </c>
      <c r="M312" s="783">
        <f>'4.1.Summary'!J248</f>
        <v>54.469344350527372</v>
      </c>
      <c r="N312" s="783">
        <f>'4.1.Summary'!K248</f>
        <v>57.036547055572726</v>
      </c>
      <c r="O312" s="783">
        <f>'4.1.Summary'!L248</f>
        <v>60.052452146456417</v>
      </c>
      <c r="P312" s="783">
        <f>'4.1.Summary'!M248</f>
        <v>5</v>
      </c>
      <c r="Q312" s="796">
        <f>'4.1.Summary'!N248</f>
        <v>4.9999999999999822E-2</v>
      </c>
    </row>
    <row r="313" spans="2:17" x14ac:dyDescent="0.25">
      <c r="B313" s="782" t="s">
        <v>664</v>
      </c>
      <c r="C313" s="783">
        <f t="shared" ca="1" si="71"/>
        <v>0</v>
      </c>
      <c r="D313" s="783">
        <f t="shared" ca="1" si="67"/>
        <v>0</v>
      </c>
      <c r="E313" s="783">
        <f t="shared" ca="1" si="68"/>
        <v>0</v>
      </c>
      <c r="F313" s="783">
        <f t="shared" ca="1" si="69"/>
        <v>0</v>
      </c>
      <c r="G313" s="796">
        <f t="shared" ca="1" si="70"/>
        <v>0</v>
      </c>
      <c r="H313" s="776"/>
      <c r="I313" s="776"/>
      <c r="J313" s="776"/>
      <c r="K313" s="776"/>
      <c r="L313" s="782" t="s">
        <v>622</v>
      </c>
      <c r="M313" s="783">
        <f ca="1">'4.1.Summary'!J249</f>
        <v>0</v>
      </c>
      <c r="N313" s="783">
        <f ca="1">'4.1.Summary'!K249</f>
        <v>0</v>
      </c>
      <c r="O313" s="783">
        <f ca="1">'4.1.Summary'!L249</f>
        <v>0</v>
      </c>
      <c r="P313" s="783">
        <f ca="1">'4.1.Summary'!M249</f>
        <v>0</v>
      </c>
      <c r="Q313" s="796">
        <f ca="1">'4.1.Summary'!N249</f>
        <v>0</v>
      </c>
    </row>
    <row r="314" spans="2:17" x14ac:dyDescent="0.25">
      <c r="B314" s="794" t="s">
        <v>665</v>
      </c>
      <c r="C314" s="785">
        <f t="shared" ca="1" si="71"/>
        <v>0</v>
      </c>
      <c r="D314" s="785">
        <f t="shared" ca="1" si="67"/>
        <v>0</v>
      </c>
      <c r="E314" s="785">
        <f t="shared" ca="1" si="68"/>
        <v>0</v>
      </c>
      <c r="F314" s="785">
        <f t="shared" ca="1" si="69"/>
        <v>0</v>
      </c>
      <c r="G314" s="797">
        <f t="shared" ca="1" si="70"/>
        <v>0</v>
      </c>
      <c r="H314" s="776"/>
      <c r="I314" s="776"/>
      <c r="J314" s="776"/>
      <c r="K314" s="776"/>
      <c r="L314" s="794" t="s">
        <v>623</v>
      </c>
      <c r="M314" s="785">
        <f ca="1">'4.1.Summary'!J250</f>
        <v>0</v>
      </c>
      <c r="N314" s="785">
        <f ca="1">'4.1.Summary'!K250</f>
        <v>0</v>
      </c>
      <c r="O314" s="785">
        <f ca="1">'4.1.Summary'!L250</f>
        <v>0</v>
      </c>
      <c r="P314" s="785">
        <f ca="1">'4.1.Summary'!M250</f>
        <v>0</v>
      </c>
      <c r="Q314" s="797">
        <f ca="1">'4.1.Summary'!N250</f>
        <v>0</v>
      </c>
    </row>
    <row r="315" spans="2:17" x14ac:dyDescent="0.25">
      <c r="B315" s="786" t="s">
        <v>666</v>
      </c>
      <c r="C315" s="787">
        <f t="shared" ca="1" si="71"/>
        <v>5664.0026976485015</v>
      </c>
      <c r="D315" s="787">
        <f t="shared" ca="1" si="67"/>
        <v>5546.4604688015243</v>
      </c>
      <c r="E315" s="787">
        <f t="shared" ca="1" si="68"/>
        <v>5836.3883243039008</v>
      </c>
      <c r="F315" s="787">
        <f t="shared" ca="1" si="69"/>
        <v>6066.984220714794</v>
      </c>
      <c r="G315" s="798">
        <f t="shared" ca="1" si="70"/>
        <v>1.5103591238280645E-2</v>
      </c>
      <c r="H315" s="776"/>
      <c r="I315" s="776"/>
      <c r="J315" s="776"/>
      <c r="K315" s="776"/>
      <c r="L315" s="786" t="s">
        <v>624</v>
      </c>
      <c r="M315" s="787">
        <f ca="1">'4.1.Summary'!J252</f>
        <v>5664.0026976485015</v>
      </c>
      <c r="N315" s="787">
        <f ca="1">'4.1.Summary'!K252</f>
        <v>5546.4604688015243</v>
      </c>
      <c r="O315" s="787">
        <f ca="1">'4.1.Summary'!L252</f>
        <v>5836.3883243039008</v>
      </c>
      <c r="P315" s="787">
        <f ca="1">'4.1.Summary'!M252</f>
        <v>6066.984220714794</v>
      </c>
      <c r="Q315" s="798">
        <f ca="1">'4.1.Summary'!N252</f>
        <v>1.5103591238280645E-2</v>
      </c>
    </row>
    <row r="316" spans="2:17" x14ac:dyDescent="0.25">
      <c r="B316" s="784" t="s">
        <v>667</v>
      </c>
      <c r="C316" s="785">
        <f t="shared" si="71"/>
        <v>0</v>
      </c>
      <c r="D316" s="785">
        <f t="shared" si="67"/>
        <v>0</v>
      </c>
      <c r="E316" s="785">
        <f t="shared" si="68"/>
        <v>0</v>
      </c>
      <c r="F316" s="785">
        <f t="shared" si="69"/>
        <v>0</v>
      </c>
      <c r="G316" s="797">
        <f t="shared" si="70"/>
        <v>0</v>
      </c>
      <c r="H316" s="776"/>
      <c r="I316" s="776"/>
      <c r="J316" s="776"/>
      <c r="K316" s="776"/>
      <c r="L316" s="784" t="s">
        <v>625</v>
      </c>
      <c r="M316" s="785">
        <f>'4.1.Summary'!J253</f>
        <v>0</v>
      </c>
      <c r="N316" s="785">
        <f>'4.1.Summary'!K253</f>
        <v>0</v>
      </c>
      <c r="O316" s="785">
        <f>'4.1.Summary'!L253</f>
        <v>0</v>
      </c>
      <c r="P316" s="785">
        <f>'4.1.Summary'!M253</f>
        <v>0</v>
      </c>
      <c r="Q316" s="797">
        <f>'4.1.Summary'!N253</f>
        <v>0</v>
      </c>
    </row>
    <row r="317" spans="2:17" x14ac:dyDescent="0.25">
      <c r="B317" s="788" t="s">
        <v>668</v>
      </c>
      <c r="C317" s="789">
        <f t="shared" ca="1" si="71"/>
        <v>5671.9698621428088</v>
      </c>
      <c r="D317" s="789">
        <f t="shared" ca="1" si="67"/>
        <v>5548.3785932958317</v>
      </c>
      <c r="E317" s="789">
        <f t="shared" ca="1" si="68"/>
        <v>5836.3883243039008</v>
      </c>
      <c r="F317" s="789">
        <f t="shared" ca="1" si="69"/>
        <v>6066.984220714794</v>
      </c>
      <c r="G317" s="799">
        <f t="shared" ca="1" si="70"/>
        <v>1.4390405209408152E-2</v>
      </c>
      <c r="H317" s="776"/>
      <c r="I317" s="776"/>
      <c r="J317" s="776"/>
      <c r="K317" s="776"/>
      <c r="L317" s="788" t="s">
        <v>626</v>
      </c>
      <c r="M317" s="789">
        <f ca="1">'4.1.Summary'!J260</f>
        <v>5671.9698621428088</v>
      </c>
      <c r="N317" s="789">
        <f ca="1">'4.1.Summary'!K260</f>
        <v>5548.3785932958317</v>
      </c>
      <c r="O317" s="789">
        <f ca="1">'4.1.Summary'!L260</f>
        <v>5836.3883243039008</v>
      </c>
      <c r="P317" s="789">
        <f ca="1">'4.1.Summary'!M260</f>
        <v>6066.984220714794</v>
      </c>
      <c r="Q317" s="799">
        <f ca="1">'4.1.Summary'!N260</f>
        <v>1.4390405209408152E-2</v>
      </c>
    </row>
    <row r="318" spans="2:17" ht="13.8" thickBot="1" x14ac:dyDescent="0.3">
      <c r="B318" s="791" t="s">
        <v>669</v>
      </c>
      <c r="C318" s="792">
        <f t="shared" ca="1" si="71"/>
        <v>7468.0491348334126</v>
      </c>
      <c r="D318" s="792">
        <f t="shared" ca="1" si="67"/>
        <v>8020.2534430754276</v>
      </c>
      <c r="E318" s="792">
        <f t="shared" ca="1" si="68"/>
        <v>9028.4331835472312</v>
      </c>
      <c r="F318" s="792">
        <f t="shared" ca="1" si="69"/>
        <v>10016.970277006001</v>
      </c>
      <c r="G318" s="800">
        <f t="shared" ca="1" si="70"/>
        <v>9.9518676796157113E-2</v>
      </c>
      <c r="H318" s="776"/>
      <c r="I318" s="776"/>
      <c r="J318" s="776"/>
      <c r="K318" s="776"/>
      <c r="L318" s="791" t="s">
        <v>627</v>
      </c>
      <c r="M318" s="792">
        <f ca="1">'4.1.Summary'!J261</f>
        <v>7468.0491348334126</v>
      </c>
      <c r="N318" s="792">
        <f ca="1">'4.1.Summary'!K261</f>
        <v>8020.2534430754276</v>
      </c>
      <c r="O318" s="792">
        <f ca="1">'4.1.Summary'!L261</f>
        <v>9028.4331835472312</v>
      </c>
      <c r="P318" s="792">
        <f ca="1">'4.1.Summary'!M261</f>
        <v>10016.970277006001</v>
      </c>
      <c r="Q318" s="800">
        <f ca="1">'4.1.Summary'!N261</f>
        <v>9.9518676796157113E-2</v>
      </c>
    </row>
  </sheetData>
  <mergeCells count="4">
    <mergeCell ref="B210:G210"/>
    <mergeCell ref="B2:J2"/>
    <mergeCell ref="L2:T2"/>
    <mergeCell ref="B95:G9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10</vt:i4>
      </vt:variant>
    </vt:vector>
  </HeadingPairs>
  <TitlesOfParts>
    <vt:vector size="35" baseType="lpstr">
      <vt:lpstr>0.0.Disclaimer</vt:lpstr>
      <vt:lpstr>0.1.Model Map</vt:lpstr>
      <vt:lpstr>0.2.Parameters</vt:lpstr>
      <vt:lpstr>1.0.Model timing</vt:lpstr>
      <vt:lpstr>De clarificat</vt:lpstr>
      <vt:lpstr>1.1.Macroeconomic</vt:lpstr>
      <vt:lpstr>1.2.Historical IS</vt:lpstr>
      <vt:lpstr>1.3.Historical BS</vt:lpstr>
      <vt:lpstr>1.4. CAPEX</vt:lpstr>
      <vt:lpstr>1.5 Assumptions book</vt:lpstr>
      <vt:lpstr>Money market</vt:lpstr>
      <vt:lpstr>HRC1216</vt:lpstr>
      <vt:lpstr>HRC1217</vt:lpstr>
      <vt:lpstr>HRC1218</vt:lpstr>
      <vt:lpstr>Imob necorp</vt:lpstr>
      <vt:lpstr>RMF_1218HRC</vt:lpstr>
      <vt:lpstr>0_RMF_1218HRC</vt:lpstr>
      <vt:lpstr>2.1. Working LT assets</vt:lpstr>
      <vt:lpstr>2.2. OPEX</vt:lpstr>
      <vt:lpstr>2.3. Working Capital</vt:lpstr>
      <vt:lpstr>3.1. Income Statement</vt:lpstr>
      <vt:lpstr>3.2. Cash Flow</vt:lpstr>
      <vt:lpstr>3.3. Balance sheet</vt:lpstr>
      <vt:lpstr>4.1.Summary</vt:lpstr>
      <vt:lpstr>4.2. Summary</vt:lpstr>
      <vt:lpstr>'Money market'!_FilterDatabase</vt:lpstr>
      <vt:lpstr>DisclaimerPage</vt:lpstr>
      <vt:lpstr>ModelMap</vt:lpstr>
      <vt:lpstr>Mult</vt:lpstr>
      <vt:lpstr>'4.2. Summary'!Multiplier</vt:lpstr>
      <vt:lpstr>Multiplier</vt:lpstr>
      <vt:lpstr>Prt_Disclaimer</vt:lpstr>
      <vt:lpstr>Selection</vt:lpstr>
      <vt:lpstr>Time</vt:lpstr>
      <vt:lpstr>Time_paste</vt:lpstr>
    </vt:vector>
  </TitlesOfParts>
  <Company>KPMG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Croitoru, Felix Aurelian</dc:creator>
  <cp:lastModifiedBy>Croitoru, Felix Aurelian</cp:lastModifiedBy>
  <cp:lastPrinted>2017-04-06T16:59:27Z</cp:lastPrinted>
  <dcterms:created xsi:type="dcterms:W3CDTF">2015-08-31T13:09:56Z</dcterms:created>
  <dcterms:modified xsi:type="dcterms:W3CDTF">2019-04-11T19:03:38Z</dcterms:modified>
  <cp:category>KPMG Confidential</cp:category>
</cp:coreProperties>
</file>